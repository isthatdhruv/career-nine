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PASTE DATA" sheetId="1" state="visible" r:id="rId3"/>
    <sheet name="2. SUMMARY" sheetId="2" state="visible" r:id="rId4"/>
    <sheet name="3. PERSONALITY" sheetId="3" state="visible" r:id="rId5"/>
    <sheet name="4. LEARNING STYLE" sheetId="4" state="visible" r:id="rId6"/>
    <sheet name="5. ABILITIES" sheetId="5" state="visible" r:id="rId7"/>
    <sheet name="6. VALUES" sheetId="6" state="visible" r:id="rId8"/>
    <sheet name="7. CAREER GAP" sheetId="7" state="visible" r:id="rId9"/>
    <sheet name="8. BY CLASS" sheetId="8" state="visible" r:id="rId10"/>
    <sheet name="9. CHAR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Paste your school's master-sheet rows here.
Abilities &amp; intelligences: raw score out of 12.
RIASEC columns: raw score.</t>
        </r>
      </text>
    </comment>
  </commentList>
</comments>
</file>

<file path=xl/sharedStrings.xml><?xml version="1.0" encoding="utf-8"?>
<sst xmlns="http://schemas.openxmlformats.org/spreadsheetml/2006/main" count="349" uniqueCount="257">
  <si>
    <t xml:space="preserve">1. PASTE DATA</t>
  </si>
  <si>
    <t xml:space="preserve">One student per row, from row 4 to row 1503. Headers must match exactly. Grey columns on the right calculate themselves — do not type in them.</t>
  </si>
  <si>
    <t xml:space="preserve">School</t>
  </si>
  <si>
    <t xml:space="preserve">Student Name</t>
  </si>
  <si>
    <t xml:space="preserve">Class</t>
  </si>
  <si>
    <t xml:space="preserve">Section</t>
  </si>
  <si>
    <t xml:space="preserve">Gender</t>
  </si>
  <si>
    <t xml:space="preserve">Speed and accuracy</t>
  </si>
  <si>
    <t xml:space="preserve">Computational</t>
  </si>
  <si>
    <t xml:space="preserve">Creativity</t>
  </si>
  <si>
    <t xml:space="preserve">Communication</t>
  </si>
  <si>
    <t xml:space="preserve">Technical</t>
  </si>
  <si>
    <t xml:space="preserve">Decision making &amp; problem solving</t>
  </si>
  <si>
    <t xml:space="preserve">Finger dexterity</t>
  </si>
  <si>
    <t xml:space="preserve">Form perception</t>
  </si>
  <si>
    <t xml:space="preserve">Logical reasoning</t>
  </si>
  <si>
    <t xml:space="preserve">Motor movement</t>
  </si>
  <si>
    <t xml:space="preserve">Bodily-Kinesthetic</t>
  </si>
  <si>
    <t xml:space="preserve">Interpersonal</t>
  </si>
  <si>
    <t xml:space="preserve">Intrapersonal</t>
  </si>
  <si>
    <t xml:space="preserve">Linguistic</t>
  </si>
  <si>
    <t xml:space="preserve">Logical-Mathematical</t>
  </si>
  <si>
    <t xml:space="preserve">Musical</t>
  </si>
  <si>
    <t xml:space="preserve">Visual-Spatial</t>
  </si>
  <si>
    <t xml:space="preserve">Naturalistic</t>
  </si>
  <si>
    <t xml:space="preserve">Realistic</t>
  </si>
  <si>
    <t xml:space="preserve">Investigative</t>
  </si>
  <si>
    <t xml:space="preserve">Artistic</t>
  </si>
  <si>
    <t xml:space="preserve">Social</t>
  </si>
  <si>
    <t xml:space="preserve">Enterprising</t>
  </si>
  <si>
    <t xml:space="preserve">Conventional</t>
  </si>
  <si>
    <t xml:space="preserve">Personality_Top1</t>
  </si>
  <si>
    <t xml:space="preserve">Personality_Top2</t>
  </si>
  <si>
    <t xml:space="preserve">Personality_Top3</t>
  </si>
  <si>
    <t xml:space="preserve">Value 1</t>
  </si>
  <si>
    <t xml:space="preserve">Value 2</t>
  </si>
  <si>
    <t xml:space="preserve">Value 3</t>
  </si>
  <si>
    <t xml:space="preserve">Value 4</t>
  </si>
  <si>
    <t xml:space="preserve">Value 5</t>
  </si>
  <si>
    <t xml:space="preserve">Career Aspiration 1</t>
  </si>
  <si>
    <t xml:space="preserve">Career Aspiration 2</t>
  </si>
  <si>
    <t xml:space="preserve">Career Aspiration 3</t>
  </si>
  <si>
    <t xml:space="preserve">Career Aspiration 4</t>
  </si>
  <si>
    <t xml:space="preserve">suitability_index_1</t>
  </si>
  <si>
    <t xml:space="preserve">suitability_index_2</t>
  </si>
  <si>
    <t xml:space="preserve">suitability_index_3</t>
  </si>
  <si>
    <t xml:space="preserve">suitability_index_4</t>
  </si>
  <si>
    <t xml:space="preserve">suitability_index_5</t>
  </si>
  <si>
    <t xml:space="preserve">suitability_index_6</t>
  </si>
  <si>
    <t xml:space="preserve">suitability_index_7</t>
  </si>
  <si>
    <t xml:space="preserve">suitability_index_8</t>
  </si>
  <si>
    <t xml:space="preserve">suitability_index_9</t>
  </si>
  <si>
    <t xml:space="preserve">» Matched aspirations</t>
  </si>
  <si>
    <t xml:space="preserve">» Has a match</t>
  </si>
  <si>
    <t xml:space="preserve">» Suitability #1 stream</t>
  </si>
  <si>
    <t xml:space="preserve">» Top aspiration stream</t>
  </si>
  <si>
    <t xml:space="preserve">» Abilities 10+</t>
  </si>
  <si>
    <t xml:space="preserve">» Abilities 8-</t>
  </si>
  <si>
    <t xml:space="preserve">SCHOOL SUMMARY</t>
  </si>
  <si>
    <t xml:space="preserve">Every number on every sheet respects the class filter below.</t>
  </si>
  <si>
    <t xml:space="preserve">min</t>
  </si>
  <si>
    <t xml:space="preserve">max</t>
  </si>
  <si>
    <t xml:space="preserve">CLASS FILTER</t>
  </si>
  <si>
    <t xml:space="preserve">All</t>
  </si>
  <si>
    <t xml:space="preserve">HEADCOUNT</t>
  </si>
  <si>
    <t xml:space="preserve">Metric</t>
  </si>
  <si>
    <t xml:space="preserve">Value</t>
  </si>
  <si>
    <t xml:space="preserve">Students in view</t>
  </si>
  <si>
    <t xml:space="preserve">Girls</t>
  </si>
  <si>
    <t xml:space="preserve">Boys</t>
  </si>
  <si>
    <t xml:space="preserve">Career clarity — students with at least one aspiration that matches their suitability</t>
  </si>
  <si>
    <t xml:space="preserve">Average matched aspirations per student</t>
  </si>
  <si>
    <t xml:space="preserve">STUDENTS BY CLASS</t>
  </si>
  <si>
    <t xml:space="preserve">Students</t>
  </si>
  <si>
    <t xml:space="preserve">% of school</t>
  </si>
  <si>
    <t xml:space="preserve">Class 6</t>
  </si>
  <si>
    <t xml:space="preserve">Class 7</t>
  </si>
  <si>
    <t xml:space="preserve">Class 8</t>
  </si>
  <si>
    <t xml:space="preserve">Class 9</t>
  </si>
  <si>
    <t xml:space="preserve">Class 10</t>
  </si>
  <si>
    <t xml:space="preserve">Class 11</t>
  </si>
  <si>
    <t xml:space="preserve">Class 12</t>
  </si>
  <si>
    <t xml:space="preserve">Total</t>
  </si>
  <si>
    <t xml:space="preserve">THE SCHOOL IN ONE LINE</t>
  </si>
  <si>
    <t xml:space="preserve">Dominant personality</t>
  </si>
  <si>
    <t xml:space="preserve">Second personality</t>
  </si>
  <si>
    <t xml:space="preserve">Dominant learning style</t>
  </si>
  <si>
    <t xml:space="preserve">Weakest learning style</t>
  </si>
  <si>
    <t xml:space="preserve">Strongest ability</t>
  </si>
  <si>
    <t xml:space="preserve">Weakest ability</t>
  </si>
  <si>
    <t xml:space="preserve">Top value</t>
  </si>
  <si>
    <t xml:space="preserve">Best-fit stream</t>
  </si>
  <si>
    <t xml:space="preserve">Most-wanted stream</t>
  </si>
  <si>
    <t xml:space="preserve">3. PERSONALITY</t>
  </si>
  <si>
    <t xml:space="preserve">Raw RIASEC average, plus how often each trait lands in a student's top one and top three.</t>
  </si>
  <si>
    <t xml:space="preserve">Trait (report label)</t>
  </si>
  <si>
    <t xml:space="preserve">Avg raw score</t>
  </si>
  <si>
    <t xml:space="preserve">% as top trait</t>
  </si>
  <si>
    <t xml:space="preserve">% in top three</t>
  </si>
  <si>
    <t xml:space="preserve">Students, top trait</t>
  </si>
  <si>
    <t xml:space="preserve">Students, in top three</t>
  </si>
  <si>
    <t xml:space="preserve">Doer  (Realistic)</t>
  </si>
  <si>
    <t xml:space="preserve">Thinker  (Investigative)</t>
  </si>
  <si>
    <t xml:space="preserve">Creator  (Artistic)</t>
  </si>
  <si>
    <t xml:space="preserve">Helper  (Social)</t>
  </si>
  <si>
    <t xml:space="preserve">Persuader  (Enterprising)</t>
  </si>
  <si>
    <t xml:space="preserve">Conventional  (Conventional)</t>
  </si>
  <si>
    <t xml:space="preserve">SPREAD — how concentrated the school is</t>
  </si>
  <si>
    <t xml:space="preserve">Highest trait share</t>
  </si>
  <si>
    <t xml:space="preserve">Lowest trait share</t>
  </si>
  <si>
    <t xml:space="preserve">Spread (highest minus lowest)</t>
  </si>
  <si>
    <t xml:space="preserve">Traits above 20%</t>
  </si>
  <si>
    <t xml:space="preserve">4. LEARNING STYLE</t>
  </si>
  <si>
    <t xml:space="preserve">Multiple-intelligence profile. 'Strong' is a score of 10 or more out of 12; 'low' is 8 or under.</t>
  </si>
  <si>
    <t xml:space="preserve">Intelligence</t>
  </si>
  <si>
    <t xml:space="preserve">% strong</t>
  </si>
  <si>
    <t xml:space="preserve">% low</t>
  </si>
  <si>
    <t xml:space="preserve">Avg score</t>
  </si>
  <si>
    <t xml:space="preserve">Students strong</t>
  </si>
  <si>
    <t xml:space="preserve">Students low</t>
  </si>
  <si>
    <t xml:space="preserve">Body smart  (Bodily-Kinesthetic)</t>
  </si>
  <si>
    <t xml:space="preserve">People smart  (Interpersonal)</t>
  </si>
  <si>
    <t xml:space="preserve">Self smart  (Intrapersonal)</t>
  </si>
  <si>
    <t xml:space="preserve">Word smart  (Linguistic)</t>
  </si>
  <si>
    <t xml:space="preserve">Logic smart  (Logical-Mathematical)</t>
  </si>
  <si>
    <t xml:space="preserve">Music smart  (Musical)</t>
  </si>
  <si>
    <t xml:space="preserve">Picture smart  (Visual-Spatial)</t>
  </si>
  <si>
    <t xml:space="preserve">Nature smart  (Naturalistic)</t>
  </si>
  <si>
    <t xml:space="preserve">5. ABILITIES</t>
  </si>
  <si>
    <t xml:space="preserve">Strong = 10 or more out of 12. Low = 8 or under. The gap column is how much bigger the weak group is than the strong group.</t>
  </si>
  <si>
    <t xml:space="preserve">Ability</t>
  </si>
  <si>
    <t xml:space="preserve">Gap (low minus strong)</t>
  </si>
  <si>
    <t xml:space="preserve">ABILITY LOAD PER STUDENT</t>
  </si>
  <si>
    <t xml:space="preserve">Average abilities scored 10+</t>
  </si>
  <si>
    <t xml:space="preserve">Average abilities scored 8-</t>
  </si>
  <si>
    <t xml:space="preserve">Students with 5+ weak abilities</t>
  </si>
  <si>
    <t xml:space="preserve">… as % of school</t>
  </si>
  <si>
    <t xml:space="preserve">6. VALUES</t>
  </si>
  <si>
    <t xml:space="preserve">What students say they want from work. Percentage placing each value anywhere in their top five.</t>
  </si>
  <si>
    <t xml:space="preserve">% in top five</t>
  </si>
  <si>
    <t xml:space="preserve">Rank</t>
  </si>
  <si>
    <t xml:space="preserve">Lucrative Salary</t>
  </si>
  <si>
    <t xml:space="preserve">High Achievement</t>
  </si>
  <si>
    <t xml:space="preserve">Job Security</t>
  </si>
  <si>
    <t xml:space="preserve">Building Relations</t>
  </si>
  <si>
    <t xml:space="preserve">Mental Activity</t>
  </si>
  <si>
    <t xml:space="preserve">Physical Activity</t>
  </si>
  <si>
    <t xml:space="preserve">Leadership</t>
  </si>
  <si>
    <t xml:space="preserve">Autonomy</t>
  </si>
  <si>
    <t xml:space="preserve">Hands on activities</t>
  </si>
  <si>
    <t xml:space="preserve">Working Conditions</t>
  </si>
  <si>
    <t xml:space="preserve">Routine Activity</t>
  </si>
  <si>
    <t xml:space="preserve">Prestige/Recognition</t>
  </si>
  <si>
    <t xml:space="preserve">Variety and Diversity</t>
  </si>
  <si>
    <t xml:space="preserve">Supervised Work</t>
  </si>
  <si>
    <t xml:space="preserve">7. CAREER GAP</t>
  </si>
  <si>
    <t xml:space="preserve">Where students are suited versus where they want to go. Gap is aspiring minus suited — positive means more students want it than fit it.</t>
  </si>
  <si>
    <t xml:space="preserve">Stream</t>
  </si>
  <si>
    <t xml:space="preserve">Suited %</t>
  </si>
  <si>
    <t xml:space="preserve">Aspiring %</t>
  </si>
  <si>
    <t xml:space="preserve">Gap</t>
  </si>
  <si>
    <t xml:space="preserve">Students suited</t>
  </si>
  <si>
    <t xml:space="preserve">Students aspiring</t>
  </si>
  <si>
    <t xml:space="preserve">Science</t>
  </si>
  <si>
    <t xml:space="preserve">Commerce</t>
  </si>
  <si>
    <t xml:space="preserve">Arts / Humanities</t>
  </si>
  <si>
    <t xml:space="preserve">BY CAREER CLUSTER</t>
  </si>
  <si>
    <t xml:space="preserve">Career cluster</t>
  </si>
  <si>
    <t xml:space="preserve">Suited (top 3)</t>
  </si>
  <si>
    <t xml:space="preserve">Aspiring</t>
  </si>
  <si>
    <t xml:space="preserve">Readiness %</t>
  </si>
  <si>
    <t xml:space="preserve">Engineering and Technology</t>
  </si>
  <si>
    <t xml:space="preserve">Science and Mathematics</t>
  </si>
  <si>
    <t xml:space="preserve">Computer Science, IT and Allied Fields</t>
  </si>
  <si>
    <t xml:space="preserve">Life Sciences /Medicine and Healthcare</t>
  </si>
  <si>
    <t xml:space="preserve">Paramedical</t>
  </si>
  <si>
    <t xml:space="preserve">Architecture</t>
  </si>
  <si>
    <t xml:space="preserve">Environmental Service</t>
  </si>
  <si>
    <t xml:space="preserve">Agriculture, Food Industry and Forestry</t>
  </si>
  <si>
    <t xml:space="preserve">Banking and Finance</t>
  </si>
  <si>
    <t xml:space="preserve">Management and Administration</t>
  </si>
  <si>
    <t xml:space="preserve">Marketing</t>
  </si>
  <si>
    <t xml:space="preserve">Sales</t>
  </si>
  <si>
    <t xml:space="preserve">Entrepreneurship</t>
  </si>
  <si>
    <t xml:space="preserve">Hospitality and Tourism</t>
  </si>
  <si>
    <t xml:space="preserve">Social Sciences and Humanities</t>
  </si>
  <si>
    <t xml:space="preserve">Law Studies</t>
  </si>
  <si>
    <t xml:space="preserve">Education and Training</t>
  </si>
  <si>
    <t xml:space="preserve">Art, Design</t>
  </si>
  <si>
    <t xml:space="preserve">Entertainment and Mass Media</t>
  </si>
  <si>
    <t xml:space="preserve">Community and Social Service</t>
  </si>
  <si>
    <t xml:space="preserve">Personal Care and Services</t>
  </si>
  <si>
    <t xml:space="preserve">Government and Public Administration</t>
  </si>
  <si>
    <t xml:space="preserve">Defence/ Protective Service</t>
  </si>
  <si>
    <t xml:space="preserve">Sports</t>
  </si>
  <si>
    <t xml:space="preserve">Readiness % = of the students who want this cluster, the share whose own profile also lists it. Blank means nobody chose it.</t>
  </si>
  <si>
    <t xml:space="preserve">8. BY CLASS</t>
  </si>
  <si>
    <t xml:space="preserve">Class-by-class comparison. This sheet ignores the class filter on purpose, so you can see the whole school side by side.</t>
  </si>
  <si>
    <t xml:space="preserve">Career clarity %</t>
  </si>
  <si>
    <t xml:space="preserve">PERSONALITY — % as top trait</t>
  </si>
  <si>
    <t xml:space="preserve">  Doer (Realistic)</t>
  </si>
  <si>
    <t xml:space="preserve">  Thinker (Investigative)</t>
  </si>
  <si>
    <t xml:space="preserve">  Creator (Artistic)</t>
  </si>
  <si>
    <t xml:space="preserve">  Helper (Social)</t>
  </si>
  <si>
    <t xml:space="preserve">  Persuader (Enterprising)</t>
  </si>
  <si>
    <t xml:space="preserve">  Conventional (Conventional)</t>
  </si>
  <si>
    <t xml:space="preserve">LEARNING STYLE — % strong</t>
  </si>
  <si>
    <t xml:space="preserve">  Body smart</t>
  </si>
  <si>
    <t xml:space="preserve">  People smart</t>
  </si>
  <si>
    <t xml:space="preserve">  Self smart</t>
  </si>
  <si>
    <t xml:space="preserve">  Word smart</t>
  </si>
  <si>
    <t xml:space="preserve">  Logic smart</t>
  </si>
  <si>
    <t xml:space="preserve">  Music smart</t>
  </si>
  <si>
    <t xml:space="preserve">  Picture smart</t>
  </si>
  <si>
    <t xml:space="preserve">  Nature smart</t>
  </si>
  <si>
    <t xml:space="preserve">ABILITIES — % low (8 or under)</t>
  </si>
  <si>
    <t xml:space="preserve">  Speed and accuracy</t>
  </si>
  <si>
    <t xml:space="preserve">  Computational</t>
  </si>
  <si>
    <t xml:space="preserve">  Creativity</t>
  </si>
  <si>
    <t xml:space="preserve">  Communication</t>
  </si>
  <si>
    <t xml:space="preserve">  Technical</t>
  </si>
  <si>
    <t xml:space="preserve">  Decision making &amp; problem solving</t>
  </si>
  <si>
    <t xml:space="preserve">  Finger dexterity</t>
  </si>
  <si>
    <t xml:space="preserve">  Form perception</t>
  </si>
  <si>
    <t xml:space="preserve">  Logical reasoning</t>
  </si>
  <si>
    <t xml:space="preserve">  Motor movement</t>
  </si>
  <si>
    <t xml:space="preserve">STREAM FIT vs WISH — % of class</t>
  </si>
  <si>
    <t xml:space="preserve">  Science — suited</t>
  </si>
  <si>
    <t xml:space="preserve">  Science — aspiring</t>
  </si>
  <si>
    <t xml:space="preserve">  Commerce — suited</t>
  </si>
  <si>
    <t xml:space="preserve">  Commerce — aspiring</t>
  </si>
  <si>
    <t xml:space="preserve">  Arts / Humanities — suited</t>
  </si>
  <si>
    <t xml:space="preserve">  Arts / Humanities — aspiring</t>
  </si>
  <si>
    <t xml:space="preserve">9. CHARTS</t>
  </si>
  <si>
    <t xml:space="preserve">All charts follow the class filter on sheet 2. Screen-share this tab.</t>
  </si>
  <si>
    <t xml:space="preserve">Personality mix</t>
  </si>
  <si>
    <t xml:space="preserve">Doer</t>
  </si>
  <si>
    <t xml:space="preserve">Thinker</t>
  </si>
  <si>
    <t xml:space="preserve">Creator</t>
  </si>
  <si>
    <t xml:space="preserve">Helper</t>
  </si>
  <si>
    <t xml:space="preserve">Persuader</t>
  </si>
  <si>
    <t xml:space="preserve">Learning style</t>
  </si>
  <si>
    <t xml:space="preserve">Body smart</t>
  </si>
  <si>
    <t xml:space="preserve">People smart</t>
  </si>
  <si>
    <t xml:space="preserve">Self smart</t>
  </si>
  <si>
    <t xml:space="preserve">Word smart</t>
  </si>
  <si>
    <t xml:space="preserve">Logic smart</t>
  </si>
  <si>
    <t xml:space="preserve">Music smart</t>
  </si>
  <si>
    <t xml:space="preserve">Picture smart</t>
  </si>
  <si>
    <t xml:space="preserve">Nature smart</t>
  </si>
  <si>
    <t xml:space="preserve">Abilities</t>
  </si>
  <si>
    <t xml:space="preserve">Strong</t>
  </si>
  <si>
    <t xml:space="preserve">Low</t>
  </si>
  <si>
    <t xml:space="preserve">Values</t>
  </si>
  <si>
    <t xml:space="preserve">Stream fit vs wish</t>
  </si>
  <si>
    <t xml:space="preserve">Suited</t>
  </si>
  <si>
    <t xml:space="preserve">Students by class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</si>
</sst>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\%"/>
    <numFmt numFmtId="167" formatCode="0"/>
    <numFmt numFmtId="168" formatCode="\+0\%;\-0\%;0\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4B37"/>
      <name val="Arial"/>
      <family val="0"/>
      <charset val="1"/>
    </font>
    <font>
      <i val="true"/>
      <sz val="9"/>
      <color rgb="FF5A66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5A6660"/>
      <name val="Arial"/>
      <family val="0"/>
      <charset val="1"/>
    </font>
    <font>
      <sz val="10"/>
      <name val="Arial"/>
      <family val="2"/>
    </font>
    <font>
      <sz val="8"/>
      <color rgb="FFCCCCC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4B37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4B37"/>
        <bgColor rgb="FF003300"/>
      </patternFill>
    </fill>
    <fill>
      <patternFill patternType="solid">
        <fgColor rgb="FF5A6660"/>
        <bgColor rgb="FF8064A2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5DF"/>
      </left>
      <right style="thin">
        <color rgb="FFDCE5DF"/>
      </right>
      <top style="thin">
        <color rgb="FFDCE5DF"/>
      </top>
      <bottom style="thin">
        <color rgb="FFDCE5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A6660"/>
      <rgbColor rgb="FF800080"/>
      <rgbColor rgb="FF008080"/>
      <rgbColor rgb="FFCCCCCC"/>
      <rgbColor rgb="FF878787"/>
      <rgbColor rgb="FF9999FF"/>
      <rgbColor rgb="FFC0504D"/>
      <rgbColor rgb="FFFFF2CC"/>
      <rgbColor rgb="FFCCFFFF"/>
      <rgbColor rgb="FF660066"/>
      <rgbColor rgb="FFE8A33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5DF"/>
      <rgbColor rgb="FFFFFF99"/>
      <rgbColor rgb="FF99CCFF"/>
      <rgbColor rgb="FFFF99CC"/>
      <rgbColor rgb="FFCC99FF"/>
      <rgbColor rgb="FFFFCC99"/>
      <rgbColor rgb="FF3E7CB1"/>
      <rgbColor rgb="FF4BACC6"/>
      <rgbColor rgb="FF9BBB59"/>
      <rgbColor rgb="FFFFCC00"/>
      <rgbColor rgb="FFF79646"/>
      <rgbColor rgb="FFFF6600"/>
      <rgbColor rgb="FF8064A2"/>
      <rgbColor rgb="FF969696"/>
      <rgbColor rgb="FF004B37"/>
      <rgbColor rgb="FF4F81BD"/>
      <rgbColor rgb="FF003300"/>
      <rgbColor rgb="FF333300"/>
      <rgbColor rgb="FF993300"/>
      <rgbColor rgb="FFC25B4E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Personality mix (% as top trait)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'9. CHARTS'!$B$6:$B$11</c:f>
              <c:strCache>
                <c:ptCount val="6"/>
                <c:pt idx="0">
                  <c:v>Doer</c:v>
                </c:pt>
                <c:pt idx="1">
                  <c:v>Thinker</c:v>
                </c:pt>
                <c:pt idx="2">
                  <c:v>Creator</c:v>
                </c:pt>
                <c:pt idx="3">
                  <c:v>Helper</c:v>
                </c:pt>
                <c:pt idx="4">
                  <c:v>Persuader</c:v>
                </c:pt>
                <c:pt idx="5">
                  <c:v>Conventional</c:v>
                </c:pt>
              </c:strCache>
            </c:strRef>
          </c:cat>
          <c:val>
            <c:numRef>
              <c:f>'9. CHARTS'!$C$6:$C$11</c:f>
              <c:numCache>
                <c:formatCode>0\%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Learning style (% strong)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CHARTS'!$B$14:$B$21</c:f>
              <c:strCache>
                <c:ptCount val="8"/>
                <c:pt idx="0">
                  <c:v>Body smart</c:v>
                </c:pt>
                <c:pt idx="1">
                  <c:v>People smart</c:v>
                </c:pt>
                <c:pt idx="2">
                  <c:v>Self smart</c:v>
                </c:pt>
                <c:pt idx="3">
                  <c:v>Word smart</c:v>
                </c:pt>
                <c:pt idx="4">
                  <c:v>Logic smart</c:v>
                </c:pt>
                <c:pt idx="5">
                  <c:v>Music smart</c:v>
                </c:pt>
                <c:pt idx="6">
                  <c:v>Picture smart</c:v>
                </c:pt>
                <c:pt idx="7">
                  <c:v>Nature smart</c:v>
                </c:pt>
              </c:strCache>
            </c:strRef>
          </c:cat>
          <c:val>
            <c:numRef>
              <c:f>'9. CHARTS'!$C$14:$C$21</c:f>
              <c:numCache>
                <c:formatCode>0\%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3097212"/>
        <c:axId val="33533930"/>
      </c:barChart>
      <c:catAx>
        <c:axId val="30972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33930"/>
        <c:crosses val="autoZero"/>
        <c:auto val="1"/>
        <c:lblAlgn val="ctr"/>
        <c:lblOffset val="100"/>
        <c:noMultiLvlLbl val="0"/>
      </c:catAx>
      <c:valAx>
        <c:axId val="33533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72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Abilities: strong vs low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'9. CHARTS'!C24</c:f>
              <c:strCache>
                <c:ptCount val="1"/>
                <c:pt idx="0">
                  <c:v>Strong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CHARTS'!$B$25:$B$34</c:f>
              <c:strCache>
                <c:ptCount val="10"/>
                <c:pt idx="0">
                  <c:v>Speed and accuracy</c:v>
                </c:pt>
                <c:pt idx="1">
                  <c:v>Computational</c:v>
                </c:pt>
                <c:pt idx="2">
                  <c:v>Creativity</c:v>
                </c:pt>
                <c:pt idx="3">
                  <c:v>Communication</c:v>
                </c:pt>
                <c:pt idx="4">
                  <c:v>Technical</c:v>
                </c:pt>
                <c:pt idx="5">
                  <c:v>Decision making &amp; problem solving</c:v>
                </c:pt>
                <c:pt idx="6">
                  <c:v>Finger dexterity</c:v>
                </c:pt>
                <c:pt idx="7">
                  <c:v>Form perception</c:v>
                </c:pt>
                <c:pt idx="8">
                  <c:v>Logical reasoning</c:v>
                </c:pt>
                <c:pt idx="9">
                  <c:v>Motor movement</c:v>
                </c:pt>
              </c:strCache>
            </c:strRef>
          </c:cat>
          <c:val>
            <c:numRef>
              <c:f>'9. CHARTS'!$C$25:$C$34</c:f>
              <c:numCache>
                <c:formatCode>0\%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'9. CHARTS'!D24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CHARTS'!$B$25:$B$34</c:f>
              <c:strCache>
                <c:ptCount val="10"/>
                <c:pt idx="0">
                  <c:v>Speed and accuracy</c:v>
                </c:pt>
                <c:pt idx="1">
                  <c:v>Computational</c:v>
                </c:pt>
                <c:pt idx="2">
                  <c:v>Creativity</c:v>
                </c:pt>
                <c:pt idx="3">
                  <c:v>Communication</c:v>
                </c:pt>
                <c:pt idx="4">
                  <c:v>Technical</c:v>
                </c:pt>
                <c:pt idx="5">
                  <c:v>Decision making &amp; problem solving</c:v>
                </c:pt>
                <c:pt idx="6">
                  <c:v>Finger dexterity</c:v>
                </c:pt>
                <c:pt idx="7">
                  <c:v>Form perception</c:v>
                </c:pt>
                <c:pt idx="8">
                  <c:v>Logical reasoning</c:v>
                </c:pt>
                <c:pt idx="9">
                  <c:v>Motor movement</c:v>
                </c:pt>
              </c:strCache>
            </c:strRef>
          </c:cat>
          <c:val>
            <c:numRef>
              <c:f>'9. CHARTS'!$D$25:$D$34</c:f>
              <c:numCache>
                <c:formatCode>0\%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17587433"/>
        <c:axId val="47327346"/>
      </c:barChart>
      <c:catAx>
        <c:axId val="175874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27346"/>
        <c:crosses val="autoZero"/>
        <c:auto val="1"/>
        <c:lblAlgn val="ctr"/>
        <c:lblOffset val="100"/>
        <c:noMultiLvlLbl val="0"/>
      </c:catAx>
      <c:valAx>
        <c:axId val="473273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874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Values (% placing in top five)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CHARTS'!$B$37:$B$51</c:f>
              <c:strCache>
                <c:ptCount val="15"/>
                <c:pt idx="0">
                  <c:v>Lucrative Salary</c:v>
                </c:pt>
                <c:pt idx="1">
                  <c:v>High Achievement</c:v>
                </c:pt>
                <c:pt idx="2">
                  <c:v>Job Security</c:v>
                </c:pt>
                <c:pt idx="3">
                  <c:v>Building Relations</c:v>
                </c:pt>
                <c:pt idx="4">
                  <c:v>Mental Activity</c:v>
                </c:pt>
                <c:pt idx="5">
                  <c:v>Creativity</c:v>
                </c:pt>
                <c:pt idx="6">
                  <c:v>Physical Activity</c:v>
                </c:pt>
                <c:pt idx="7">
                  <c:v>Leadership</c:v>
                </c:pt>
                <c:pt idx="8">
                  <c:v>Autonomy</c:v>
                </c:pt>
                <c:pt idx="9">
                  <c:v>Hands on activities</c:v>
                </c:pt>
                <c:pt idx="10">
                  <c:v>Working Conditions</c:v>
                </c:pt>
                <c:pt idx="11">
                  <c:v>Routine Activity</c:v>
                </c:pt>
                <c:pt idx="12">
                  <c:v>Prestige/Recognition</c:v>
                </c:pt>
                <c:pt idx="13">
                  <c:v>Variety and Diversity</c:v>
                </c:pt>
                <c:pt idx="14">
                  <c:v>Supervised Work</c:v>
                </c:pt>
              </c:strCache>
            </c:strRef>
          </c:cat>
          <c:val>
            <c:numRef>
              <c:f>'9. CHARTS'!$C$37:$C$51</c:f>
              <c:numCache>
                <c:formatCode>0\%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52096402"/>
        <c:axId val="90082308"/>
      </c:barChart>
      <c:catAx>
        <c:axId val="520964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82308"/>
        <c:crosses val="autoZero"/>
        <c:auto val="1"/>
        <c:lblAlgn val="ctr"/>
        <c:lblOffset val="100"/>
        <c:noMultiLvlLbl val="0"/>
      </c:catAx>
      <c:valAx>
        <c:axId val="900823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964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Stream: suited vs aspiring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'9. CHARTS'!C54</c:f>
              <c:strCache>
                <c:ptCount val="1"/>
                <c:pt idx="0">
                  <c:v>Suited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CHARTS'!$B$55:$B$57</c:f>
              <c:strCache>
                <c:ptCount val="3"/>
                <c:pt idx="0">
                  <c:v>Science</c:v>
                </c:pt>
                <c:pt idx="1">
                  <c:v>Commerce</c:v>
                </c:pt>
                <c:pt idx="2">
                  <c:v>Arts / Humanities</c:v>
                </c:pt>
              </c:strCache>
            </c:strRef>
          </c:cat>
          <c:val>
            <c:numRef>
              <c:f>'9. CHARTS'!$C$55:$C$57</c:f>
              <c:numCache>
                <c:formatCode>0\%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'9. CHARTS'!D54</c:f>
              <c:strCache>
                <c:ptCount val="1"/>
                <c:pt idx="0">
                  <c:v>Aspiring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CHARTS'!$B$55:$B$57</c:f>
              <c:strCache>
                <c:ptCount val="3"/>
                <c:pt idx="0">
                  <c:v>Science</c:v>
                </c:pt>
                <c:pt idx="1">
                  <c:v>Commerce</c:v>
                </c:pt>
                <c:pt idx="2">
                  <c:v>Arts / Humanities</c:v>
                </c:pt>
              </c:strCache>
            </c:strRef>
          </c:cat>
          <c:val>
            <c:numRef>
              <c:f>'9. CHARTS'!$D$55:$D$57</c:f>
              <c:numCache>
                <c:formatCode>0\%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85714861"/>
        <c:axId val="43789996"/>
      </c:barChart>
      <c:catAx>
        <c:axId val="857148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89996"/>
        <c:crosses val="autoZero"/>
        <c:auto val="1"/>
        <c:lblAlgn val="ctr"/>
        <c:lblOffset val="100"/>
        <c:noMultiLvlLbl val="0"/>
      </c:catAx>
      <c:valAx>
        <c:axId val="437899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148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Students by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CHARTS'!$B$60:$B$66</c:f>
              <c:strCache>
                <c:ptCount val="7"/>
                <c:pt idx="0">
                  <c:v>Class 6</c:v>
                </c:pt>
                <c:pt idx="1">
                  <c:v>Class 7</c:v>
                </c:pt>
                <c:pt idx="2">
                  <c:v>Class 8</c:v>
                </c:pt>
                <c:pt idx="3">
                  <c:v>Class 9</c:v>
                </c:pt>
                <c:pt idx="4">
                  <c:v>Class 10</c:v>
                </c:pt>
                <c:pt idx="5">
                  <c:v>Class 11</c:v>
                </c:pt>
                <c:pt idx="6">
                  <c:v>Class 12</c:v>
                </c:pt>
              </c:strCache>
            </c:strRef>
          </c:cat>
          <c:val>
            <c:numRef>
              <c:f>'9. CHARTS'!$C$60:$C$66</c:f>
              <c:numCache>
                <c:formatCode>0\%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75566134"/>
        <c:axId val="48833817"/>
      </c:barChart>
      <c:catAx>
        <c:axId val="755661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33817"/>
        <c:crosses val="autoZero"/>
        <c:auto val="1"/>
        <c:lblAlgn val="ctr"/>
        <c:lblOffset val="100"/>
        <c:noMultiLvlLbl val="0"/>
      </c:catAx>
      <c:valAx>
        <c:axId val="488338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661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145440</xdr:rowOff>
    </xdr:from>
    <xdr:to>
      <xdr:col>11</xdr:col>
      <xdr:colOff>290880</xdr:colOff>
      <xdr:row>17</xdr:row>
      <xdr:rowOff>167760</xdr:rowOff>
    </xdr:to>
    <xdr:graphicFrame>
      <xdr:nvGraphicFramePr>
        <xdr:cNvPr id="0" name="Chart 1"/>
        <xdr:cNvGraphicFramePr/>
      </xdr:nvGraphicFramePr>
      <xdr:xfrm>
        <a:off x="4158720" y="57168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145440</xdr:rowOff>
    </xdr:from>
    <xdr:to>
      <xdr:col>11</xdr:col>
      <xdr:colOff>290880</xdr:colOff>
      <xdr:row>34</xdr:row>
      <xdr:rowOff>167400</xdr:rowOff>
    </xdr:to>
    <xdr:graphicFrame>
      <xdr:nvGraphicFramePr>
        <xdr:cNvPr id="1" name="Chart 2"/>
        <xdr:cNvGraphicFramePr/>
      </xdr:nvGraphicFramePr>
      <xdr:xfrm>
        <a:off x="4158720" y="380988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36</xdr:row>
      <xdr:rowOff>145440</xdr:rowOff>
    </xdr:from>
    <xdr:to>
      <xdr:col>12</xdr:col>
      <xdr:colOff>399240</xdr:colOff>
      <xdr:row>55</xdr:row>
      <xdr:rowOff>125640</xdr:rowOff>
    </xdr:to>
    <xdr:graphicFrame>
      <xdr:nvGraphicFramePr>
        <xdr:cNvPr id="2" name="Chart 3"/>
        <xdr:cNvGraphicFramePr/>
      </xdr:nvGraphicFramePr>
      <xdr:xfrm>
        <a:off x="4158720" y="704844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57</xdr:row>
      <xdr:rowOff>145440</xdr:rowOff>
    </xdr:from>
    <xdr:to>
      <xdr:col>13</xdr:col>
      <xdr:colOff>147600</xdr:colOff>
      <xdr:row>72</xdr:row>
      <xdr:rowOff>167760</xdr:rowOff>
    </xdr:to>
    <xdr:graphicFrame>
      <xdr:nvGraphicFramePr>
        <xdr:cNvPr id="3" name="Chart 4"/>
        <xdr:cNvGraphicFramePr/>
      </xdr:nvGraphicFramePr>
      <xdr:xfrm>
        <a:off x="4158720" y="11049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74</xdr:row>
      <xdr:rowOff>145440</xdr:rowOff>
    </xdr:from>
    <xdr:to>
      <xdr:col>11</xdr:col>
      <xdr:colOff>290880</xdr:colOff>
      <xdr:row>89</xdr:row>
      <xdr:rowOff>167760</xdr:rowOff>
    </xdr:to>
    <xdr:graphicFrame>
      <xdr:nvGraphicFramePr>
        <xdr:cNvPr id="4" name="Chart 5"/>
        <xdr:cNvGraphicFramePr/>
      </xdr:nvGraphicFramePr>
      <xdr:xfrm>
        <a:off x="4158720" y="1428768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0</xdr:colOff>
      <xdr:row>91</xdr:row>
      <xdr:rowOff>145440</xdr:rowOff>
    </xdr:from>
    <xdr:to>
      <xdr:col>11</xdr:col>
      <xdr:colOff>290880</xdr:colOff>
      <xdr:row>104</xdr:row>
      <xdr:rowOff>188280</xdr:rowOff>
    </xdr:to>
    <xdr:graphicFrame>
      <xdr:nvGraphicFramePr>
        <xdr:cNvPr id="5" name="Chart 6"/>
        <xdr:cNvGraphicFramePr/>
      </xdr:nvGraphicFramePr>
      <xdr:xfrm>
        <a:off x="4158720" y="1752588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7CB1"/>
    <pageSetUpPr fitToPage="false"/>
  </sheetPr>
  <dimension ref="A1:BE15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5" min="3" style="0" width="11"/>
    <col collapsed="false" customWidth="true" hidden="false" outlineLevel="0" max="6" min="6" style="0" width="21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24"/>
    <col collapsed="false" customWidth="true" hidden="false" outlineLevel="0" max="12" min="12" style="0" width="19"/>
    <col collapsed="false" customWidth="true" hidden="false" outlineLevel="0" max="13" min="13" style="0" width="18"/>
    <col collapsed="false" customWidth="true" hidden="false" outlineLevel="0" max="14" min="14" style="0" width="20"/>
    <col collapsed="false" customWidth="true" hidden="false" outlineLevel="0" max="15" min="15" style="0" width="17"/>
    <col collapsed="false" customWidth="true" hidden="false" outlineLevel="0" max="16" min="16" style="0" width="21"/>
    <col collapsed="false" customWidth="true" hidden="false" outlineLevel="0" max="18" min="17" style="0" width="16"/>
    <col collapsed="false" customWidth="true" hidden="false" outlineLevel="0" max="19" min="19" style="0" width="13"/>
    <col collapsed="false" customWidth="true" hidden="false" outlineLevel="0" max="20" min="20" style="0" width="23"/>
    <col collapsed="false" customWidth="true" hidden="false" outlineLevel="0" max="21" min="21" style="0" width="11"/>
    <col collapsed="false" customWidth="true" hidden="false" outlineLevel="0" max="22" min="22" style="0" width="17"/>
    <col collapsed="false" customWidth="true" hidden="false" outlineLevel="0" max="23" min="23" style="0" width="15"/>
    <col collapsed="false" customWidth="true" hidden="false" outlineLevel="0" max="24" min="24" style="0" width="12"/>
    <col collapsed="false" customWidth="true" hidden="false" outlineLevel="0" max="25" min="25" style="0" width="16"/>
    <col collapsed="false" customWidth="true" hidden="false" outlineLevel="0" max="27" min="26" style="0" width="11"/>
    <col collapsed="false" customWidth="true" hidden="false" outlineLevel="0" max="29" min="28" style="0" width="15"/>
    <col collapsed="false" customWidth="true" hidden="false" outlineLevel="0" max="32" min="30" style="0" width="19"/>
    <col collapsed="false" customWidth="true" hidden="false" outlineLevel="0" max="37" min="33" style="0" width="11"/>
    <col collapsed="false" customWidth="true" hidden="false" outlineLevel="0" max="50" min="38" style="0" width="22"/>
    <col collapsed="false" customWidth="true" hidden="false" outlineLevel="0" max="57" min="52" style="0" width="17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5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Z3" s="4" t="s">
        <v>52</v>
      </c>
      <c r="BA3" s="4" t="s">
        <v>53</v>
      </c>
      <c r="BB3" s="4" t="s">
        <v>54</v>
      </c>
      <c r="BC3" s="4" t="s">
        <v>55</v>
      </c>
      <c r="BD3" s="4" t="s">
        <v>56</v>
      </c>
      <c r="BE3" s="4" t="s">
        <v>57</v>
      </c>
    </row>
    <row r="4" customFormat="false" ht="15" hidden="false" customHeight="false" outlineLevel="0" collapsed="false">
      <c r="AZ4" s="5" t="str">
        <f aca="false">IF($B4="","",SUMPRODUCT(($AL4:$AO4&lt;&gt;"")*(COUNTIF($AP4:$AX4,$AL4:$AO4)&gt;0)))</f>
        <v/>
      </c>
      <c r="BA4" s="5" t="str">
        <f aca="false">IF($B4="","",IF(AZ4&gt;0,1,0))</f>
        <v/>
      </c>
      <c r="BB4" s="5" t="str">
        <f aca="false">IF($AP4="","",IF((($AP4="Engineering and Technology")+($AP4="Science and Mathematics")+($AP4="Computer Science, IT and Allied Fields")+($AP4="Life Sciences /Medicine and Healthcare")+($AP4="Paramedical")+($AP4="Architecture")+($AP4="Environmental Service")+($AP4="Agriculture, Food Industry and Forestry"))&gt;0,"Science",IF((($AP4="Banking and Finance")+($AP4="Management and Administration")+($AP4="Marketing")+($AP4="Sales")+($AP4="Entrepreneurship")+($AP4="Hospitality and Tourism"))&gt;0,"Commerce",IF((($AP4="Social Sciences and Humanities")+($AP4="Law Studies")+($AP4="Education and Training")+($AP4="Art, Design")+($AP4="Entertainment and Mass Media")+($AP4="Community and Social Service")+($AP4="Personal Care and Services")+($AP4="Government and Public Administration")+($AP4="Defence/ Protective Service")+($AP4="Sports"))&gt;0,"Arts / Humanities",""))))</f>
        <v/>
      </c>
      <c r="BC4" s="5" t="str">
        <f aca="false">IF($AL4="","",IF((($AL4="Engineering and Technology")+($AL4="Science and Mathematics")+($AL4="Computer Science, IT and Allied Fields")+($AL4="Life Sciences /Medicine and Healthcare")+($AL4="Paramedical")+($AL4="Architecture")+($AL4="Environmental Service")+($AL4="Agriculture, Food Industry and Forestry"))&gt;0,"Science",IF((($AL4="Banking and Finance")+($AL4="Management and Administration")+($AL4="Marketing")+($AL4="Sales")+($AL4="Entrepreneurship")+($AL4="Hospitality and Tourism"))&gt;0,"Commerce",IF((($AL4="Social Sciences and Humanities")+($AL4="Law Studies")+($AL4="Education and Training")+($AL4="Art, Design")+($AL4="Entertainment and Mass Media")+($AL4="Community and Social Service")+($AL4="Personal Care and Services")+($AL4="Government and Public Administration")+($AL4="Defence/ Protective Service")+($AL4="Sports"))&gt;0,"Arts / Humanities",""))))</f>
        <v/>
      </c>
      <c r="BD4" s="5" t="str">
        <f aca="false">IF($B4="","",--(F4&gt;=10)+--(G4&gt;=10)+--(H4&gt;=10)+--(I4&gt;=10)+--(J4&gt;=10)+--(K4&gt;=10)+--(L4&gt;=10)+--(M4&gt;=10)+--(N4&gt;=10)+--(O4&gt;=10))</f>
        <v/>
      </c>
      <c r="BE4" s="5" t="str">
        <f aca="false">IF($B4="","",--(AND(F4&lt;&gt;"",F4&lt;=8))+--(AND(G4&lt;&gt;"",G4&lt;=8))+--(AND(H4&lt;&gt;"",H4&lt;=8))+--(AND(I4&lt;&gt;"",I4&lt;=8))+--(AND(J4&lt;&gt;"",J4&lt;=8))+--(AND(K4&lt;&gt;"",K4&lt;=8))+--(AND(L4&lt;&gt;"",L4&lt;=8))+--(AND(M4&lt;&gt;"",M4&lt;=8))+--(AND(N4&lt;&gt;"",N4&lt;=8))+--(AND(O4&lt;&gt;"",O4&lt;=8)))</f>
        <v/>
      </c>
    </row>
    <row r="5" customFormat="false" ht="15" hidden="false" customHeight="false" outlineLevel="0" collapsed="false">
      <c r="AZ5" s="5" t="str">
        <f aca="false">IF($B5="","",SUMPRODUCT(($AL5:$AO5&lt;&gt;"")*(COUNTIF($AP5:$AX5,$AL5:$AO5)&gt;0)))</f>
        <v/>
      </c>
      <c r="BA5" s="5" t="str">
        <f aca="false">IF($B5="","",IF(AZ5&gt;0,1,0))</f>
        <v/>
      </c>
      <c r="BB5" s="5" t="str">
        <f aca="false">IF($AP5="","",IF((($AP5="Engineering and Technology")+($AP5="Science and Mathematics")+($AP5="Computer Science, IT and Allied Fields")+($AP5="Life Sciences /Medicine and Healthcare")+($AP5="Paramedical")+($AP5="Architecture")+($AP5="Environmental Service")+($AP5="Agriculture, Food Industry and Forestry"))&gt;0,"Science",IF((($AP5="Banking and Finance")+($AP5="Management and Administration")+($AP5="Marketing")+($AP5="Sales")+($AP5="Entrepreneurship")+($AP5="Hospitality and Tourism"))&gt;0,"Commerce",IF((($AP5="Social Sciences and Humanities")+($AP5="Law Studies")+($AP5="Education and Training")+($AP5="Art, Design")+($AP5="Entertainment and Mass Media")+($AP5="Community and Social Service")+($AP5="Personal Care and Services")+($AP5="Government and Public Administration")+($AP5="Defence/ Protective Service")+($AP5="Sports"))&gt;0,"Arts / Humanities",""))))</f>
        <v/>
      </c>
      <c r="BC5" s="5" t="str">
        <f aca="false">IF($AL5="","",IF((($AL5="Engineering and Technology")+($AL5="Science and Mathematics")+($AL5="Computer Science, IT and Allied Fields")+($AL5="Life Sciences /Medicine and Healthcare")+($AL5="Paramedical")+($AL5="Architecture")+($AL5="Environmental Service")+($AL5="Agriculture, Food Industry and Forestry"))&gt;0,"Science",IF((($AL5="Banking and Finance")+($AL5="Management and Administration")+($AL5="Marketing")+($AL5="Sales")+($AL5="Entrepreneurship")+($AL5="Hospitality and Tourism"))&gt;0,"Commerce",IF((($AL5="Social Sciences and Humanities")+($AL5="Law Studies")+($AL5="Education and Training")+($AL5="Art, Design")+($AL5="Entertainment and Mass Media")+($AL5="Community and Social Service")+($AL5="Personal Care and Services")+($AL5="Government and Public Administration")+($AL5="Defence/ Protective Service")+($AL5="Sports"))&gt;0,"Arts / Humanities",""))))</f>
        <v/>
      </c>
      <c r="BD5" s="5" t="str">
        <f aca="false">IF($B5="","",--(F5&gt;=10)+--(G5&gt;=10)+--(H5&gt;=10)+--(I5&gt;=10)+--(J5&gt;=10)+--(K5&gt;=10)+--(L5&gt;=10)+--(M5&gt;=10)+--(N5&gt;=10)+--(O5&gt;=10))</f>
        <v/>
      </c>
      <c r="BE5" s="5" t="str">
        <f aca="false">IF($B5="","",--(AND(F5&lt;&gt;"",F5&lt;=8))+--(AND(G5&lt;&gt;"",G5&lt;=8))+--(AND(H5&lt;&gt;"",H5&lt;=8))+--(AND(I5&lt;&gt;"",I5&lt;=8))+--(AND(J5&lt;&gt;"",J5&lt;=8))+--(AND(K5&lt;&gt;"",K5&lt;=8))+--(AND(L5&lt;&gt;"",L5&lt;=8))+--(AND(M5&lt;&gt;"",M5&lt;=8))+--(AND(N5&lt;&gt;"",N5&lt;=8))+--(AND(O5&lt;&gt;"",O5&lt;=8)))</f>
        <v/>
      </c>
    </row>
    <row r="6" customFormat="false" ht="15" hidden="false" customHeight="false" outlineLevel="0" collapsed="false">
      <c r="AZ6" s="5" t="str">
        <f aca="false">IF($B6="","",SUMPRODUCT(($AL6:$AO6&lt;&gt;"")*(COUNTIF($AP6:$AX6,$AL6:$AO6)&gt;0)))</f>
        <v/>
      </c>
      <c r="BA6" s="5" t="str">
        <f aca="false">IF($B6="","",IF(AZ6&gt;0,1,0))</f>
        <v/>
      </c>
      <c r="BB6" s="5" t="str">
        <f aca="false">IF($AP6="","",IF((($AP6="Engineering and Technology")+($AP6="Science and Mathematics")+($AP6="Computer Science, IT and Allied Fields")+($AP6="Life Sciences /Medicine and Healthcare")+($AP6="Paramedical")+($AP6="Architecture")+($AP6="Environmental Service")+($AP6="Agriculture, Food Industry and Forestry"))&gt;0,"Science",IF((($AP6="Banking and Finance")+($AP6="Management and Administration")+($AP6="Marketing")+($AP6="Sales")+($AP6="Entrepreneurship")+($AP6="Hospitality and Tourism"))&gt;0,"Commerce",IF((($AP6="Social Sciences and Humanities")+($AP6="Law Studies")+($AP6="Education and Training")+($AP6="Art, Design")+($AP6="Entertainment and Mass Media")+($AP6="Community and Social Service")+($AP6="Personal Care and Services")+($AP6="Government and Public Administration")+($AP6="Defence/ Protective Service")+($AP6="Sports"))&gt;0,"Arts / Humanities",""))))</f>
        <v/>
      </c>
      <c r="BC6" s="5" t="str">
        <f aca="false">IF($AL6="","",IF((($AL6="Engineering and Technology")+($AL6="Science and Mathematics")+($AL6="Computer Science, IT and Allied Fields")+($AL6="Life Sciences /Medicine and Healthcare")+($AL6="Paramedical")+($AL6="Architecture")+($AL6="Environmental Service")+($AL6="Agriculture, Food Industry and Forestry"))&gt;0,"Science",IF((($AL6="Banking and Finance")+($AL6="Management and Administration")+($AL6="Marketing")+($AL6="Sales")+($AL6="Entrepreneurship")+($AL6="Hospitality and Tourism"))&gt;0,"Commerce",IF((($AL6="Social Sciences and Humanities")+($AL6="Law Studies")+($AL6="Education and Training")+($AL6="Art, Design")+($AL6="Entertainment and Mass Media")+($AL6="Community and Social Service")+($AL6="Personal Care and Services")+($AL6="Government and Public Administration")+($AL6="Defence/ Protective Service")+($AL6="Sports"))&gt;0,"Arts / Humanities",""))))</f>
        <v/>
      </c>
      <c r="BD6" s="5" t="str">
        <f aca="false">IF($B6="","",--(F6&gt;=10)+--(G6&gt;=10)+--(H6&gt;=10)+--(I6&gt;=10)+--(J6&gt;=10)+--(K6&gt;=10)+--(L6&gt;=10)+--(M6&gt;=10)+--(N6&gt;=10)+--(O6&gt;=10))</f>
        <v/>
      </c>
      <c r="BE6" s="5" t="str">
        <f aca="false">IF($B6="","",--(AND(F6&lt;&gt;"",F6&lt;=8))+--(AND(G6&lt;&gt;"",G6&lt;=8))+--(AND(H6&lt;&gt;"",H6&lt;=8))+--(AND(I6&lt;&gt;"",I6&lt;=8))+--(AND(J6&lt;&gt;"",J6&lt;=8))+--(AND(K6&lt;&gt;"",K6&lt;=8))+--(AND(L6&lt;&gt;"",L6&lt;=8))+--(AND(M6&lt;&gt;"",M6&lt;=8))+--(AND(N6&lt;&gt;"",N6&lt;=8))+--(AND(O6&lt;&gt;"",O6&lt;=8)))</f>
        <v/>
      </c>
    </row>
    <row r="7" customFormat="false" ht="15" hidden="false" customHeight="false" outlineLevel="0" collapsed="false">
      <c r="AZ7" s="5" t="str">
        <f aca="false">IF($B7="","",SUMPRODUCT(($AL7:$AO7&lt;&gt;"")*(COUNTIF($AP7:$AX7,$AL7:$AO7)&gt;0)))</f>
        <v/>
      </c>
      <c r="BA7" s="5" t="str">
        <f aca="false">IF($B7="","",IF(AZ7&gt;0,1,0))</f>
        <v/>
      </c>
      <c r="BB7" s="5" t="str">
        <f aca="false">IF($AP7="","",IF((($AP7="Engineering and Technology")+($AP7="Science and Mathematics")+($AP7="Computer Science, IT and Allied Fields")+($AP7="Life Sciences /Medicine and Healthcare")+($AP7="Paramedical")+($AP7="Architecture")+($AP7="Environmental Service")+($AP7="Agriculture, Food Industry and Forestry"))&gt;0,"Science",IF((($AP7="Banking and Finance")+($AP7="Management and Administration")+($AP7="Marketing")+($AP7="Sales")+($AP7="Entrepreneurship")+($AP7="Hospitality and Tourism"))&gt;0,"Commerce",IF((($AP7="Social Sciences and Humanities")+($AP7="Law Studies")+($AP7="Education and Training")+($AP7="Art, Design")+($AP7="Entertainment and Mass Media")+($AP7="Community and Social Service")+($AP7="Personal Care and Services")+($AP7="Government and Public Administration")+($AP7="Defence/ Protective Service")+($AP7="Sports"))&gt;0,"Arts / Humanities",""))))</f>
        <v/>
      </c>
      <c r="BC7" s="5" t="str">
        <f aca="false">IF($AL7="","",IF((($AL7="Engineering and Technology")+($AL7="Science and Mathematics")+($AL7="Computer Science, IT and Allied Fields")+($AL7="Life Sciences /Medicine and Healthcare")+($AL7="Paramedical")+($AL7="Architecture")+($AL7="Environmental Service")+($AL7="Agriculture, Food Industry and Forestry"))&gt;0,"Science",IF((($AL7="Banking and Finance")+($AL7="Management and Administration")+($AL7="Marketing")+($AL7="Sales")+($AL7="Entrepreneurship")+($AL7="Hospitality and Tourism"))&gt;0,"Commerce",IF((($AL7="Social Sciences and Humanities")+($AL7="Law Studies")+($AL7="Education and Training")+($AL7="Art, Design")+($AL7="Entertainment and Mass Media")+($AL7="Community and Social Service")+($AL7="Personal Care and Services")+($AL7="Government and Public Administration")+($AL7="Defence/ Protective Service")+($AL7="Sports"))&gt;0,"Arts / Humanities",""))))</f>
        <v/>
      </c>
      <c r="BD7" s="5" t="str">
        <f aca="false">IF($B7="","",--(F7&gt;=10)+--(G7&gt;=10)+--(H7&gt;=10)+--(I7&gt;=10)+--(J7&gt;=10)+--(K7&gt;=10)+--(L7&gt;=10)+--(M7&gt;=10)+--(N7&gt;=10)+--(O7&gt;=10))</f>
        <v/>
      </c>
      <c r="BE7" s="5" t="str">
        <f aca="false">IF($B7="","",--(AND(F7&lt;&gt;"",F7&lt;=8))+--(AND(G7&lt;&gt;"",G7&lt;=8))+--(AND(H7&lt;&gt;"",H7&lt;=8))+--(AND(I7&lt;&gt;"",I7&lt;=8))+--(AND(J7&lt;&gt;"",J7&lt;=8))+--(AND(K7&lt;&gt;"",K7&lt;=8))+--(AND(L7&lt;&gt;"",L7&lt;=8))+--(AND(M7&lt;&gt;"",M7&lt;=8))+--(AND(N7&lt;&gt;"",N7&lt;=8))+--(AND(O7&lt;&gt;"",O7&lt;=8)))</f>
        <v/>
      </c>
    </row>
    <row r="8" customFormat="false" ht="15" hidden="false" customHeight="false" outlineLevel="0" collapsed="false">
      <c r="AZ8" s="5" t="str">
        <f aca="false">IF($B8="","",SUMPRODUCT(($AL8:$AO8&lt;&gt;"")*(COUNTIF($AP8:$AX8,$AL8:$AO8)&gt;0)))</f>
        <v/>
      </c>
      <c r="BA8" s="5" t="str">
        <f aca="false">IF($B8="","",IF(AZ8&gt;0,1,0))</f>
        <v/>
      </c>
      <c r="BB8" s="5" t="str">
        <f aca="false">IF($AP8="","",IF((($AP8="Engineering and Technology")+($AP8="Science and Mathematics")+($AP8="Computer Science, IT and Allied Fields")+($AP8="Life Sciences /Medicine and Healthcare")+($AP8="Paramedical")+($AP8="Architecture")+($AP8="Environmental Service")+($AP8="Agriculture, Food Industry and Forestry"))&gt;0,"Science",IF((($AP8="Banking and Finance")+($AP8="Management and Administration")+($AP8="Marketing")+($AP8="Sales")+($AP8="Entrepreneurship")+($AP8="Hospitality and Tourism"))&gt;0,"Commerce",IF((($AP8="Social Sciences and Humanities")+($AP8="Law Studies")+($AP8="Education and Training")+($AP8="Art, Design")+($AP8="Entertainment and Mass Media")+($AP8="Community and Social Service")+($AP8="Personal Care and Services")+($AP8="Government and Public Administration")+($AP8="Defence/ Protective Service")+($AP8="Sports"))&gt;0,"Arts / Humanities",""))))</f>
        <v/>
      </c>
      <c r="BC8" s="5" t="str">
        <f aca="false">IF($AL8="","",IF((($AL8="Engineering and Technology")+($AL8="Science and Mathematics")+($AL8="Computer Science, IT and Allied Fields")+($AL8="Life Sciences /Medicine and Healthcare")+($AL8="Paramedical")+($AL8="Architecture")+($AL8="Environmental Service")+($AL8="Agriculture, Food Industry and Forestry"))&gt;0,"Science",IF((($AL8="Banking and Finance")+($AL8="Management and Administration")+($AL8="Marketing")+($AL8="Sales")+($AL8="Entrepreneurship")+($AL8="Hospitality and Tourism"))&gt;0,"Commerce",IF((($AL8="Social Sciences and Humanities")+($AL8="Law Studies")+($AL8="Education and Training")+($AL8="Art, Design")+($AL8="Entertainment and Mass Media")+($AL8="Community and Social Service")+($AL8="Personal Care and Services")+($AL8="Government and Public Administration")+($AL8="Defence/ Protective Service")+($AL8="Sports"))&gt;0,"Arts / Humanities",""))))</f>
        <v/>
      </c>
      <c r="BD8" s="5" t="str">
        <f aca="false">IF($B8="","",--(F8&gt;=10)+--(G8&gt;=10)+--(H8&gt;=10)+--(I8&gt;=10)+--(J8&gt;=10)+--(K8&gt;=10)+--(L8&gt;=10)+--(M8&gt;=10)+--(N8&gt;=10)+--(O8&gt;=10))</f>
        <v/>
      </c>
      <c r="BE8" s="5" t="str">
        <f aca="false">IF($B8="","",--(AND(F8&lt;&gt;"",F8&lt;=8))+--(AND(G8&lt;&gt;"",G8&lt;=8))+--(AND(H8&lt;&gt;"",H8&lt;=8))+--(AND(I8&lt;&gt;"",I8&lt;=8))+--(AND(J8&lt;&gt;"",J8&lt;=8))+--(AND(K8&lt;&gt;"",K8&lt;=8))+--(AND(L8&lt;&gt;"",L8&lt;=8))+--(AND(M8&lt;&gt;"",M8&lt;=8))+--(AND(N8&lt;&gt;"",N8&lt;=8))+--(AND(O8&lt;&gt;"",O8&lt;=8)))</f>
        <v/>
      </c>
    </row>
    <row r="9" customFormat="false" ht="15" hidden="false" customHeight="false" outlineLevel="0" collapsed="false">
      <c r="AZ9" s="5" t="str">
        <f aca="false">IF($B9="","",SUMPRODUCT(($AL9:$AO9&lt;&gt;"")*(COUNTIF($AP9:$AX9,$AL9:$AO9)&gt;0)))</f>
        <v/>
      </c>
      <c r="BA9" s="5" t="str">
        <f aca="false">IF($B9="","",IF(AZ9&gt;0,1,0))</f>
        <v/>
      </c>
      <c r="BB9" s="5" t="str">
        <f aca="false">IF($AP9="","",IF((($AP9="Engineering and Technology")+($AP9="Science and Mathematics")+($AP9="Computer Science, IT and Allied Fields")+($AP9="Life Sciences /Medicine and Healthcare")+($AP9="Paramedical")+($AP9="Architecture")+($AP9="Environmental Service")+($AP9="Agriculture, Food Industry and Forestry"))&gt;0,"Science",IF((($AP9="Banking and Finance")+($AP9="Management and Administration")+($AP9="Marketing")+($AP9="Sales")+($AP9="Entrepreneurship")+($AP9="Hospitality and Tourism"))&gt;0,"Commerce",IF((($AP9="Social Sciences and Humanities")+($AP9="Law Studies")+($AP9="Education and Training")+($AP9="Art, Design")+($AP9="Entertainment and Mass Media")+($AP9="Community and Social Service")+($AP9="Personal Care and Services")+($AP9="Government and Public Administration")+($AP9="Defence/ Protective Service")+($AP9="Sports"))&gt;0,"Arts / Humanities",""))))</f>
        <v/>
      </c>
      <c r="BC9" s="5" t="str">
        <f aca="false">IF($AL9="","",IF((($AL9="Engineering and Technology")+($AL9="Science and Mathematics")+($AL9="Computer Science, IT and Allied Fields")+($AL9="Life Sciences /Medicine and Healthcare")+($AL9="Paramedical")+($AL9="Architecture")+($AL9="Environmental Service")+($AL9="Agriculture, Food Industry and Forestry"))&gt;0,"Science",IF((($AL9="Banking and Finance")+($AL9="Management and Administration")+($AL9="Marketing")+($AL9="Sales")+($AL9="Entrepreneurship")+($AL9="Hospitality and Tourism"))&gt;0,"Commerce",IF((($AL9="Social Sciences and Humanities")+($AL9="Law Studies")+($AL9="Education and Training")+($AL9="Art, Design")+($AL9="Entertainment and Mass Media")+($AL9="Community and Social Service")+($AL9="Personal Care and Services")+($AL9="Government and Public Administration")+($AL9="Defence/ Protective Service")+($AL9="Sports"))&gt;0,"Arts / Humanities",""))))</f>
        <v/>
      </c>
      <c r="BD9" s="5" t="str">
        <f aca="false">IF($B9="","",--(F9&gt;=10)+--(G9&gt;=10)+--(H9&gt;=10)+--(I9&gt;=10)+--(J9&gt;=10)+--(K9&gt;=10)+--(L9&gt;=10)+--(M9&gt;=10)+--(N9&gt;=10)+--(O9&gt;=10))</f>
        <v/>
      </c>
      <c r="BE9" s="5" t="str">
        <f aca="false">IF($B9="","",--(AND(F9&lt;&gt;"",F9&lt;=8))+--(AND(G9&lt;&gt;"",G9&lt;=8))+--(AND(H9&lt;&gt;"",H9&lt;=8))+--(AND(I9&lt;&gt;"",I9&lt;=8))+--(AND(J9&lt;&gt;"",J9&lt;=8))+--(AND(K9&lt;&gt;"",K9&lt;=8))+--(AND(L9&lt;&gt;"",L9&lt;=8))+--(AND(M9&lt;&gt;"",M9&lt;=8))+--(AND(N9&lt;&gt;"",N9&lt;=8))+--(AND(O9&lt;&gt;"",O9&lt;=8)))</f>
        <v/>
      </c>
    </row>
    <row r="10" customFormat="false" ht="15" hidden="false" customHeight="false" outlineLevel="0" collapsed="false">
      <c r="AZ10" s="5" t="str">
        <f aca="false">IF($B10="","",SUMPRODUCT(($AL10:$AO10&lt;&gt;"")*(COUNTIF($AP10:$AX10,$AL10:$AO10)&gt;0)))</f>
        <v/>
      </c>
      <c r="BA10" s="5" t="str">
        <f aca="false">IF($B10="","",IF(AZ10&gt;0,1,0))</f>
        <v/>
      </c>
      <c r="BB10" s="5" t="str">
        <f aca="false">IF($AP10="","",IF((($AP10="Engineering and Technology")+($AP10="Science and Mathematics")+($AP10="Computer Science, IT and Allied Fields")+($AP10="Life Sciences /Medicine and Healthcare")+($AP10="Paramedical")+($AP10="Architecture")+($AP10="Environmental Service")+($AP10="Agriculture, Food Industry and Forestry"))&gt;0,"Science",IF((($AP10="Banking and Finance")+($AP10="Management and Administration")+($AP10="Marketing")+($AP10="Sales")+($AP10="Entrepreneurship")+($AP10="Hospitality and Tourism"))&gt;0,"Commerce",IF((($AP10="Social Sciences and Humanities")+($AP10="Law Studies")+($AP10="Education and Training")+($AP10="Art, Design")+($AP10="Entertainment and Mass Media")+($AP10="Community and Social Service")+($AP10="Personal Care and Services")+($AP10="Government and Public Administration")+($AP10="Defence/ Protective Service")+($AP10="Sports"))&gt;0,"Arts / Humanities",""))))</f>
        <v/>
      </c>
      <c r="BC10" s="5" t="str">
        <f aca="false">IF($AL10="","",IF((($AL10="Engineering and Technology")+($AL10="Science and Mathematics")+($AL10="Computer Science, IT and Allied Fields")+($AL10="Life Sciences /Medicine and Healthcare")+($AL10="Paramedical")+($AL10="Architecture")+($AL10="Environmental Service")+($AL10="Agriculture, Food Industry and Forestry"))&gt;0,"Science",IF((($AL10="Banking and Finance")+($AL10="Management and Administration")+($AL10="Marketing")+($AL10="Sales")+($AL10="Entrepreneurship")+($AL10="Hospitality and Tourism"))&gt;0,"Commerce",IF((($AL10="Social Sciences and Humanities")+($AL10="Law Studies")+($AL10="Education and Training")+($AL10="Art, Design")+($AL10="Entertainment and Mass Media")+($AL10="Community and Social Service")+($AL10="Personal Care and Services")+($AL10="Government and Public Administration")+($AL10="Defence/ Protective Service")+($AL10="Sports"))&gt;0,"Arts / Humanities",""))))</f>
        <v/>
      </c>
      <c r="BD10" s="5" t="str">
        <f aca="false">IF($B10="","",--(F10&gt;=10)+--(G10&gt;=10)+--(H10&gt;=10)+--(I10&gt;=10)+--(J10&gt;=10)+--(K10&gt;=10)+--(L10&gt;=10)+--(M10&gt;=10)+--(N10&gt;=10)+--(O10&gt;=10))</f>
        <v/>
      </c>
      <c r="BE10" s="5" t="str">
        <f aca="false">IF($B10="","",--(AND(F10&lt;&gt;"",F10&lt;=8))+--(AND(G10&lt;&gt;"",G10&lt;=8))+--(AND(H10&lt;&gt;"",H10&lt;=8))+--(AND(I10&lt;&gt;"",I10&lt;=8))+--(AND(J10&lt;&gt;"",J10&lt;=8))+--(AND(K10&lt;&gt;"",K10&lt;=8))+--(AND(L10&lt;&gt;"",L10&lt;=8))+--(AND(M10&lt;&gt;"",M10&lt;=8))+--(AND(N10&lt;&gt;"",N10&lt;=8))+--(AND(O10&lt;&gt;"",O10&lt;=8)))</f>
        <v/>
      </c>
    </row>
    <row r="11" customFormat="false" ht="15" hidden="false" customHeight="false" outlineLevel="0" collapsed="false">
      <c r="AZ11" s="5" t="str">
        <f aca="false">IF($B11="","",SUMPRODUCT(($AL11:$AO11&lt;&gt;"")*(COUNTIF($AP11:$AX11,$AL11:$AO11)&gt;0)))</f>
        <v/>
      </c>
      <c r="BA11" s="5" t="str">
        <f aca="false">IF($B11="","",IF(AZ11&gt;0,1,0))</f>
        <v/>
      </c>
      <c r="BB11" s="5" t="str">
        <f aca="false">IF($AP11="","",IF((($AP11="Engineering and Technology")+($AP11="Science and Mathematics")+($AP11="Computer Science, IT and Allied Fields")+($AP11="Life Sciences /Medicine and Healthcare")+($AP11="Paramedical")+($AP11="Architecture")+($AP11="Environmental Service")+($AP11="Agriculture, Food Industry and Forestry"))&gt;0,"Science",IF((($AP11="Banking and Finance")+($AP11="Management and Administration")+($AP11="Marketing")+($AP11="Sales")+($AP11="Entrepreneurship")+($AP11="Hospitality and Tourism"))&gt;0,"Commerce",IF((($AP11="Social Sciences and Humanities")+($AP11="Law Studies")+($AP11="Education and Training")+($AP11="Art, Design")+($AP11="Entertainment and Mass Media")+($AP11="Community and Social Service")+($AP11="Personal Care and Services")+($AP11="Government and Public Administration")+($AP11="Defence/ Protective Service")+($AP11="Sports"))&gt;0,"Arts / Humanities",""))))</f>
        <v/>
      </c>
      <c r="BC11" s="5" t="str">
        <f aca="false">IF($AL11="","",IF((($AL11="Engineering and Technology")+($AL11="Science and Mathematics")+($AL11="Computer Science, IT and Allied Fields")+($AL11="Life Sciences /Medicine and Healthcare")+($AL11="Paramedical")+($AL11="Architecture")+($AL11="Environmental Service")+($AL11="Agriculture, Food Industry and Forestry"))&gt;0,"Science",IF((($AL11="Banking and Finance")+($AL11="Management and Administration")+($AL11="Marketing")+($AL11="Sales")+($AL11="Entrepreneurship")+($AL11="Hospitality and Tourism"))&gt;0,"Commerce",IF((($AL11="Social Sciences and Humanities")+($AL11="Law Studies")+($AL11="Education and Training")+($AL11="Art, Design")+($AL11="Entertainment and Mass Media")+($AL11="Community and Social Service")+($AL11="Personal Care and Services")+($AL11="Government and Public Administration")+($AL11="Defence/ Protective Service")+($AL11="Sports"))&gt;0,"Arts / Humanities",""))))</f>
        <v/>
      </c>
      <c r="BD11" s="5" t="str">
        <f aca="false">IF($B11="","",--(F11&gt;=10)+--(G11&gt;=10)+--(H11&gt;=10)+--(I11&gt;=10)+--(J11&gt;=10)+--(K11&gt;=10)+--(L11&gt;=10)+--(M11&gt;=10)+--(N11&gt;=10)+--(O11&gt;=10))</f>
        <v/>
      </c>
      <c r="BE11" s="5" t="str">
        <f aca="false">IF($B11="","",--(AND(F11&lt;&gt;"",F11&lt;=8))+--(AND(G11&lt;&gt;"",G11&lt;=8))+--(AND(H11&lt;&gt;"",H11&lt;=8))+--(AND(I11&lt;&gt;"",I11&lt;=8))+--(AND(J11&lt;&gt;"",J11&lt;=8))+--(AND(K11&lt;&gt;"",K11&lt;=8))+--(AND(L11&lt;&gt;"",L11&lt;=8))+--(AND(M11&lt;&gt;"",M11&lt;=8))+--(AND(N11&lt;&gt;"",N11&lt;=8))+--(AND(O11&lt;&gt;"",O11&lt;=8)))</f>
        <v/>
      </c>
    </row>
    <row r="12" customFormat="false" ht="15" hidden="false" customHeight="false" outlineLevel="0" collapsed="false">
      <c r="AZ12" s="5" t="str">
        <f aca="false">IF($B12="","",SUMPRODUCT(($AL12:$AO12&lt;&gt;"")*(COUNTIF($AP12:$AX12,$AL12:$AO12)&gt;0)))</f>
        <v/>
      </c>
      <c r="BA12" s="5" t="str">
        <f aca="false">IF($B12="","",IF(AZ12&gt;0,1,0))</f>
        <v/>
      </c>
      <c r="BB12" s="5" t="str">
        <f aca="false">IF($AP12="","",IF((($AP12="Engineering and Technology")+($AP12="Science and Mathematics")+($AP12="Computer Science, IT and Allied Fields")+($AP12="Life Sciences /Medicine and Healthcare")+($AP12="Paramedical")+($AP12="Architecture")+($AP12="Environmental Service")+($AP12="Agriculture, Food Industry and Forestry"))&gt;0,"Science",IF((($AP12="Banking and Finance")+($AP12="Management and Administration")+($AP12="Marketing")+($AP12="Sales")+($AP12="Entrepreneurship")+($AP12="Hospitality and Tourism"))&gt;0,"Commerce",IF((($AP12="Social Sciences and Humanities")+($AP12="Law Studies")+($AP12="Education and Training")+($AP12="Art, Design")+($AP12="Entertainment and Mass Media")+($AP12="Community and Social Service")+($AP12="Personal Care and Services")+($AP12="Government and Public Administration")+($AP12="Defence/ Protective Service")+($AP12="Sports"))&gt;0,"Arts / Humanities",""))))</f>
        <v/>
      </c>
      <c r="BC12" s="5" t="str">
        <f aca="false">IF($AL12="","",IF((($AL12="Engineering and Technology")+($AL12="Science and Mathematics")+($AL12="Computer Science, IT and Allied Fields")+($AL12="Life Sciences /Medicine and Healthcare")+($AL12="Paramedical")+($AL12="Architecture")+($AL12="Environmental Service")+($AL12="Agriculture, Food Industry and Forestry"))&gt;0,"Science",IF((($AL12="Banking and Finance")+($AL12="Management and Administration")+($AL12="Marketing")+($AL12="Sales")+($AL12="Entrepreneurship")+($AL12="Hospitality and Tourism"))&gt;0,"Commerce",IF((($AL12="Social Sciences and Humanities")+($AL12="Law Studies")+($AL12="Education and Training")+($AL12="Art, Design")+($AL12="Entertainment and Mass Media")+($AL12="Community and Social Service")+($AL12="Personal Care and Services")+($AL12="Government and Public Administration")+($AL12="Defence/ Protective Service")+($AL12="Sports"))&gt;0,"Arts / Humanities",""))))</f>
        <v/>
      </c>
      <c r="BD12" s="5" t="str">
        <f aca="false">IF($B12="","",--(F12&gt;=10)+--(G12&gt;=10)+--(H12&gt;=10)+--(I12&gt;=10)+--(J12&gt;=10)+--(K12&gt;=10)+--(L12&gt;=10)+--(M12&gt;=10)+--(N12&gt;=10)+--(O12&gt;=10))</f>
        <v/>
      </c>
      <c r="BE12" s="5" t="str">
        <f aca="false">IF($B12="","",--(AND(F12&lt;&gt;"",F12&lt;=8))+--(AND(G12&lt;&gt;"",G12&lt;=8))+--(AND(H12&lt;&gt;"",H12&lt;=8))+--(AND(I12&lt;&gt;"",I12&lt;=8))+--(AND(J12&lt;&gt;"",J12&lt;=8))+--(AND(K12&lt;&gt;"",K12&lt;=8))+--(AND(L12&lt;&gt;"",L12&lt;=8))+--(AND(M12&lt;&gt;"",M12&lt;=8))+--(AND(N12&lt;&gt;"",N12&lt;=8))+--(AND(O12&lt;&gt;"",O12&lt;=8)))</f>
        <v/>
      </c>
    </row>
    <row r="13" customFormat="false" ht="15" hidden="false" customHeight="false" outlineLevel="0" collapsed="false">
      <c r="AZ13" s="5" t="str">
        <f aca="false">IF($B13="","",SUMPRODUCT(($AL13:$AO13&lt;&gt;"")*(COUNTIF($AP13:$AX13,$AL13:$AO13)&gt;0)))</f>
        <v/>
      </c>
      <c r="BA13" s="5" t="str">
        <f aca="false">IF($B13="","",IF(AZ13&gt;0,1,0))</f>
        <v/>
      </c>
      <c r="BB13" s="5" t="str">
        <f aca="false">IF($AP13="","",IF((($AP13="Engineering and Technology")+($AP13="Science and Mathematics")+($AP13="Computer Science, IT and Allied Fields")+($AP13="Life Sciences /Medicine and Healthcare")+($AP13="Paramedical")+($AP13="Architecture")+($AP13="Environmental Service")+($AP13="Agriculture, Food Industry and Forestry"))&gt;0,"Science",IF((($AP13="Banking and Finance")+($AP13="Management and Administration")+($AP13="Marketing")+($AP13="Sales")+($AP13="Entrepreneurship")+($AP13="Hospitality and Tourism"))&gt;0,"Commerce",IF((($AP13="Social Sciences and Humanities")+($AP13="Law Studies")+($AP13="Education and Training")+($AP13="Art, Design")+($AP13="Entertainment and Mass Media")+($AP13="Community and Social Service")+($AP13="Personal Care and Services")+($AP13="Government and Public Administration")+($AP13="Defence/ Protective Service")+($AP13="Sports"))&gt;0,"Arts / Humanities",""))))</f>
        <v/>
      </c>
      <c r="BC13" s="5" t="str">
        <f aca="false">IF($AL13="","",IF((($AL13="Engineering and Technology")+($AL13="Science and Mathematics")+($AL13="Computer Science, IT and Allied Fields")+($AL13="Life Sciences /Medicine and Healthcare")+($AL13="Paramedical")+($AL13="Architecture")+($AL13="Environmental Service")+($AL13="Agriculture, Food Industry and Forestry"))&gt;0,"Science",IF((($AL13="Banking and Finance")+($AL13="Management and Administration")+($AL13="Marketing")+($AL13="Sales")+($AL13="Entrepreneurship")+($AL13="Hospitality and Tourism"))&gt;0,"Commerce",IF((($AL13="Social Sciences and Humanities")+($AL13="Law Studies")+($AL13="Education and Training")+($AL13="Art, Design")+($AL13="Entertainment and Mass Media")+($AL13="Community and Social Service")+($AL13="Personal Care and Services")+($AL13="Government and Public Administration")+($AL13="Defence/ Protective Service")+($AL13="Sports"))&gt;0,"Arts / Humanities",""))))</f>
        <v/>
      </c>
      <c r="BD13" s="5" t="str">
        <f aca="false">IF($B13="","",--(F13&gt;=10)+--(G13&gt;=10)+--(H13&gt;=10)+--(I13&gt;=10)+--(J13&gt;=10)+--(K13&gt;=10)+--(L13&gt;=10)+--(M13&gt;=10)+--(N13&gt;=10)+--(O13&gt;=10))</f>
        <v/>
      </c>
      <c r="BE13" s="5" t="str">
        <f aca="false">IF($B13="","",--(AND(F13&lt;&gt;"",F13&lt;=8))+--(AND(G13&lt;&gt;"",G13&lt;=8))+--(AND(H13&lt;&gt;"",H13&lt;=8))+--(AND(I13&lt;&gt;"",I13&lt;=8))+--(AND(J13&lt;&gt;"",J13&lt;=8))+--(AND(K13&lt;&gt;"",K13&lt;=8))+--(AND(L13&lt;&gt;"",L13&lt;=8))+--(AND(M13&lt;&gt;"",M13&lt;=8))+--(AND(N13&lt;&gt;"",N13&lt;=8))+--(AND(O13&lt;&gt;"",O13&lt;=8)))</f>
        <v/>
      </c>
    </row>
    <row r="14" customFormat="false" ht="15" hidden="false" customHeight="false" outlineLevel="0" collapsed="false">
      <c r="AZ14" s="5" t="str">
        <f aca="false">IF($B14="","",SUMPRODUCT(($AL14:$AO14&lt;&gt;"")*(COUNTIF($AP14:$AX14,$AL14:$AO14)&gt;0)))</f>
        <v/>
      </c>
      <c r="BA14" s="5" t="str">
        <f aca="false">IF($B14="","",IF(AZ14&gt;0,1,0))</f>
        <v/>
      </c>
      <c r="BB14" s="5" t="str">
        <f aca="false">IF($AP14="","",IF((($AP14="Engineering and Technology")+($AP14="Science and Mathematics")+($AP14="Computer Science, IT and Allied Fields")+($AP14="Life Sciences /Medicine and Healthcare")+($AP14="Paramedical")+($AP14="Architecture")+($AP14="Environmental Service")+($AP14="Agriculture, Food Industry and Forestry"))&gt;0,"Science",IF((($AP14="Banking and Finance")+($AP14="Management and Administration")+($AP14="Marketing")+($AP14="Sales")+($AP14="Entrepreneurship")+($AP14="Hospitality and Tourism"))&gt;0,"Commerce",IF((($AP14="Social Sciences and Humanities")+($AP14="Law Studies")+($AP14="Education and Training")+($AP14="Art, Design")+($AP14="Entertainment and Mass Media")+($AP14="Community and Social Service")+($AP14="Personal Care and Services")+($AP14="Government and Public Administration")+($AP14="Defence/ Protective Service")+($AP14="Sports"))&gt;0,"Arts / Humanities",""))))</f>
        <v/>
      </c>
      <c r="BC14" s="5" t="str">
        <f aca="false">IF($AL14="","",IF((($AL14="Engineering and Technology")+($AL14="Science and Mathematics")+($AL14="Computer Science, IT and Allied Fields")+($AL14="Life Sciences /Medicine and Healthcare")+($AL14="Paramedical")+($AL14="Architecture")+($AL14="Environmental Service")+($AL14="Agriculture, Food Industry and Forestry"))&gt;0,"Science",IF((($AL14="Banking and Finance")+($AL14="Management and Administration")+($AL14="Marketing")+($AL14="Sales")+($AL14="Entrepreneurship")+($AL14="Hospitality and Tourism"))&gt;0,"Commerce",IF((($AL14="Social Sciences and Humanities")+($AL14="Law Studies")+($AL14="Education and Training")+($AL14="Art, Design")+($AL14="Entertainment and Mass Media")+($AL14="Community and Social Service")+($AL14="Personal Care and Services")+($AL14="Government and Public Administration")+($AL14="Defence/ Protective Service")+($AL14="Sports"))&gt;0,"Arts / Humanities",""))))</f>
        <v/>
      </c>
      <c r="BD14" s="5" t="str">
        <f aca="false">IF($B14="","",--(F14&gt;=10)+--(G14&gt;=10)+--(H14&gt;=10)+--(I14&gt;=10)+--(J14&gt;=10)+--(K14&gt;=10)+--(L14&gt;=10)+--(M14&gt;=10)+--(N14&gt;=10)+--(O14&gt;=10))</f>
        <v/>
      </c>
      <c r="BE14" s="5" t="str">
        <f aca="false">IF($B14="","",--(AND(F14&lt;&gt;"",F14&lt;=8))+--(AND(G14&lt;&gt;"",G14&lt;=8))+--(AND(H14&lt;&gt;"",H14&lt;=8))+--(AND(I14&lt;&gt;"",I14&lt;=8))+--(AND(J14&lt;&gt;"",J14&lt;=8))+--(AND(K14&lt;&gt;"",K14&lt;=8))+--(AND(L14&lt;&gt;"",L14&lt;=8))+--(AND(M14&lt;&gt;"",M14&lt;=8))+--(AND(N14&lt;&gt;"",N14&lt;=8))+--(AND(O14&lt;&gt;"",O14&lt;=8)))</f>
        <v/>
      </c>
    </row>
    <row r="15" customFormat="false" ht="15" hidden="false" customHeight="false" outlineLevel="0" collapsed="false">
      <c r="AZ15" s="5" t="str">
        <f aca="false">IF($B15="","",SUMPRODUCT(($AL15:$AO15&lt;&gt;"")*(COUNTIF($AP15:$AX15,$AL15:$AO15)&gt;0)))</f>
        <v/>
      </c>
      <c r="BA15" s="5" t="str">
        <f aca="false">IF($B15="","",IF(AZ15&gt;0,1,0))</f>
        <v/>
      </c>
      <c r="BB15" s="5" t="str">
        <f aca="false">IF($AP15="","",IF((($AP15="Engineering and Technology")+($AP15="Science and Mathematics")+($AP15="Computer Science, IT and Allied Fields")+($AP15="Life Sciences /Medicine and Healthcare")+($AP15="Paramedical")+($AP15="Architecture")+($AP15="Environmental Service")+($AP15="Agriculture, Food Industry and Forestry"))&gt;0,"Science",IF((($AP15="Banking and Finance")+($AP15="Management and Administration")+($AP15="Marketing")+($AP15="Sales")+($AP15="Entrepreneurship")+($AP15="Hospitality and Tourism"))&gt;0,"Commerce",IF((($AP15="Social Sciences and Humanities")+($AP15="Law Studies")+($AP15="Education and Training")+($AP15="Art, Design")+($AP15="Entertainment and Mass Media")+($AP15="Community and Social Service")+($AP15="Personal Care and Services")+($AP15="Government and Public Administration")+($AP15="Defence/ Protective Service")+($AP15="Sports"))&gt;0,"Arts / Humanities",""))))</f>
        <v/>
      </c>
      <c r="BC15" s="5" t="str">
        <f aca="false">IF($AL15="","",IF((($AL15="Engineering and Technology")+($AL15="Science and Mathematics")+($AL15="Computer Science, IT and Allied Fields")+($AL15="Life Sciences /Medicine and Healthcare")+($AL15="Paramedical")+($AL15="Architecture")+($AL15="Environmental Service")+($AL15="Agriculture, Food Industry and Forestry"))&gt;0,"Science",IF((($AL15="Banking and Finance")+($AL15="Management and Administration")+($AL15="Marketing")+($AL15="Sales")+($AL15="Entrepreneurship")+($AL15="Hospitality and Tourism"))&gt;0,"Commerce",IF((($AL15="Social Sciences and Humanities")+($AL15="Law Studies")+($AL15="Education and Training")+($AL15="Art, Design")+($AL15="Entertainment and Mass Media")+($AL15="Community and Social Service")+($AL15="Personal Care and Services")+($AL15="Government and Public Administration")+($AL15="Defence/ Protective Service")+($AL15="Sports"))&gt;0,"Arts / Humanities",""))))</f>
        <v/>
      </c>
      <c r="BD15" s="5" t="str">
        <f aca="false">IF($B15="","",--(F15&gt;=10)+--(G15&gt;=10)+--(H15&gt;=10)+--(I15&gt;=10)+--(J15&gt;=10)+--(K15&gt;=10)+--(L15&gt;=10)+--(M15&gt;=10)+--(N15&gt;=10)+--(O15&gt;=10))</f>
        <v/>
      </c>
      <c r="BE15" s="5" t="str">
        <f aca="false">IF($B15="","",--(AND(F15&lt;&gt;"",F15&lt;=8))+--(AND(G15&lt;&gt;"",G15&lt;=8))+--(AND(H15&lt;&gt;"",H15&lt;=8))+--(AND(I15&lt;&gt;"",I15&lt;=8))+--(AND(J15&lt;&gt;"",J15&lt;=8))+--(AND(K15&lt;&gt;"",K15&lt;=8))+--(AND(L15&lt;&gt;"",L15&lt;=8))+--(AND(M15&lt;&gt;"",M15&lt;=8))+--(AND(N15&lt;&gt;"",N15&lt;=8))+--(AND(O15&lt;&gt;"",O15&lt;=8)))</f>
        <v/>
      </c>
    </row>
    <row r="16" customFormat="false" ht="15" hidden="false" customHeight="false" outlineLevel="0" collapsed="false">
      <c r="AZ16" s="5" t="str">
        <f aca="false">IF($B16="","",SUMPRODUCT(($AL16:$AO16&lt;&gt;"")*(COUNTIF($AP16:$AX16,$AL16:$AO16)&gt;0)))</f>
        <v/>
      </c>
      <c r="BA16" s="5" t="str">
        <f aca="false">IF($B16="","",IF(AZ16&gt;0,1,0))</f>
        <v/>
      </c>
      <c r="BB16" s="5" t="str">
        <f aca="false">IF($AP16="","",IF((($AP16="Engineering and Technology")+($AP16="Science and Mathematics")+($AP16="Computer Science, IT and Allied Fields")+($AP16="Life Sciences /Medicine and Healthcare")+($AP16="Paramedical")+($AP16="Architecture")+($AP16="Environmental Service")+($AP16="Agriculture, Food Industry and Forestry"))&gt;0,"Science",IF((($AP16="Banking and Finance")+($AP16="Management and Administration")+($AP16="Marketing")+($AP16="Sales")+($AP16="Entrepreneurship")+($AP16="Hospitality and Tourism"))&gt;0,"Commerce",IF((($AP16="Social Sciences and Humanities")+($AP16="Law Studies")+($AP16="Education and Training")+($AP16="Art, Design")+($AP16="Entertainment and Mass Media")+($AP16="Community and Social Service")+($AP16="Personal Care and Services")+($AP16="Government and Public Administration")+($AP16="Defence/ Protective Service")+($AP16="Sports"))&gt;0,"Arts / Humanities",""))))</f>
        <v/>
      </c>
      <c r="BC16" s="5" t="str">
        <f aca="false">IF($AL16="","",IF((($AL16="Engineering and Technology")+($AL16="Science and Mathematics")+($AL16="Computer Science, IT and Allied Fields")+($AL16="Life Sciences /Medicine and Healthcare")+($AL16="Paramedical")+($AL16="Architecture")+($AL16="Environmental Service")+($AL16="Agriculture, Food Industry and Forestry"))&gt;0,"Science",IF((($AL16="Banking and Finance")+($AL16="Management and Administration")+($AL16="Marketing")+($AL16="Sales")+($AL16="Entrepreneurship")+($AL16="Hospitality and Tourism"))&gt;0,"Commerce",IF((($AL16="Social Sciences and Humanities")+($AL16="Law Studies")+($AL16="Education and Training")+($AL16="Art, Design")+($AL16="Entertainment and Mass Media")+($AL16="Community and Social Service")+($AL16="Personal Care and Services")+($AL16="Government and Public Administration")+($AL16="Defence/ Protective Service")+($AL16="Sports"))&gt;0,"Arts / Humanities",""))))</f>
        <v/>
      </c>
      <c r="BD16" s="5" t="str">
        <f aca="false">IF($B16="","",--(F16&gt;=10)+--(G16&gt;=10)+--(H16&gt;=10)+--(I16&gt;=10)+--(J16&gt;=10)+--(K16&gt;=10)+--(L16&gt;=10)+--(M16&gt;=10)+--(N16&gt;=10)+--(O16&gt;=10))</f>
        <v/>
      </c>
      <c r="BE16" s="5" t="str">
        <f aca="false">IF($B16="","",--(AND(F16&lt;&gt;"",F16&lt;=8))+--(AND(G16&lt;&gt;"",G16&lt;=8))+--(AND(H16&lt;&gt;"",H16&lt;=8))+--(AND(I16&lt;&gt;"",I16&lt;=8))+--(AND(J16&lt;&gt;"",J16&lt;=8))+--(AND(K16&lt;&gt;"",K16&lt;=8))+--(AND(L16&lt;&gt;"",L16&lt;=8))+--(AND(M16&lt;&gt;"",M16&lt;=8))+--(AND(N16&lt;&gt;"",N16&lt;=8))+--(AND(O16&lt;&gt;"",O16&lt;=8)))</f>
        <v/>
      </c>
    </row>
    <row r="17" customFormat="false" ht="15" hidden="false" customHeight="false" outlineLevel="0" collapsed="false">
      <c r="AZ17" s="5" t="str">
        <f aca="false">IF($B17="","",SUMPRODUCT(($AL17:$AO17&lt;&gt;"")*(COUNTIF($AP17:$AX17,$AL17:$AO17)&gt;0)))</f>
        <v/>
      </c>
      <c r="BA17" s="5" t="str">
        <f aca="false">IF($B17="","",IF(AZ17&gt;0,1,0))</f>
        <v/>
      </c>
      <c r="BB17" s="5" t="str">
        <f aca="false">IF($AP17="","",IF((($AP17="Engineering and Technology")+($AP17="Science and Mathematics")+($AP17="Computer Science, IT and Allied Fields")+($AP17="Life Sciences /Medicine and Healthcare")+($AP17="Paramedical")+($AP17="Architecture")+($AP17="Environmental Service")+($AP17="Agriculture, Food Industry and Forestry"))&gt;0,"Science",IF((($AP17="Banking and Finance")+($AP17="Management and Administration")+($AP17="Marketing")+($AP17="Sales")+($AP17="Entrepreneurship")+($AP17="Hospitality and Tourism"))&gt;0,"Commerce",IF((($AP17="Social Sciences and Humanities")+($AP17="Law Studies")+($AP17="Education and Training")+($AP17="Art, Design")+($AP17="Entertainment and Mass Media")+($AP17="Community and Social Service")+($AP17="Personal Care and Services")+($AP17="Government and Public Administration")+($AP17="Defence/ Protective Service")+($AP17="Sports"))&gt;0,"Arts / Humanities",""))))</f>
        <v/>
      </c>
      <c r="BC17" s="5" t="str">
        <f aca="false">IF($AL17="","",IF((($AL17="Engineering and Technology")+($AL17="Science and Mathematics")+($AL17="Computer Science, IT and Allied Fields")+($AL17="Life Sciences /Medicine and Healthcare")+($AL17="Paramedical")+($AL17="Architecture")+($AL17="Environmental Service")+($AL17="Agriculture, Food Industry and Forestry"))&gt;0,"Science",IF((($AL17="Banking and Finance")+($AL17="Management and Administration")+($AL17="Marketing")+($AL17="Sales")+($AL17="Entrepreneurship")+($AL17="Hospitality and Tourism"))&gt;0,"Commerce",IF((($AL17="Social Sciences and Humanities")+($AL17="Law Studies")+($AL17="Education and Training")+($AL17="Art, Design")+($AL17="Entertainment and Mass Media")+($AL17="Community and Social Service")+($AL17="Personal Care and Services")+($AL17="Government and Public Administration")+($AL17="Defence/ Protective Service")+($AL17="Sports"))&gt;0,"Arts / Humanities",""))))</f>
        <v/>
      </c>
      <c r="BD17" s="5" t="str">
        <f aca="false">IF($B17="","",--(F17&gt;=10)+--(G17&gt;=10)+--(H17&gt;=10)+--(I17&gt;=10)+--(J17&gt;=10)+--(K17&gt;=10)+--(L17&gt;=10)+--(M17&gt;=10)+--(N17&gt;=10)+--(O17&gt;=10))</f>
        <v/>
      </c>
      <c r="BE17" s="5" t="str">
        <f aca="false">IF($B17="","",--(AND(F17&lt;&gt;"",F17&lt;=8))+--(AND(G17&lt;&gt;"",G17&lt;=8))+--(AND(H17&lt;&gt;"",H17&lt;=8))+--(AND(I17&lt;&gt;"",I17&lt;=8))+--(AND(J17&lt;&gt;"",J17&lt;=8))+--(AND(K17&lt;&gt;"",K17&lt;=8))+--(AND(L17&lt;&gt;"",L17&lt;=8))+--(AND(M17&lt;&gt;"",M17&lt;=8))+--(AND(N17&lt;&gt;"",N17&lt;=8))+--(AND(O17&lt;&gt;"",O17&lt;=8)))</f>
        <v/>
      </c>
    </row>
    <row r="18" customFormat="false" ht="15" hidden="false" customHeight="false" outlineLevel="0" collapsed="false">
      <c r="AZ18" s="5" t="str">
        <f aca="false">IF($B18="","",SUMPRODUCT(($AL18:$AO18&lt;&gt;"")*(COUNTIF($AP18:$AX18,$AL18:$AO18)&gt;0)))</f>
        <v/>
      </c>
      <c r="BA18" s="5" t="str">
        <f aca="false">IF($B18="","",IF(AZ18&gt;0,1,0))</f>
        <v/>
      </c>
      <c r="BB18" s="5" t="str">
        <f aca="false">IF($AP18="","",IF((($AP18="Engineering and Technology")+($AP18="Science and Mathematics")+($AP18="Computer Science, IT and Allied Fields")+($AP18="Life Sciences /Medicine and Healthcare")+($AP18="Paramedical")+($AP18="Architecture")+($AP18="Environmental Service")+($AP18="Agriculture, Food Industry and Forestry"))&gt;0,"Science",IF((($AP18="Banking and Finance")+($AP18="Management and Administration")+($AP18="Marketing")+($AP18="Sales")+($AP18="Entrepreneurship")+($AP18="Hospitality and Tourism"))&gt;0,"Commerce",IF((($AP18="Social Sciences and Humanities")+($AP18="Law Studies")+($AP18="Education and Training")+($AP18="Art, Design")+($AP18="Entertainment and Mass Media")+($AP18="Community and Social Service")+($AP18="Personal Care and Services")+($AP18="Government and Public Administration")+($AP18="Defence/ Protective Service")+($AP18="Sports"))&gt;0,"Arts / Humanities",""))))</f>
        <v/>
      </c>
      <c r="BC18" s="5" t="str">
        <f aca="false">IF($AL18="","",IF((($AL18="Engineering and Technology")+($AL18="Science and Mathematics")+($AL18="Computer Science, IT and Allied Fields")+($AL18="Life Sciences /Medicine and Healthcare")+($AL18="Paramedical")+($AL18="Architecture")+($AL18="Environmental Service")+($AL18="Agriculture, Food Industry and Forestry"))&gt;0,"Science",IF((($AL18="Banking and Finance")+($AL18="Management and Administration")+($AL18="Marketing")+($AL18="Sales")+($AL18="Entrepreneurship")+($AL18="Hospitality and Tourism"))&gt;0,"Commerce",IF((($AL18="Social Sciences and Humanities")+($AL18="Law Studies")+($AL18="Education and Training")+($AL18="Art, Design")+($AL18="Entertainment and Mass Media")+($AL18="Community and Social Service")+($AL18="Personal Care and Services")+($AL18="Government and Public Administration")+($AL18="Defence/ Protective Service")+($AL18="Sports"))&gt;0,"Arts / Humanities",""))))</f>
        <v/>
      </c>
      <c r="BD18" s="5" t="str">
        <f aca="false">IF($B18="","",--(F18&gt;=10)+--(G18&gt;=10)+--(H18&gt;=10)+--(I18&gt;=10)+--(J18&gt;=10)+--(K18&gt;=10)+--(L18&gt;=10)+--(M18&gt;=10)+--(N18&gt;=10)+--(O18&gt;=10))</f>
        <v/>
      </c>
      <c r="BE18" s="5" t="str">
        <f aca="false">IF($B18="","",--(AND(F18&lt;&gt;"",F18&lt;=8))+--(AND(G18&lt;&gt;"",G18&lt;=8))+--(AND(H18&lt;&gt;"",H18&lt;=8))+--(AND(I18&lt;&gt;"",I18&lt;=8))+--(AND(J18&lt;&gt;"",J18&lt;=8))+--(AND(K18&lt;&gt;"",K18&lt;=8))+--(AND(L18&lt;&gt;"",L18&lt;=8))+--(AND(M18&lt;&gt;"",M18&lt;=8))+--(AND(N18&lt;&gt;"",N18&lt;=8))+--(AND(O18&lt;&gt;"",O18&lt;=8)))</f>
        <v/>
      </c>
    </row>
    <row r="19" customFormat="false" ht="15" hidden="false" customHeight="false" outlineLevel="0" collapsed="false">
      <c r="AZ19" s="5" t="str">
        <f aca="false">IF($B19="","",SUMPRODUCT(($AL19:$AO19&lt;&gt;"")*(COUNTIF($AP19:$AX19,$AL19:$AO19)&gt;0)))</f>
        <v/>
      </c>
      <c r="BA19" s="5" t="str">
        <f aca="false">IF($B19="","",IF(AZ19&gt;0,1,0))</f>
        <v/>
      </c>
      <c r="BB19" s="5" t="str">
        <f aca="false">IF($AP19="","",IF((($AP19="Engineering and Technology")+($AP19="Science and Mathematics")+($AP19="Computer Science, IT and Allied Fields")+($AP19="Life Sciences /Medicine and Healthcare")+($AP19="Paramedical")+($AP19="Architecture")+($AP19="Environmental Service")+($AP19="Agriculture, Food Industry and Forestry"))&gt;0,"Science",IF((($AP19="Banking and Finance")+($AP19="Management and Administration")+($AP19="Marketing")+($AP19="Sales")+($AP19="Entrepreneurship")+($AP19="Hospitality and Tourism"))&gt;0,"Commerce",IF((($AP19="Social Sciences and Humanities")+($AP19="Law Studies")+($AP19="Education and Training")+($AP19="Art, Design")+($AP19="Entertainment and Mass Media")+($AP19="Community and Social Service")+($AP19="Personal Care and Services")+($AP19="Government and Public Administration")+($AP19="Defence/ Protective Service")+($AP19="Sports"))&gt;0,"Arts / Humanities",""))))</f>
        <v/>
      </c>
      <c r="BC19" s="5" t="str">
        <f aca="false">IF($AL19="","",IF((($AL19="Engineering and Technology")+($AL19="Science and Mathematics")+($AL19="Computer Science, IT and Allied Fields")+($AL19="Life Sciences /Medicine and Healthcare")+($AL19="Paramedical")+($AL19="Architecture")+($AL19="Environmental Service")+($AL19="Agriculture, Food Industry and Forestry"))&gt;0,"Science",IF((($AL19="Banking and Finance")+($AL19="Management and Administration")+($AL19="Marketing")+($AL19="Sales")+($AL19="Entrepreneurship")+($AL19="Hospitality and Tourism"))&gt;0,"Commerce",IF((($AL19="Social Sciences and Humanities")+($AL19="Law Studies")+($AL19="Education and Training")+($AL19="Art, Design")+($AL19="Entertainment and Mass Media")+($AL19="Community and Social Service")+($AL19="Personal Care and Services")+($AL19="Government and Public Administration")+($AL19="Defence/ Protective Service")+($AL19="Sports"))&gt;0,"Arts / Humanities",""))))</f>
        <v/>
      </c>
      <c r="BD19" s="5" t="str">
        <f aca="false">IF($B19="","",--(F19&gt;=10)+--(G19&gt;=10)+--(H19&gt;=10)+--(I19&gt;=10)+--(J19&gt;=10)+--(K19&gt;=10)+--(L19&gt;=10)+--(M19&gt;=10)+--(N19&gt;=10)+--(O19&gt;=10))</f>
        <v/>
      </c>
      <c r="BE19" s="5" t="str">
        <f aca="false">IF($B19="","",--(AND(F19&lt;&gt;"",F19&lt;=8))+--(AND(G19&lt;&gt;"",G19&lt;=8))+--(AND(H19&lt;&gt;"",H19&lt;=8))+--(AND(I19&lt;&gt;"",I19&lt;=8))+--(AND(J19&lt;&gt;"",J19&lt;=8))+--(AND(K19&lt;&gt;"",K19&lt;=8))+--(AND(L19&lt;&gt;"",L19&lt;=8))+--(AND(M19&lt;&gt;"",M19&lt;=8))+--(AND(N19&lt;&gt;"",N19&lt;=8))+--(AND(O19&lt;&gt;"",O19&lt;=8)))</f>
        <v/>
      </c>
    </row>
    <row r="20" customFormat="false" ht="15" hidden="false" customHeight="false" outlineLevel="0" collapsed="false">
      <c r="AZ20" s="5" t="str">
        <f aca="false">IF($B20="","",SUMPRODUCT(($AL20:$AO20&lt;&gt;"")*(COUNTIF($AP20:$AX20,$AL20:$AO20)&gt;0)))</f>
        <v/>
      </c>
      <c r="BA20" s="5" t="str">
        <f aca="false">IF($B20="","",IF(AZ20&gt;0,1,0))</f>
        <v/>
      </c>
      <c r="BB20" s="5" t="str">
        <f aca="false">IF($AP20="","",IF((($AP20="Engineering and Technology")+($AP20="Science and Mathematics")+($AP20="Computer Science, IT and Allied Fields")+($AP20="Life Sciences /Medicine and Healthcare")+($AP20="Paramedical")+($AP20="Architecture")+($AP20="Environmental Service")+($AP20="Agriculture, Food Industry and Forestry"))&gt;0,"Science",IF((($AP20="Banking and Finance")+($AP20="Management and Administration")+($AP20="Marketing")+($AP20="Sales")+($AP20="Entrepreneurship")+($AP20="Hospitality and Tourism"))&gt;0,"Commerce",IF((($AP20="Social Sciences and Humanities")+($AP20="Law Studies")+($AP20="Education and Training")+($AP20="Art, Design")+($AP20="Entertainment and Mass Media")+($AP20="Community and Social Service")+($AP20="Personal Care and Services")+($AP20="Government and Public Administration")+($AP20="Defence/ Protective Service")+($AP20="Sports"))&gt;0,"Arts / Humanities",""))))</f>
        <v/>
      </c>
      <c r="BC20" s="5" t="str">
        <f aca="false">IF($AL20="","",IF((($AL20="Engineering and Technology")+($AL20="Science and Mathematics")+($AL20="Computer Science, IT and Allied Fields")+($AL20="Life Sciences /Medicine and Healthcare")+($AL20="Paramedical")+($AL20="Architecture")+($AL20="Environmental Service")+($AL20="Agriculture, Food Industry and Forestry"))&gt;0,"Science",IF((($AL20="Banking and Finance")+($AL20="Management and Administration")+($AL20="Marketing")+($AL20="Sales")+($AL20="Entrepreneurship")+($AL20="Hospitality and Tourism"))&gt;0,"Commerce",IF((($AL20="Social Sciences and Humanities")+($AL20="Law Studies")+($AL20="Education and Training")+($AL20="Art, Design")+($AL20="Entertainment and Mass Media")+($AL20="Community and Social Service")+($AL20="Personal Care and Services")+($AL20="Government and Public Administration")+($AL20="Defence/ Protective Service")+($AL20="Sports"))&gt;0,"Arts / Humanities",""))))</f>
        <v/>
      </c>
      <c r="BD20" s="5" t="str">
        <f aca="false">IF($B20="","",--(F20&gt;=10)+--(G20&gt;=10)+--(H20&gt;=10)+--(I20&gt;=10)+--(J20&gt;=10)+--(K20&gt;=10)+--(L20&gt;=10)+--(M20&gt;=10)+--(N20&gt;=10)+--(O20&gt;=10))</f>
        <v/>
      </c>
      <c r="BE20" s="5" t="str">
        <f aca="false">IF($B20="","",--(AND(F20&lt;&gt;"",F20&lt;=8))+--(AND(G20&lt;&gt;"",G20&lt;=8))+--(AND(H20&lt;&gt;"",H20&lt;=8))+--(AND(I20&lt;&gt;"",I20&lt;=8))+--(AND(J20&lt;&gt;"",J20&lt;=8))+--(AND(K20&lt;&gt;"",K20&lt;=8))+--(AND(L20&lt;&gt;"",L20&lt;=8))+--(AND(M20&lt;&gt;"",M20&lt;=8))+--(AND(N20&lt;&gt;"",N20&lt;=8))+--(AND(O20&lt;&gt;"",O20&lt;=8)))</f>
        <v/>
      </c>
    </row>
    <row r="21" customFormat="false" ht="15" hidden="false" customHeight="false" outlineLevel="0" collapsed="false">
      <c r="AZ21" s="5" t="str">
        <f aca="false">IF($B21="","",SUMPRODUCT(($AL21:$AO21&lt;&gt;"")*(COUNTIF($AP21:$AX21,$AL21:$AO21)&gt;0)))</f>
        <v/>
      </c>
      <c r="BA21" s="5" t="str">
        <f aca="false">IF($B21="","",IF(AZ21&gt;0,1,0))</f>
        <v/>
      </c>
      <c r="BB21" s="5" t="str">
        <f aca="false">IF($AP21="","",IF((($AP21="Engineering and Technology")+($AP21="Science and Mathematics")+($AP21="Computer Science, IT and Allied Fields")+($AP21="Life Sciences /Medicine and Healthcare")+($AP21="Paramedical")+($AP21="Architecture")+($AP21="Environmental Service")+($AP21="Agriculture, Food Industry and Forestry"))&gt;0,"Science",IF((($AP21="Banking and Finance")+($AP21="Management and Administration")+($AP21="Marketing")+($AP21="Sales")+($AP21="Entrepreneurship")+($AP21="Hospitality and Tourism"))&gt;0,"Commerce",IF((($AP21="Social Sciences and Humanities")+($AP21="Law Studies")+($AP21="Education and Training")+($AP21="Art, Design")+($AP21="Entertainment and Mass Media")+($AP21="Community and Social Service")+($AP21="Personal Care and Services")+($AP21="Government and Public Administration")+($AP21="Defence/ Protective Service")+($AP21="Sports"))&gt;0,"Arts / Humanities",""))))</f>
        <v/>
      </c>
      <c r="BC21" s="5" t="str">
        <f aca="false">IF($AL21="","",IF((($AL21="Engineering and Technology")+($AL21="Science and Mathematics")+($AL21="Computer Science, IT and Allied Fields")+($AL21="Life Sciences /Medicine and Healthcare")+($AL21="Paramedical")+($AL21="Architecture")+($AL21="Environmental Service")+($AL21="Agriculture, Food Industry and Forestry"))&gt;0,"Science",IF((($AL21="Banking and Finance")+($AL21="Management and Administration")+($AL21="Marketing")+($AL21="Sales")+($AL21="Entrepreneurship")+($AL21="Hospitality and Tourism"))&gt;0,"Commerce",IF((($AL21="Social Sciences and Humanities")+($AL21="Law Studies")+($AL21="Education and Training")+($AL21="Art, Design")+($AL21="Entertainment and Mass Media")+($AL21="Community and Social Service")+($AL21="Personal Care and Services")+($AL21="Government and Public Administration")+($AL21="Defence/ Protective Service")+($AL21="Sports"))&gt;0,"Arts / Humanities",""))))</f>
        <v/>
      </c>
      <c r="BD21" s="5" t="str">
        <f aca="false">IF($B21="","",--(F21&gt;=10)+--(G21&gt;=10)+--(H21&gt;=10)+--(I21&gt;=10)+--(J21&gt;=10)+--(K21&gt;=10)+--(L21&gt;=10)+--(M21&gt;=10)+--(N21&gt;=10)+--(O21&gt;=10))</f>
        <v/>
      </c>
      <c r="BE21" s="5" t="str">
        <f aca="false">IF($B21="","",--(AND(F21&lt;&gt;"",F21&lt;=8))+--(AND(G21&lt;&gt;"",G21&lt;=8))+--(AND(H21&lt;&gt;"",H21&lt;=8))+--(AND(I21&lt;&gt;"",I21&lt;=8))+--(AND(J21&lt;&gt;"",J21&lt;=8))+--(AND(K21&lt;&gt;"",K21&lt;=8))+--(AND(L21&lt;&gt;"",L21&lt;=8))+--(AND(M21&lt;&gt;"",M21&lt;=8))+--(AND(N21&lt;&gt;"",N21&lt;=8))+--(AND(O21&lt;&gt;"",O21&lt;=8)))</f>
        <v/>
      </c>
    </row>
    <row r="22" customFormat="false" ht="15" hidden="false" customHeight="false" outlineLevel="0" collapsed="false">
      <c r="AZ22" s="5" t="str">
        <f aca="false">IF($B22="","",SUMPRODUCT(($AL22:$AO22&lt;&gt;"")*(COUNTIF($AP22:$AX22,$AL22:$AO22)&gt;0)))</f>
        <v/>
      </c>
      <c r="BA22" s="5" t="str">
        <f aca="false">IF($B22="","",IF(AZ22&gt;0,1,0))</f>
        <v/>
      </c>
      <c r="BB22" s="5" t="str">
        <f aca="false">IF($AP22="","",IF((($AP22="Engineering and Technology")+($AP22="Science and Mathematics")+($AP22="Computer Science, IT and Allied Fields")+($AP22="Life Sciences /Medicine and Healthcare")+($AP22="Paramedical")+($AP22="Architecture")+($AP22="Environmental Service")+($AP22="Agriculture, Food Industry and Forestry"))&gt;0,"Science",IF((($AP22="Banking and Finance")+($AP22="Management and Administration")+($AP22="Marketing")+($AP22="Sales")+($AP22="Entrepreneurship")+($AP22="Hospitality and Tourism"))&gt;0,"Commerce",IF((($AP22="Social Sciences and Humanities")+($AP22="Law Studies")+($AP22="Education and Training")+($AP22="Art, Design")+($AP22="Entertainment and Mass Media")+($AP22="Community and Social Service")+($AP22="Personal Care and Services")+($AP22="Government and Public Administration")+($AP22="Defence/ Protective Service")+($AP22="Sports"))&gt;0,"Arts / Humanities",""))))</f>
        <v/>
      </c>
      <c r="BC22" s="5" t="str">
        <f aca="false">IF($AL22="","",IF((($AL22="Engineering and Technology")+($AL22="Science and Mathematics")+($AL22="Computer Science, IT and Allied Fields")+($AL22="Life Sciences /Medicine and Healthcare")+($AL22="Paramedical")+($AL22="Architecture")+($AL22="Environmental Service")+($AL22="Agriculture, Food Industry and Forestry"))&gt;0,"Science",IF((($AL22="Banking and Finance")+($AL22="Management and Administration")+($AL22="Marketing")+($AL22="Sales")+($AL22="Entrepreneurship")+($AL22="Hospitality and Tourism"))&gt;0,"Commerce",IF((($AL22="Social Sciences and Humanities")+($AL22="Law Studies")+($AL22="Education and Training")+($AL22="Art, Design")+($AL22="Entertainment and Mass Media")+($AL22="Community and Social Service")+($AL22="Personal Care and Services")+($AL22="Government and Public Administration")+($AL22="Defence/ Protective Service")+($AL22="Sports"))&gt;0,"Arts / Humanities",""))))</f>
        <v/>
      </c>
      <c r="BD22" s="5" t="str">
        <f aca="false">IF($B22="","",--(F22&gt;=10)+--(G22&gt;=10)+--(H22&gt;=10)+--(I22&gt;=10)+--(J22&gt;=10)+--(K22&gt;=10)+--(L22&gt;=10)+--(M22&gt;=10)+--(N22&gt;=10)+--(O22&gt;=10))</f>
        <v/>
      </c>
      <c r="BE22" s="5" t="str">
        <f aca="false">IF($B22="","",--(AND(F22&lt;&gt;"",F22&lt;=8))+--(AND(G22&lt;&gt;"",G22&lt;=8))+--(AND(H22&lt;&gt;"",H22&lt;=8))+--(AND(I22&lt;&gt;"",I22&lt;=8))+--(AND(J22&lt;&gt;"",J22&lt;=8))+--(AND(K22&lt;&gt;"",K22&lt;=8))+--(AND(L22&lt;&gt;"",L22&lt;=8))+--(AND(M22&lt;&gt;"",M22&lt;=8))+--(AND(N22&lt;&gt;"",N22&lt;=8))+--(AND(O22&lt;&gt;"",O22&lt;=8)))</f>
        <v/>
      </c>
    </row>
    <row r="23" customFormat="false" ht="15" hidden="false" customHeight="false" outlineLevel="0" collapsed="false">
      <c r="AZ23" s="5" t="str">
        <f aca="false">IF($B23="","",SUMPRODUCT(($AL23:$AO23&lt;&gt;"")*(COUNTIF($AP23:$AX23,$AL23:$AO23)&gt;0)))</f>
        <v/>
      </c>
      <c r="BA23" s="5" t="str">
        <f aca="false">IF($B23="","",IF(AZ23&gt;0,1,0))</f>
        <v/>
      </c>
      <c r="BB23" s="5" t="str">
        <f aca="false">IF($AP23="","",IF((($AP23="Engineering and Technology")+($AP23="Science and Mathematics")+($AP23="Computer Science, IT and Allied Fields")+($AP23="Life Sciences /Medicine and Healthcare")+($AP23="Paramedical")+($AP23="Architecture")+($AP23="Environmental Service")+($AP23="Agriculture, Food Industry and Forestry"))&gt;0,"Science",IF((($AP23="Banking and Finance")+($AP23="Management and Administration")+($AP23="Marketing")+($AP23="Sales")+($AP23="Entrepreneurship")+($AP23="Hospitality and Tourism"))&gt;0,"Commerce",IF((($AP23="Social Sciences and Humanities")+($AP23="Law Studies")+($AP23="Education and Training")+($AP23="Art, Design")+($AP23="Entertainment and Mass Media")+($AP23="Community and Social Service")+($AP23="Personal Care and Services")+($AP23="Government and Public Administration")+($AP23="Defence/ Protective Service")+($AP23="Sports"))&gt;0,"Arts / Humanities",""))))</f>
        <v/>
      </c>
      <c r="BC23" s="5" t="str">
        <f aca="false">IF($AL23="","",IF((($AL23="Engineering and Technology")+($AL23="Science and Mathematics")+($AL23="Computer Science, IT and Allied Fields")+($AL23="Life Sciences /Medicine and Healthcare")+($AL23="Paramedical")+($AL23="Architecture")+($AL23="Environmental Service")+($AL23="Agriculture, Food Industry and Forestry"))&gt;0,"Science",IF((($AL23="Banking and Finance")+($AL23="Management and Administration")+($AL23="Marketing")+($AL23="Sales")+($AL23="Entrepreneurship")+($AL23="Hospitality and Tourism"))&gt;0,"Commerce",IF((($AL23="Social Sciences and Humanities")+($AL23="Law Studies")+($AL23="Education and Training")+($AL23="Art, Design")+($AL23="Entertainment and Mass Media")+($AL23="Community and Social Service")+($AL23="Personal Care and Services")+($AL23="Government and Public Administration")+($AL23="Defence/ Protective Service")+($AL23="Sports"))&gt;0,"Arts / Humanities",""))))</f>
        <v/>
      </c>
      <c r="BD23" s="5" t="str">
        <f aca="false">IF($B23="","",--(F23&gt;=10)+--(G23&gt;=10)+--(H23&gt;=10)+--(I23&gt;=10)+--(J23&gt;=10)+--(K23&gt;=10)+--(L23&gt;=10)+--(M23&gt;=10)+--(N23&gt;=10)+--(O23&gt;=10))</f>
        <v/>
      </c>
      <c r="BE23" s="5" t="str">
        <f aca="false">IF($B23="","",--(AND(F23&lt;&gt;"",F23&lt;=8))+--(AND(G23&lt;&gt;"",G23&lt;=8))+--(AND(H23&lt;&gt;"",H23&lt;=8))+--(AND(I23&lt;&gt;"",I23&lt;=8))+--(AND(J23&lt;&gt;"",J23&lt;=8))+--(AND(K23&lt;&gt;"",K23&lt;=8))+--(AND(L23&lt;&gt;"",L23&lt;=8))+--(AND(M23&lt;&gt;"",M23&lt;=8))+--(AND(N23&lt;&gt;"",N23&lt;=8))+--(AND(O23&lt;&gt;"",O23&lt;=8)))</f>
        <v/>
      </c>
    </row>
    <row r="24" customFormat="false" ht="15" hidden="false" customHeight="false" outlineLevel="0" collapsed="false">
      <c r="AZ24" s="5" t="str">
        <f aca="false">IF($B24="","",SUMPRODUCT(($AL24:$AO24&lt;&gt;"")*(COUNTIF($AP24:$AX24,$AL24:$AO24)&gt;0)))</f>
        <v/>
      </c>
      <c r="BA24" s="5" t="str">
        <f aca="false">IF($B24="","",IF(AZ24&gt;0,1,0))</f>
        <v/>
      </c>
      <c r="BB24" s="5" t="str">
        <f aca="false">IF($AP24="","",IF((($AP24="Engineering and Technology")+($AP24="Science and Mathematics")+($AP24="Computer Science, IT and Allied Fields")+($AP24="Life Sciences /Medicine and Healthcare")+($AP24="Paramedical")+($AP24="Architecture")+($AP24="Environmental Service")+($AP24="Agriculture, Food Industry and Forestry"))&gt;0,"Science",IF((($AP24="Banking and Finance")+($AP24="Management and Administration")+($AP24="Marketing")+($AP24="Sales")+($AP24="Entrepreneurship")+($AP24="Hospitality and Tourism"))&gt;0,"Commerce",IF((($AP24="Social Sciences and Humanities")+($AP24="Law Studies")+($AP24="Education and Training")+($AP24="Art, Design")+($AP24="Entertainment and Mass Media")+($AP24="Community and Social Service")+($AP24="Personal Care and Services")+($AP24="Government and Public Administration")+($AP24="Defence/ Protective Service")+($AP24="Sports"))&gt;0,"Arts / Humanities",""))))</f>
        <v/>
      </c>
      <c r="BC24" s="5" t="str">
        <f aca="false">IF($AL24="","",IF((($AL24="Engineering and Technology")+($AL24="Science and Mathematics")+($AL24="Computer Science, IT and Allied Fields")+($AL24="Life Sciences /Medicine and Healthcare")+($AL24="Paramedical")+($AL24="Architecture")+($AL24="Environmental Service")+($AL24="Agriculture, Food Industry and Forestry"))&gt;0,"Science",IF((($AL24="Banking and Finance")+($AL24="Management and Administration")+($AL24="Marketing")+($AL24="Sales")+($AL24="Entrepreneurship")+($AL24="Hospitality and Tourism"))&gt;0,"Commerce",IF((($AL24="Social Sciences and Humanities")+($AL24="Law Studies")+($AL24="Education and Training")+($AL24="Art, Design")+($AL24="Entertainment and Mass Media")+($AL24="Community and Social Service")+($AL24="Personal Care and Services")+($AL24="Government and Public Administration")+($AL24="Defence/ Protective Service")+($AL24="Sports"))&gt;0,"Arts / Humanities",""))))</f>
        <v/>
      </c>
      <c r="BD24" s="5" t="str">
        <f aca="false">IF($B24="","",--(F24&gt;=10)+--(G24&gt;=10)+--(H24&gt;=10)+--(I24&gt;=10)+--(J24&gt;=10)+--(K24&gt;=10)+--(L24&gt;=10)+--(M24&gt;=10)+--(N24&gt;=10)+--(O24&gt;=10))</f>
        <v/>
      </c>
      <c r="BE24" s="5" t="str">
        <f aca="false">IF($B24="","",--(AND(F24&lt;&gt;"",F24&lt;=8))+--(AND(G24&lt;&gt;"",G24&lt;=8))+--(AND(H24&lt;&gt;"",H24&lt;=8))+--(AND(I24&lt;&gt;"",I24&lt;=8))+--(AND(J24&lt;&gt;"",J24&lt;=8))+--(AND(K24&lt;&gt;"",K24&lt;=8))+--(AND(L24&lt;&gt;"",L24&lt;=8))+--(AND(M24&lt;&gt;"",M24&lt;=8))+--(AND(N24&lt;&gt;"",N24&lt;=8))+--(AND(O24&lt;&gt;"",O24&lt;=8)))</f>
        <v/>
      </c>
    </row>
    <row r="25" customFormat="false" ht="15" hidden="false" customHeight="false" outlineLevel="0" collapsed="false">
      <c r="AZ25" s="5" t="str">
        <f aca="false">IF($B25="","",SUMPRODUCT(($AL25:$AO25&lt;&gt;"")*(COUNTIF($AP25:$AX25,$AL25:$AO25)&gt;0)))</f>
        <v/>
      </c>
      <c r="BA25" s="5" t="str">
        <f aca="false">IF($B25="","",IF(AZ25&gt;0,1,0))</f>
        <v/>
      </c>
      <c r="BB25" s="5" t="str">
        <f aca="false">IF($AP25="","",IF((($AP25="Engineering and Technology")+($AP25="Science and Mathematics")+($AP25="Computer Science, IT and Allied Fields")+($AP25="Life Sciences /Medicine and Healthcare")+($AP25="Paramedical")+($AP25="Architecture")+($AP25="Environmental Service")+($AP25="Agriculture, Food Industry and Forestry"))&gt;0,"Science",IF((($AP25="Banking and Finance")+($AP25="Management and Administration")+($AP25="Marketing")+($AP25="Sales")+($AP25="Entrepreneurship")+($AP25="Hospitality and Tourism"))&gt;0,"Commerce",IF((($AP25="Social Sciences and Humanities")+($AP25="Law Studies")+($AP25="Education and Training")+($AP25="Art, Design")+($AP25="Entertainment and Mass Media")+($AP25="Community and Social Service")+($AP25="Personal Care and Services")+($AP25="Government and Public Administration")+($AP25="Defence/ Protective Service")+($AP25="Sports"))&gt;0,"Arts / Humanities",""))))</f>
        <v/>
      </c>
      <c r="BC25" s="5" t="str">
        <f aca="false">IF($AL25="","",IF((($AL25="Engineering and Technology")+($AL25="Science and Mathematics")+($AL25="Computer Science, IT and Allied Fields")+($AL25="Life Sciences /Medicine and Healthcare")+($AL25="Paramedical")+($AL25="Architecture")+($AL25="Environmental Service")+($AL25="Agriculture, Food Industry and Forestry"))&gt;0,"Science",IF((($AL25="Banking and Finance")+($AL25="Management and Administration")+($AL25="Marketing")+($AL25="Sales")+($AL25="Entrepreneurship")+($AL25="Hospitality and Tourism"))&gt;0,"Commerce",IF((($AL25="Social Sciences and Humanities")+($AL25="Law Studies")+($AL25="Education and Training")+($AL25="Art, Design")+($AL25="Entertainment and Mass Media")+($AL25="Community and Social Service")+($AL25="Personal Care and Services")+($AL25="Government and Public Administration")+($AL25="Defence/ Protective Service")+($AL25="Sports"))&gt;0,"Arts / Humanities",""))))</f>
        <v/>
      </c>
      <c r="BD25" s="5" t="str">
        <f aca="false">IF($B25="","",--(F25&gt;=10)+--(G25&gt;=10)+--(H25&gt;=10)+--(I25&gt;=10)+--(J25&gt;=10)+--(K25&gt;=10)+--(L25&gt;=10)+--(M25&gt;=10)+--(N25&gt;=10)+--(O25&gt;=10))</f>
        <v/>
      </c>
      <c r="BE25" s="5" t="str">
        <f aca="false">IF($B25="","",--(AND(F25&lt;&gt;"",F25&lt;=8))+--(AND(G25&lt;&gt;"",G25&lt;=8))+--(AND(H25&lt;&gt;"",H25&lt;=8))+--(AND(I25&lt;&gt;"",I25&lt;=8))+--(AND(J25&lt;&gt;"",J25&lt;=8))+--(AND(K25&lt;&gt;"",K25&lt;=8))+--(AND(L25&lt;&gt;"",L25&lt;=8))+--(AND(M25&lt;&gt;"",M25&lt;=8))+--(AND(N25&lt;&gt;"",N25&lt;=8))+--(AND(O25&lt;&gt;"",O25&lt;=8)))</f>
        <v/>
      </c>
    </row>
    <row r="26" customFormat="false" ht="15" hidden="false" customHeight="false" outlineLevel="0" collapsed="false">
      <c r="AZ26" s="5" t="str">
        <f aca="false">IF($B26="","",SUMPRODUCT(($AL26:$AO26&lt;&gt;"")*(COUNTIF($AP26:$AX26,$AL26:$AO26)&gt;0)))</f>
        <v/>
      </c>
      <c r="BA26" s="5" t="str">
        <f aca="false">IF($B26="","",IF(AZ26&gt;0,1,0))</f>
        <v/>
      </c>
      <c r="BB26" s="5" t="str">
        <f aca="false">IF($AP26="","",IF((($AP26="Engineering and Technology")+($AP26="Science and Mathematics")+($AP26="Computer Science, IT and Allied Fields")+($AP26="Life Sciences /Medicine and Healthcare")+($AP26="Paramedical")+($AP26="Architecture")+($AP26="Environmental Service")+($AP26="Agriculture, Food Industry and Forestry"))&gt;0,"Science",IF((($AP26="Banking and Finance")+($AP26="Management and Administration")+($AP26="Marketing")+($AP26="Sales")+($AP26="Entrepreneurship")+($AP26="Hospitality and Tourism"))&gt;0,"Commerce",IF((($AP26="Social Sciences and Humanities")+($AP26="Law Studies")+($AP26="Education and Training")+($AP26="Art, Design")+($AP26="Entertainment and Mass Media")+($AP26="Community and Social Service")+($AP26="Personal Care and Services")+($AP26="Government and Public Administration")+($AP26="Defence/ Protective Service")+($AP26="Sports"))&gt;0,"Arts / Humanities",""))))</f>
        <v/>
      </c>
      <c r="BC26" s="5" t="str">
        <f aca="false">IF($AL26="","",IF((($AL26="Engineering and Technology")+($AL26="Science and Mathematics")+($AL26="Computer Science, IT and Allied Fields")+($AL26="Life Sciences /Medicine and Healthcare")+($AL26="Paramedical")+($AL26="Architecture")+($AL26="Environmental Service")+($AL26="Agriculture, Food Industry and Forestry"))&gt;0,"Science",IF((($AL26="Banking and Finance")+($AL26="Management and Administration")+($AL26="Marketing")+($AL26="Sales")+($AL26="Entrepreneurship")+($AL26="Hospitality and Tourism"))&gt;0,"Commerce",IF((($AL26="Social Sciences and Humanities")+($AL26="Law Studies")+($AL26="Education and Training")+($AL26="Art, Design")+($AL26="Entertainment and Mass Media")+($AL26="Community and Social Service")+($AL26="Personal Care and Services")+($AL26="Government and Public Administration")+($AL26="Defence/ Protective Service")+($AL26="Sports"))&gt;0,"Arts / Humanities",""))))</f>
        <v/>
      </c>
      <c r="BD26" s="5" t="str">
        <f aca="false">IF($B26="","",--(F26&gt;=10)+--(G26&gt;=10)+--(H26&gt;=10)+--(I26&gt;=10)+--(J26&gt;=10)+--(K26&gt;=10)+--(L26&gt;=10)+--(M26&gt;=10)+--(N26&gt;=10)+--(O26&gt;=10))</f>
        <v/>
      </c>
      <c r="BE26" s="5" t="str">
        <f aca="false">IF($B26="","",--(AND(F26&lt;&gt;"",F26&lt;=8))+--(AND(G26&lt;&gt;"",G26&lt;=8))+--(AND(H26&lt;&gt;"",H26&lt;=8))+--(AND(I26&lt;&gt;"",I26&lt;=8))+--(AND(J26&lt;&gt;"",J26&lt;=8))+--(AND(K26&lt;&gt;"",K26&lt;=8))+--(AND(L26&lt;&gt;"",L26&lt;=8))+--(AND(M26&lt;&gt;"",M26&lt;=8))+--(AND(N26&lt;&gt;"",N26&lt;=8))+--(AND(O26&lt;&gt;"",O26&lt;=8)))</f>
        <v/>
      </c>
    </row>
    <row r="27" customFormat="false" ht="15" hidden="false" customHeight="false" outlineLevel="0" collapsed="false">
      <c r="AZ27" s="5" t="str">
        <f aca="false">IF($B27="","",SUMPRODUCT(($AL27:$AO27&lt;&gt;"")*(COUNTIF($AP27:$AX27,$AL27:$AO27)&gt;0)))</f>
        <v/>
      </c>
      <c r="BA27" s="5" t="str">
        <f aca="false">IF($B27="","",IF(AZ27&gt;0,1,0))</f>
        <v/>
      </c>
      <c r="BB27" s="5" t="str">
        <f aca="false">IF($AP27="","",IF((($AP27="Engineering and Technology")+($AP27="Science and Mathematics")+($AP27="Computer Science, IT and Allied Fields")+($AP27="Life Sciences /Medicine and Healthcare")+($AP27="Paramedical")+($AP27="Architecture")+($AP27="Environmental Service")+($AP27="Agriculture, Food Industry and Forestry"))&gt;0,"Science",IF((($AP27="Banking and Finance")+($AP27="Management and Administration")+($AP27="Marketing")+($AP27="Sales")+($AP27="Entrepreneurship")+($AP27="Hospitality and Tourism"))&gt;0,"Commerce",IF((($AP27="Social Sciences and Humanities")+($AP27="Law Studies")+($AP27="Education and Training")+($AP27="Art, Design")+($AP27="Entertainment and Mass Media")+($AP27="Community and Social Service")+($AP27="Personal Care and Services")+($AP27="Government and Public Administration")+($AP27="Defence/ Protective Service")+($AP27="Sports"))&gt;0,"Arts / Humanities",""))))</f>
        <v/>
      </c>
      <c r="BC27" s="5" t="str">
        <f aca="false">IF($AL27="","",IF((($AL27="Engineering and Technology")+($AL27="Science and Mathematics")+($AL27="Computer Science, IT and Allied Fields")+($AL27="Life Sciences /Medicine and Healthcare")+($AL27="Paramedical")+($AL27="Architecture")+($AL27="Environmental Service")+($AL27="Agriculture, Food Industry and Forestry"))&gt;0,"Science",IF((($AL27="Banking and Finance")+($AL27="Management and Administration")+($AL27="Marketing")+($AL27="Sales")+($AL27="Entrepreneurship")+($AL27="Hospitality and Tourism"))&gt;0,"Commerce",IF((($AL27="Social Sciences and Humanities")+($AL27="Law Studies")+($AL27="Education and Training")+($AL27="Art, Design")+($AL27="Entertainment and Mass Media")+($AL27="Community and Social Service")+($AL27="Personal Care and Services")+($AL27="Government and Public Administration")+($AL27="Defence/ Protective Service")+($AL27="Sports"))&gt;0,"Arts / Humanities",""))))</f>
        <v/>
      </c>
      <c r="BD27" s="5" t="str">
        <f aca="false">IF($B27="","",--(F27&gt;=10)+--(G27&gt;=10)+--(H27&gt;=10)+--(I27&gt;=10)+--(J27&gt;=10)+--(K27&gt;=10)+--(L27&gt;=10)+--(M27&gt;=10)+--(N27&gt;=10)+--(O27&gt;=10))</f>
        <v/>
      </c>
      <c r="BE27" s="5" t="str">
        <f aca="false">IF($B27="","",--(AND(F27&lt;&gt;"",F27&lt;=8))+--(AND(G27&lt;&gt;"",G27&lt;=8))+--(AND(H27&lt;&gt;"",H27&lt;=8))+--(AND(I27&lt;&gt;"",I27&lt;=8))+--(AND(J27&lt;&gt;"",J27&lt;=8))+--(AND(K27&lt;&gt;"",K27&lt;=8))+--(AND(L27&lt;&gt;"",L27&lt;=8))+--(AND(M27&lt;&gt;"",M27&lt;=8))+--(AND(N27&lt;&gt;"",N27&lt;=8))+--(AND(O27&lt;&gt;"",O27&lt;=8)))</f>
        <v/>
      </c>
    </row>
    <row r="28" customFormat="false" ht="15" hidden="false" customHeight="false" outlineLevel="0" collapsed="false">
      <c r="AZ28" s="5" t="str">
        <f aca="false">IF($B28="","",SUMPRODUCT(($AL28:$AO28&lt;&gt;"")*(COUNTIF($AP28:$AX28,$AL28:$AO28)&gt;0)))</f>
        <v/>
      </c>
      <c r="BA28" s="5" t="str">
        <f aca="false">IF($B28="","",IF(AZ28&gt;0,1,0))</f>
        <v/>
      </c>
      <c r="BB28" s="5" t="str">
        <f aca="false">IF($AP28="","",IF((($AP28="Engineering and Technology")+($AP28="Science and Mathematics")+($AP28="Computer Science, IT and Allied Fields")+($AP28="Life Sciences /Medicine and Healthcare")+($AP28="Paramedical")+($AP28="Architecture")+($AP28="Environmental Service")+($AP28="Agriculture, Food Industry and Forestry"))&gt;0,"Science",IF((($AP28="Banking and Finance")+($AP28="Management and Administration")+($AP28="Marketing")+($AP28="Sales")+($AP28="Entrepreneurship")+($AP28="Hospitality and Tourism"))&gt;0,"Commerce",IF((($AP28="Social Sciences and Humanities")+($AP28="Law Studies")+($AP28="Education and Training")+($AP28="Art, Design")+($AP28="Entertainment and Mass Media")+($AP28="Community and Social Service")+($AP28="Personal Care and Services")+($AP28="Government and Public Administration")+($AP28="Defence/ Protective Service")+($AP28="Sports"))&gt;0,"Arts / Humanities",""))))</f>
        <v/>
      </c>
      <c r="BC28" s="5" t="str">
        <f aca="false">IF($AL28="","",IF((($AL28="Engineering and Technology")+($AL28="Science and Mathematics")+($AL28="Computer Science, IT and Allied Fields")+($AL28="Life Sciences /Medicine and Healthcare")+($AL28="Paramedical")+($AL28="Architecture")+($AL28="Environmental Service")+($AL28="Agriculture, Food Industry and Forestry"))&gt;0,"Science",IF((($AL28="Banking and Finance")+($AL28="Management and Administration")+($AL28="Marketing")+($AL28="Sales")+($AL28="Entrepreneurship")+($AL28="Hospitality and Tourism"))&gt;0,"Commerce",IF((($AL28="Social Sciences and Humanities")+($AL28="Law Studies")+($AL28="Education and Training")+($AL28="Art, Design")+($AL28="Entertainment and Mass Media")+($AL28="Community and Social Service")+($AL28="Personal Care and Services")+($AL28="Government and Public Administration")+($AL28="Defence/ Protective Service")+($AL28="Sports"))&gt;0,"Arts / Humanities",""))))</f>
        <v/>
      </c>
      <c r="BD28" s="5" t="str">
        <f aca="false">IF($B28="","",--(F28&gt;=10)+--(G28&gt;=10)+--(H28&gt;=10)+--(I28&gt;=10)+--(J28&gt;=10)+--(K28&gt;=10)+--(L28&gt;=10)+--(M28&gt;=10)+--(N28&gt;=10)+--(O28&gt;=10))</f>
        <v/>
      </c>
      <c r="BE28" s="5" t="str">
        <f aca="false">IF($B28="","",--(AND(F28&lt;&gt;"",F28&lt;=8))+--(AND(G28&lt;&gt;"",G28&lt;=8))+--(AND(H28&lt;&gt;"",H28&lt;=8))+--(AND(I28&lt;&gt;"",I28&lt;=8))+--(AND(J28&lt;&gt;"",J28&lt;=8))+--(AND(K28&lt;&gt;"",K28&lt;=8))+--(AND(L28&lt;&gt;"",L28&lt;=8))+--(AND(M28&lt;&gt;"",M28&lt;=8))+--(AND(N28&lt;&gt;"",N28&lt;=8))+--(AND(O28&lt;&gt;"",O28&lt;=8)))</f>
        <v/>
      </c>
    </row>
    <row r="29" customFormat="false" ht="15" hidden="false" customHeight="false" outlineLevel="0" collapsed="false">
      <c r="AZ29" s="5" t="str">
        <f aca="false">IF($B29="","",SUMPRODUCT(($AL29:$AO29&lt;&gt;"")*(COUNTIF($AP29:$AX29,$AL29:$AO29)&gt;0)))</f>
        <v/>
      </c>
      <c r="BA29" s="5" t="str">
        <f aca="false">IF($B29="","",IF(AZ29&gt;0,1,0))</f>
        <v/>
      </c>
      <c r="BB29" s="5" t="str">
        <f aca="false">IF($AP29="","",IF((($AP29="Engineering and Technology")+($AP29="Science and Mathematics")+($AP29="Computer Science, IT and Allied Fields")+($AP29="Life Sciences /Medicine and Healthcare")+($AP29="Paramedical")+($AP29="Architecture")+($AP29="Environmental Service")+($AP29="Agriculture, Food Industry and Forestry"))&gt;0,"Science",IF((($AP29="Banking and Finance")+($AP29="Management and Administration")+($AP29="Marketing")+($AP29="Sales")+($AP29="Entrepreneurship")+($AP29="Hospitality and Tourism"))&gt;0,"Commerce",IF((($AP29="Social Sciences and Humanities")+($AP29="Law Studies")+($AP29="Education and Training")+($AP29="Art, Design")+($AP29="Entertainment and Mass Media")+($AP29="Community and Social Service")+($AP29="Personal Care and Services")+($AP29="Government and Public Administration")+($AP29="Defence/ Protective Service")+($AP29="Sports"))&gt;0,"Arts / Humanities",""))))</f>
        <v/>
      </c>
      <c r="BC29" s="5" t="str">
        <f aca="false">IF($AL29="","",IF((($AL29="Engineering and Technology")+($AL29="Science and Mathematics")+($AL29="Computer Science, IT and Allied Fields")+($AL29="Life Sciences /Medicine and Healthcare")+($AL29="Paramedical")+($AL29="Architecture")+($AL29="Environmental Service")+($AL29="Agriculture, Food Industry and Forestry"))&gt;0,"Science",IF((($AL29="Banking and Finance")+($AL29="Management and Administration")+($AL29="Marketing")+($AL29="Sales")+($AL29="Entrepreneurship")+($AL29="Hospitality and Tourism"))&gt;0,"Commerce",IF((($AL29="Social Sciences and Humanities")+($AL29="Law Studies")+($AL29="Education and Training")+($AL29="Art, Design")+($AL29="Entertainment and Mass Media")+($AL29="Community and Social Service")+($AL29="Personal Care and Services")+($AL29="Government and Public Administration")+($AL29="Defence/ Protective Service")+($AL29="Sports"))&gt;0,"Arts / Humanities",""))))</f>
        <v/>
      </c>
      <c r="BD29" s="5" t="str">
        <f aca="false">IF($B29="","",--(F29&gt;=10)+--(G29&gt;=10)+--(H29&gt;=10)+--(I29&gt;=10)+--(J29&gt;=10)+--(K29&gt;=10)+--(L29&gt;=10)+--(M29&gt;=10)+--(N29&gt;=10)+--(O29&gt;=10))</f>
        <v/>
      </c>
      <c r="BE29" s="5" t="str">
        <f aca="false">IF($B29="","",--(AND(F29&lt;&gt;"",F29&lt;=8))+--(AND(G29&lt;&gt;"",G29&lt;=8))+--(AND(H29&lt;&gt;"",H29&lt;=8))+--(AND(I29&lt;&gt;"",I29&lt;=8))+--(AND(J29&lt;&gt;"",J29&lt;=8))+--(AND(K29&lt;&gt;"",K29&lt;=8))+--(AND(L29&lt;&gt;"",L29&lt;=8))+--(AND(M29&lt;&gt;"",M29&lt;=8))+--(AND(N29&lt;&gt;"",N29&lt;=8))+--(AND(O29&lt;&gt;"",O29&lt;=8)))</f>
        <v/>
      </c>
    </row>
    <row r="30" customFormat="false" ht="15" hidden="false" customHeight="false" outlineLevel="0" collapsed="false">
      <c r="AZ30" s="5" t="str">
        <f aca="false">IF($B30="","",SUMPRODUCT(($AL30:$AO30&lt;&gt;"")*(COUNTIF($AP30:$AX30,$AL30:$AO30)&gt;0)))</f>
        <v/>
      </c>
      <c r="BA30" s="5" t="str">
        <f aca="false">IF($B30="","",IF(AZ30&gt;0,1,0))</f>
        <v/>
      </c>
      <c r="BB30" s="5" t="str">
        <f aca="false">IF($AP30="","",IF((($AP30="Engineering and Technology")+($AP30="Science and Mathematics")+($AP30="Computer Science, IT and Allied Fields")+($AP30="Life Sciences /Medicine and Healthcare")+($AP30="Paramedical")+($AP30="Architecture")+($AP30="Environmental Service")+($AP30="Agriculture, Food Industry and Forestry"))&gt;0,"Science",IF((($AP30="Banking and Finance")+($AP30="Management and Administration")+($AP30="Marketing")+($AP30="Sales")+($AP30="Entrepreneurship")+($AP30="Hospitality and Tourism"))&gt;0,"Commerce",IF((($AP30="Social Sciences and Humanities")+($AP30="Law Studies")+($AP30="Education and Training")+($AP30="Art, Design")+($AP30="Entertainment and Mass Media")+($AP30="Community and Social Service")+($AP30="Personal Care and Services")+($AP30="Government and Public Administration")+($AP30="Defence/ Protective Service")+($AP30="Sports"))&gt;0,"Arts / Humanities",""))))</f>
        <v/>
      </c>
      <c r="BC30" s="5" t="str">
        <f aca="false">IF($AL30="","",IF((($AL30="Engineering and Technology")+($AL30="Science and Mathematics")+($AL30="Computer Science, IT and Allied Fields")+($AL30="Life Sciences /Medicine and Healthcare")+($AL30="Paramedical")+($AL30="Architecture")+($AL30="Environmental Service")+($AL30="Agriculture, Food Industry and Forestry"))&gt;0,"Science",IF((($AL30="Banking and Finance")+($AL30="Management and Administration")+($AL30="Marketing")+($AL30="Sales")+($AL30="Entrepreneurship")+($AL30="Hospitality and Tourism"))&gt;0,"Commerce",IF((($AL30="Social Sciences and Humanities")+($AL30="Law Studies")+($AL30="Education and Training")+($AL30="Art, Design")+($AL30="Entertainment and Mass Media")+($AL30="Community and Social Service")+($AL30="Personal Care and Services")+($AL30="Government and Public Administration")+($AL30="Defence/ Protective Service")+($AL30="Sports"))&gt;0,"Arts / Humanities",""))))</f>
        <v/>
      </c>
      <c r="BD30" s="5" t="str">
        <f aca="false">IF($B30="","",--(F30&gt;=10)+--(G30&gt;=10)+--(H30&gt;=10)+--(I30&gt;=10)+--(J30&gt;=10)+--(K30&gt;=10)+--(L30&gt;=10)+--(M30&gt;=10)+--(N30&gt;=10)+--(O30&gt;=10))</f>
        <v/>
      </c>
      <c r="BE30" s="5" t="str">
        <f aca="false">IF($B30="","",--(AND(F30&lt;&gt;"",F30&lt;=8))+--(AND(G30&lt;&gt;"",G30&lt;=8))+--(AND(H30&lt;&gt;"",H30&lt;=8))+--(AND(I30&lt;&gt;"",I30&lt;=8))+--(AND(J30&lt;&gt;"",J30&lt;=8))+--(AND(K30&lt;&gt;"",K30&lt;=8))+--(AND(L30&lt;&gt;"",L30&lt;=8))+--(AND(M30&lt;&gt;"",M30&lt;=8))+--(AND(N30&lt;&gt;"",N30&lt;=8))+--(AND(O30&lt;&gt;"",O30&lt;=8)))</f>
        <v/>
      </c>
    </row>
    <row r="31" customFormat="false" ht="15" hidden="false" customHeight="false" outlineLevel="0" collapsed="false">
      <c r="AZ31" s="5" t="str">
        <f aca="false">IF($B31="","",SUMPRODUCT(($AL31:$AO31&lt;&gt;"")*(COUNTIF($AP31:$AX31,$AL31:$AO31)&gt;0)))</f>
        <v/>
      </c>
      <c r="BA31" s="5" t="str">
        <f aca="false">IF($B31="","",IF(AZ31&gt;0,1,0))</f>
        <v/>
      </c>
      <c r="BB31" s="5" t="str">
        <f aca="false">IF($AP31="","",IF((($AP31="Engineering and Technology")+($AP31="Science and Mathematics")+($AP31="Computer Science, IT and Allied Fields")+($AP31="Life Sciences /Medicine and Healthcare")+($AP31="Paramedical")+($AP31="Architecture")+($AP31="Environmental Service")+($AP31="Agriculture, Food Industry and Forestry"))&gt;0,"Science",IF((($AP31="Banking and Finance")+($AP31="Management and Administration")+($AP31="Marketing")+($AP31="Sales")+($AP31="Entrepreneurship")+($AP31="Hospitality and Tourism"))&gt;0,"Commerce",IF((($AP31="Social Sciences and Humanities")+($AP31="Law Studies")+($AP31="Education and Training")+($AP31="Art, Design")+($AP31="Entertainment and Mass Media")+($AP31="Community and Social Service")+($AP31="Personal Care and Services")+($AP31="Government and Public Administration")+($AP31="Defence/ Protective Service")+($AP31="Sports"))&gt;0,"Arts / Humanities",""))))</f>
        <v/>
      </c>
      <c r="BC31" s="5" t="str">
        <f aca="false">IF($AL31="","",IF((($AL31="Engineering and Technology")+($AL31="Science and Mathematics")+($AL31="Computer Science, IT and Allied Fields")+($AL31="Life Sciences /Medicine and Healthcare")+($AL31="Paramedical")+($AL31="Architecture")+($AL31="Environmental Service")+($AL31="Agriculture, Food Industry and Forestry"))&gt;0,"Science",IF((($AL31="Banking and Finance")+($AL31="Management and Administration")+($AL31="Marketing")+($AL31="Sales")+($AL31="Entrepreneurship")+($AL31="Hospitality and Tourism"))&gt;0,"Commerce",IF((($AL31="Social Sciences and Humanities")+($AL31="Law Studies")+($AL31="Education and Training")+($AL31="Art, Design")+($AL31="Entertainment and Mass Media")+($AL31="Community and Social Service")+($AL31="Personal Care and Services")+($AL31="Government and Public Administration")+($AL31="Defence/ Protective Service")+($AL31="Sports"))&gt;0,"Arts / Humanities",""))))</f>
        <v/>
      </c>
      <c r="BD31" s="5" t="str">
        <f aca="false">IF($B31="","",--(F31&gt;=10)+--(G31&gt;=10)+--(H31&gt;=10)+--(I31&gt;=10)+--(J31&gt;=10)+--(K31&gt;=10)+--(L31&gt;=10)+--(M31&gt;=10)+--(N31&gt;=10)+--(O31&gt;=10))</f>
        <v/>
      </c>
      <c r="BE31" s="5" t="str">
        <f aca="false">IF($B31="","",--(AND(F31&lt;&gt;"",F31&lt;=8))+--(AND(G31&lt;&gt;"",G31&lt;=8))+--(AND(H31&lt;&gt;"",H31&lt;=8))+--(AND(I31&lt;&gt;"",I31&lt;=8))+--(AND(J31&lt;&gt;"",J31&lt;=8))+--(AND(K31&lt;&gt;"",K31&lt;=8))+--(AND(L31&lt;&gt;"",L31&lt;=8))+--(AND(M31&lt;&gt;"",M31&lt;=8))+--(AND(N31&lt;&gt;"",N31&lt;=8))+--(AND(O31&lt;&gt;"",O31&lt;=8)))</f>
        <v/>
      </c>
    </row>
    <row r="32" customFormat="false" ht="15" hidden="false" customHeight="false" outlineLevel="0" collapsed="false">
      <c r="AZ32" s="5" t="str">
        <f aca="false">IF($B32="","",SUMPRODUCT(($AL32:$AO32&lt;&gt;"")*(COUNTIF($AP32:$AX32,$AL32:$AO32)&gt;0)))</f>
        <v/>
      </c>
      <c r="BA32" s="5" t="str">
        <f aca="false">IF($B32="","",IF(AZ32&gt;0,1,0))</f>
        <v/>
      </c>
      <c r="BB32" s="5" t="str">
        <f aca="false">IF($AP32="","",IF((($AP32="Engineering and Technology")+($AP32="Science and Mathematics")+($AP32="Computer Science, IT and Allied Fields")+($AP32="Life Sciences /Medicine and Healthcare")+($AP32="Paramedical")+($AP32="Architecture")+($AP32="Environmental Service")+($AP32="Agriculture, Food Industry and Forestry"))&gt;0,"Science",IF((($AP32="Banking and Finance")+($AP32="Management and Administration")+($AP32="Marketing")+($AP32="Sales")+($AP32="Entrepreneurship")+($AP32="Hospitality and Tourism"))&gt;0,"Commerce",IF((($AP32="Social Sciences and Humanities")+($AP32="Law Studies")+($AP32="Education and Training")+($AP32="Art, Design")+($AP32="Entertainment and Mass Media")+($AP32="Community and Social Service")+($AP32="Personal Care and Services")+($AP32="Government and Public Administration")+($AP32="Defence/ Protective Service")+($AP32="Sports"))&gt;0,"Arts / Humanities",""))))</f>
        <v/>
      </c>
      <c r="BC32" s="5" t="str">
        <f aca="false">IF($AL32="","",IF((($AL32="Engineering and Technology")+($AL32="Science and Mathematics")+($AL32="Computer Science, IT and Allied Fields")+($AL32="Life Sciences /Medicine and Healthcare")+($AL32="Paramedical")+($AL32="Architecture")+($AL32="Environmental Service")+($AL32="Agriculture, Food Industry and Forestry"))&gt;0,"Science",IF((($AL32="Banking and Finance")+($AL32="Management and Administration")+($AL32="Marketing")+($AL32="Sales")+($AL32="Entrepreneurship")+($AL32="Hospitality and Tourism"))&gt;0,"Commerce",IF((($AL32="Social Sciences and Humanities")+($AL32="Law Studies")+($AL32="Education and Training")+($AL32="Art, Design")+($AL32="Entertainment and Mass Media")+($AL32="Community and Social Service")+($AL32="Personal Care and Services")+($AL32="Government and Public Administration")+($AL32="Defence/ Protective Service")+($AL32="Sports"))&gt;0,"Arts / Humanities",""))))</f>
        <v/>
      </c>
      <c r="BD32" s="5" t="str">
        <f aca="false">IF($B32="","",--(F32&gt;=10)+--(G32&gt;=10)+--(H32&gt;=10)+--(I32&gt;=10)+--(J32&gt;=10)+--(K32&gt;=10)+--(L32&gt;=10)+--(M32&gt;=10)+--(N32&gt;=10)+--(O32&gt;=10))</f>
        <v/>
      </c>
      <c r="BE32" s="5" t="str">
        <f aca="false">IF($B32="","",--(AND(F32&lt;&gt;"",F32&lt;=8))+--(AND(G32&lt;&gt;"",G32&lt;=8))+--(AND(H32&lt;&gt;"",H32&lt;=8))+--(AND(I32&lt;&gt;"",I32&lt;=8))+--(AND(J32&lt;&gt;"",J32&lt;=8))+--(AND(K32&lt;&gt;"",K32&lt;=8))+--(AND(L32&lt;&gt;"",L32&lt;=8))+--(AND(M32&lt;&gt;"",M32&lt;=8))+--(AND(N32&lt;&gt;"",N32&lt;=8))+--(AND(O32&lt;&gt;"",O32&lt;=8)))</f>
        <v/>
      </c>
    </row>
    <row r="33" customFormat="false" ht="15" hidden="false" customHeight="false" outlineLevel="0" collapsed="false">
      <c r="AZ33" s="5" t="str">
        <f aca="false">IF($B33="","",SUMPRODUCT(($AL33:$AO33&lt;&gt;"")*(COUNTIF($AP33:$AX33,$AL33:$AO33)&gt;0)))</f>
        <v/>
      </c>
      <c r="BA33" s="5" t="str">
        <f aca="false">IF($B33="","",IF(AZ33&gt;0,1,0))</f>
        <v/>
      </c>
      <c r="BB33" s="5" t="str">
        <f aca="false">IF($AP33="","",IF((($AP33="Engineering and Technology")+($AP33="Science and Mathematics")+($AP33="Computer Science, IT and Allied Fields")+($AP33="Life Sciences /Medicine and Healthcare")+($AP33="Paramedical")+($AP33="Architecture")+($AP33="Environmental Service")+($AP33="Agriculture, Food Industry and Forestry"))&gt;0,"Science",IF((($AP33="Banking and Finance")+($AP33="Management and Administration")+($AP33="Marketing")+($AP33="Sales")+($AP33="Entrepreneurship")+($AP33="Hospitality and Tourism"))&gt;0,"Commerce",IF((($AP33="Social Sciences and Humanities")+($AP33="Law Studies")+($AP33="Education and Training")+($AP33="Art, Design")+($AP33="Entertainment and Mass Media")+($AP33="Community and Social Service")+($AP33="Personal Care and Services")+($AP33="Government and Public Administration")+($AP33="Defence/ Protective Service")+($AP33="Sports"))&gt;0,"Arts / Humanities",""))))</f>
        <v/>
      </c>
      <c r="BC33" s="5" t="str">
        <f aca="false">IF($AL33="","",IF((($AL33="Engineering and Technology")+($AL33="Science and Mathematics")+($AL33="Computer Science, IT and Allied Fields")+($AL33="Life Sciences /Medicine and Healthcare")+($AL33="Paramedical")+($AL33="Architecture")+($AL33="Environmental Service")+($AL33="Agriculture, Food Industry and Forestry"))&gt;0,"Science",IF((($AL33="Banking and Finance")+($AL33="Management and Administration")+($AL33="Marketing")+($AL33="Sales")+($AL33="Entrepreneurship")+($AL33="Hospitality and Tourism"))&gt;0,"Commerce",IF((($AL33="Social Sciences and Humanities")+($AL33="Law Studies")+($AL33="Education and Training")+($AL33="Art, Design")+($AL33="Entertainment and Mass Media")+($AL33="Community and Social Service")+($AL33="Personal Care and Services")+($AL33="Government and Public Administration")+($AL33="Defence/ Protective Service")+($AL33="Sports"))&gt;0,"Arts / Humanities",""))))</f>
        <v/>
      </c>
      <c r="BD33" s="5" t="str">
        <f aca="false">IF($B33="","",--(F33&gt;=10)+--(G33&gt;=10)+--(H33&gt;=10)+--(I33&gt;=10)+--(J33&gt;=10)+--(K33&gt;=10)+--(L33&gt;=10)+--(M33&gt;=10)+--(N33&gt;=10)+--(O33&gt;=10))</f>
        <v/>
      </c>
      <c r="BE33" s="5" t="str">
        <f aca="false">IF($B33="","",--(AND(F33&lt;&gt;"",F33&lt;=8))+--(AND(G33&lt;&gt;"",G33&lt;=8))+--(AND(H33&lt;&gt;"",H33&lt;=8))+--(AND(I33&lt;&gt;"",I33&lt;=8))+--(AND(J33&lt;&gt;"",J33&lt;=8))+--(AND(K33&lt;&gt;"",K33&lt;=8))+--(AND(L33&lt;&gt;"",L33&lt;=8))+--(AND(M33&lt;&gt;"",M33&lt;=8))+--(AND(N33&lt;&gt;"",N33&lt;=8))+--(AND(O33&lt;&gt;"",O33&lt;=8)))</f>
        <v/>
      </c>
    </row>
    <row r="34" customFormat="false" ht="15" hidden="false" customHeight="false" outlineLevel="0" collapsed="false">
      <c r="AZ34" s="5" t="str">
        <f aca="false">IF($B34="","",SUMPRODUCT(($AL34:$AO34&lt;&gt;"")*(COUNTIF($AP34:$AX34,$AL34:$AO34)&gt;0)))</f>
        <v/>
      </c>
      <c r="BA34" s="5" t="str">
        <f aca="false">IF($B34="","",IF(AZ34&gt;0,1,0))</f>
        <v/>
      </c>
      <c r="BB34" s="5" t="str">
        <f aca="false">IF($AP34="","",IF((($AP34="Engineering and Technology")+($AP34="Science and Mathematics")+($AP34="Computer Science, IT and Allied Fields")+($AP34="Life Sciences /Medicine and Healthcare")+($AP34="Paramedical")+($AP34="Architecture")+($AP34="Environmental Service")+($AP34="Agriculture, Food Industry and Forestry"))&gt;0,"Science",IF((($AP34="Banking and Finance")+($AP34="Management and Administration")+($AP34="Marketing")+($AP34="Sales")+($AP34="Entrepreneurship")+($AP34="Hospitality and Tourism"))&gt;0,"Commerce",IF((($AP34="Social Sciences and Humanities")+($AP34="Law Studies")+($AP34="Education and Training")+($AP34="Art, Design")+($AP34="Entertainment and Mass Media")+($AP34="Community and Social Service")+($AP34="Personal Care and Services")+($AP34="Government and Public Administration")+($AP34="Defence/ Protective Service")+($AP34="Sports"))&gt;0,"Arts / Humanities",""))))</f>
        <v/>
      </c>
      <c r="BC34" s="5" t="str">
        <f aca="false">IF($AL34="","",IF((($AL34="Engineering and Technology")+($AL34="Science and Mathematics")+($AL34="Computer Science, IT and Allied Fields")+($AL34="Life Sciences /Medicine and Healthcare")+($AL34="Paramedical")+($AL34="Architecture")+($AL34="Environmental Service")+($AL34="Agriculture, Food Industry and Forestry"))&gt;0,"Science",IF((($AL34="Banking and Finance")+($AL34="Management and Administration")+($AL34="Marketing")+($AL34="Sales")+($AL34="Entrepreneurship")+($AL34="Hospitality and Tourism"))&gt;0,"Commerce",IF((($AL34="Social Sciences and Humanities")+($AL34="Law Studies")+($AL34="Education and Training")+($AL34="Art, Design")+($AL34="Entertainment and Mass Media")+($AL34="Community and Social Service")+($AL34="Personal Care and Services")+($AL34="Government and Public Administration")+($AL34="Defence/ Protective Service")+($AL34="Sports"))&gt;0,"Arts / Humanities",""))))</f>
        <v/>
      </c>
      <c r="BD34" s="5" t="str">
        <f aca="false">IF($B34="","",--(F34&gt;=10)+--(G34&gt;=10)+--(H34&gt;=10)+--(I34&gt;=10)+--(J34&gt;=10)+--(K34&gt;=10)+--(L34&gt;=10)+--(M34&gt;=10)+--(N34&gt;=10)+--(O34&gt;=10))</f>
        <v/>
      </c>
      <c r="BE34" s="5" t="str">
        <f aca="false">IF($B34="","",--(AND(F34&lt;&gt;"",F34&lt;=8))+--(AND(G34&lt;&gt;"",G34&lt;=8))+--(AND(H34&lt;&gt;"",H34&lt;=8))+--(AND(I34&lt;&gt;"",I34&lt;=8))+--(AND(J34&lt;&gt;"",J34&lt;=8))+--(AND(K34&lt;&gt;"",K34&lt;=8))+--(AND(L34&lt;&gt;"",L34&lt;=8))+--(AND(M34&lt;&gt;"",M34&lt;=8))+--(AND(N34&lt;&gt;"",N34&lt;=8))+--(AND(O34&lt;&gt;"",O34&lt;=8)))</f>
        <v/>
      </c>
    </row>
    <row r="35" customFormat="false" ht="15" hidden="false" customHeight="false" outlineLevel="0" collapsed="false">
      <c r="AZ35" s="5" t="str">
        <f aca="false">IF($B35="","",SUMPRODUCT(($AL35:$AO35&lt;&gt;"")*(COUNTIF($AP35:$AX35,$AL35:$AO35)&gt;0)))</f>
        <v/>
      </c>
      <c r="BA35" s="5" t="str">
        <f aca="false">IF($B35="","",IF(AZ35&gt;0,1,0))</f>
        <v/>
      </c>
      <c r="BB35" s="5" t="str">
        <f aca="false">IF($AP35="","",IF((($AP35="Engineering and Technology")+($AP35="Science and Mathematics")+($AP35="Computer Science, IT and Allied Fields")+($AP35="Life Sciences /Medicine and Healthcare")+($AP35="Paramedical")+($AP35="Architecture")+($AP35="Environmental Service")+($AP35="Agriculture, Food Industry and Forestry"))&gt;0,"Science",IF((($AP35="Banking and Finance")+($AP35="Management and Administration")+($AP35="Marketing")+($AP35="Sales")+($AP35="Entrepreneurship")+($AP35="Hospitality and Tourism"))&gt;0,"Commerce",IF((($AP35="Social Sciences and Humanities")+($AP35="Law Studies")+($AP35="Education and Training")+($AP35="Art, Design")+($AP35="Entertainment and Mass Media")+($AP35="Community and Social Service")+($AP35="Personal Care and Services")+($AP35="Government and Public Administration")+($AP35="Defence/ Protective Service")+($AP35="Sports"))&gt;0,"Arts / Humanities",""))))</f>
        <v/>
      </c>
      <c r="BC35" s="5" t="str">
        <f aca="false">IF($AL35="","",IF((($AL35="Engineering and Technology")+($AL35="Science and Mathematics")+($AL35="Computer Science, IT and Allied Fields")+($AL35="Life Sciences /Medicine and Healthcare")+($AL35="Paramedical")+($AL35="Architecture")+($AL35="Environmental Service")+($AL35="Agriculture, Food Industry and Forestry"))&gt;0,"Science",IF((($AL35="Banking and Finance")+($AL35="Management and Administration")+($AL35="Marketing")+($AL35="Sales")+($AL35="Entrepreneurship")+($AL35="Hospitality and Tourism"))&gt;0,"Commerce",IF((($AL35="Social Sciences and Humanities")+($AL35="Law Studies")+($AL35="Education and Training")+($AL35="Art, Design")+($AL35="Entertainment and Mass Media")+($AL35="Community and Social Service")+($AL35="Personal Care and Services")+($AL35="Government and Public Administration")+($AL35="Defence/ Protective Service")+($AL35="Sports"))&gt;0,"Arts / Humanities",""))))</f>
        <v/>
      </c>
      <c r="BD35" s="5" t="str">
        <f aca="false">IF($B35="","",--(F35&gt;=10)+--(G35&gt;=10)+--(H35&gt;=10)+--(I35&gt;=10)+--(J35&gt;=10)+--(K35&gt;=10)+--(L35&gt;=10)+--(M35&gt;=10)+--(N35&gt;=10)+--(O35&gt;=10))</f>
        <v/>
      </c>
      <c r="BE35" s="5" t="str">
        <f aca="false">IF($B35="","",--(AND(F35&lt;&gt;"",F35&lt;=8))+--(AND(G35&lt;&gt;"",G35&lt;=8))+--(AND(H35&lt;&gt;"",H35&lt;=8))+--(AND(I35&lt;&gt;"",I35&lt;=8))+--(AND(J35&lt;&gt;"",J35&lt;=8))+--(AND(K35&lt;&gt;"",K35&lt;=8))+--(AND(L35&lt;&gt;"",L35&lt;=8))+--(AND(M35&lt;&gt;"",M35&lt;=8))+--(AND(N35&lt;&gt;"",N35&lt;=8))+--(AND(O35&lt;&gt;"",O35&lt;=8)))</f>
        <v/>
      </c>
    </row>
    <row r="36" customFormat="false" ht="15" hidden="false" customHeight="false" outlineLevel="0" collapsed="false">
      <c r="AZ36" s="5" t="str">
        <f aca="false">IF($B36="","",SUMPRODUCT(($AL36:$AO36&lt;&gt;"")*(COUNTIF($AP36:$AX36,$AL36:$AO36)&gt;0)))</f>
        <v/>
      </c>
      <c r="BA36" s="5" t="str">
        <f aca="false">IF($B36="","",IF(AZ36&gt;0,1,0))</f>
        <v/>
      </c>
      <c r="BB36" s="5" t="str">
        <f aca="false">IF($AP36="","",IF((($AP36="Engineering and Technology")+($AP36="Science and Mathematics")+($AP36="Computer Science, IT and Allied Fields")+($AP36="Life Sciences /Medicine and Healthcare")+($AP36="Paramedical")+($AP36="Architecture")+($AP36="Environmental Service")+($AP36="Agriculture, Food Industry and Forestry"))&gt;0,"Science",IF((($AP36="Banking and Finance")+($AP36="Management and Administration")+($AP36="Marketing")+($AP36="Sales")+($AP36="Entrepreneurship")+($AP36="Hospitality and Tourism"))&gt;0,"Commerce",IF((($AP36="Social Sciences and Humanities")+($AP36="Law Studies")+($AP36="Education and Training")+($AP36="Art, Design")+($AP36="Entertainment and Mass Media")+($AP36="Community and Social Service")+($AP36="Personal Care and Services")+($AP36="Government and Public Administration")+($AP36="Defence/ Protective Service")+($AP36="Sports"))&gt;0,"Arts / Humanities",""))))</f>
        <v/>
      </c>
      <c r="BC36" s="5" t="str">
        <f aca="false">IF($AL36="","",IF((($AL36="Engineering and Technology")+($AL36="Science and Mathematics")+($AL36="Computer Science, IT and Allied Fields")+($AL36="Life Sciences /Medicine and Healthcare")+($AL36="Paramedical")+($AL36="Architecture")+($AL36="Environmental Service")+($AL36="Agriculture, Food Industry and Forestry"))&gt;0,"Science",IF((($AL36="Banking and Finance")+($AL36="Management and Administration")+($AL36="Marketing")+($AL36="Sales")+($AL36="Entrepreneurship")+($AL36="Hospitality and Tourism"))&gt;0,"Commerce",IF((($AL36="Social Sciences and Humanities")+($AL36="Law Studies")+($AL36="Education and Training")+($AL36="Art, Design")+($AL36="Entertainment and Mass Media")+($AL36="Community and Social Service")+($AL36="Personal Care and Services")+($AL36="Government and Public Administration")+($AL36="Defence/ Protective Service")+($AL36="Sports"))&gt;0,"Arts / Humanities",""))))</f>
        <v/>
      </c>
      <c r="BD36" s="5" t="str">
        <f aca="false">IF($B36="","",--(F36&gt;=10)+--(G36&gt;=10)+--(H36&gt;=10)+--(I36&gt;=10)+--(J36&gt;=10)+--(K36&gt;=10)+--(L36&gt;=10)+--(M36&gt;=10)+--(N36&gt;=10)+--(O36&gt;=10))</f>
        <v/>
      </c>
      <c r="BE36" s="5" t="str">
        <f aca="false">IF($B36="","",--(AND(F36&lt;&gt;"",F36&lt;=8))+--(AND(G36&lt;&gt;"",G36&lt;=8))+--(AND(H36&lt;&gt;"",H36&lt;=8))+--(AND(I36&lt;&gt;"",I36&lt;=8))+--(AND(J36&lt;&gt;"",J36&lt;=8))+--(AND(K36&lt;&gt;"",K36&lt;=8))+--(AND(L36&lt;&gt;"",L36&lt;=8))+--(AND(M36&lt;&gt;"",M36&lt;=8))+--(AND(N36&lt;&gt;"",N36&lt;=8))+--(AND(O36&lt;&gt;"",O36&lt;=8)))</f>
        <v/>
      </c>
    </row>
    <row r="37" customFormat="false" ht="15" hidden="false" customHeight="false" outlineLevel="0" collapsed="false">
      <c r="AZ37" s="5" t="str">
        <f aca="false">IF($B37="","",SUMPRODUCT(($AL37:$AO37&lt;&gt;"")*(COUNTIF($AP37:$AX37,$AL37:$AO37)&gt;0)))</f>
        <v/>
      </c>
      <c r="BA37" s="5" t="str">
        <f aca="false">IF($B37="","",IF(AZ37&gt;0,1,0))</f>
        <v/>
      </c>
      <c r="BB37" s="5" t="str">
        <f aca="false">IF($AP37="","",IF((($AP37="Engineering and Technology")+($AP37="Science and Mathematics")+($AP37="Computer Science, IT and Allied Fields")+($AP37="Life Sciences /Medicine and Healthcare")+($AP37="Paramedical")+($AP37="Architecture")+($AP37="Environmental Service")+($AP37="Agriculture, Food Industry and Forestry"))&gt;0,"Science",IF((($AP37="Banking and Finance")+($AP37="Management and Administration")+($AP37="Marketing")+($AP37="Sales")+($AP37="Entrepreneurship")+($AP37="Hospitality and Tourism"))&gt;0,"Commerce",IF((($AP37="Social Sciences and Humanities")+($AP37="Law Studies")+($AP37="Education and Training")+($AP37="Art, Design")+($AP37="Entertainment and Mass Media")+($AP37="Community and Social Service")+($AP37="Personal Care and Services")+($AP37="Government and Public Administration")+($AP37="Defence/ Protective Service")+($AP37="Sports"))&gt;0,"Arts / Humanities",""))))</f>
        <v/>
      </c>
      <c r="BC37" s="5" t="str">
        <f aca="false">IF($AL37="","",IF((($AL37="Engineering and Technology")+($AL37="Science and Mathematics")+($AL37="Computer Science, IT and Allied Fields")+($AL37="Life Sciences /Medicine and Healthcare")+($AL37="Paramedical")+($AL37="Architecture")+($AL37="Environmental Service")+($AL37="Agriculture, Food Industry and Forestry"))&gt;0,"Science",IF((($AL37="Banking and Finance")+($AL37="Management and Administration")+($AL37="Marketing")+($AL37="Sales")+($AL37="Entrepreneurship")+($AL37="Hospitality and Tourism"))&gt;0,"Commerce",IF((($AL37="Social Sciences and Humanities")+($AL37="Law Studies")+($AL37="Education and Training")+($AL37="Art, Design")+($AL37="Entertainment and Mass Media")+($AL37="Community and Social Service")+($AL37="Personal Care and Services")+($AL37="Government and Public Administration")+($AL37="Defence/ Protective Service")+($AL37="Sports"))&gt;0,"Arts / Humanities",""))))</f>
        <v/>
      </c>
      <c r="BD37" s="5" t="str">
        <f aca="false">IF($B37="","",--(F37&gt;=10)+--(G37&gt;=10)+--(H37&gt;=10)+--(I37&gt;=10)+--(J37&gt;=10)+--(K37&gt;=10)+--(L37&gt;=10)+--(M37&gt;=10)+--(N37&gt;=10)+--(O37&gt;=10))</f>
        <v/>
      </c>
      <c r="BE37" s="5" t="str">
        <f aca="false">IF($B37="","",--(AND(F37&lt;&gt;"",F37&lt;=8))+--(AND(G37&lt;&gt;"",G37&lt;=8))+--(AND(H37&lt;&gt;"",H37&lt;=8))+--(AND(I37&lt;&gt;"",I37&lt;=8))+--(AND(J37&lt;&gt;"",J37&lt;=8))+--(AND(K37&lt;&gt;"",K37&lt;=8))+--(AND(L37&lt;&gt;"",L37&lt;=8))+--(AND(M37&lt;&gt;"",M37&lt;=8))+--(AND(N37&lt;&gt;"",N37&lt;=8))+--(AND(O37&lt;&gt;"",O37&lt;=8)))</f>
        <v/>
      </c>
    </row>
    <row r="38" customFormat="false" ht="15" hidden="false" customHeight="false" outlineLevel="0" collapsed="false">
      <c r="AZ38" s="5" t="str">
        <f aca="false">IF($B38="","",SUMPRODUCT(($AL38:$AO38&lt;&gt;"")*(COUNTIF($AP38:$AX38,$AL38:$AO38)&gt;0)))</f>
        <v/>
      </c>
      <c r="BA38" s="5" t="str">
        <f aca="false">IF($B38="","",IF(AZ38&gt;0,1,0))</f>
        <v/>
      </c>
      <c r="BB38" s="5" t="str">
        <f aca="false">IF($AP38="","",IF((($AP38="Engineering and Technology")+($AP38="Science and Mathematics")+($AP38="Computer Science, IT and Allied Fields")+($AP38="Life Sciences /Medicine and Healthcare")+($AP38="Paramedical")+($AP38="Architecture")+($AP38="Environmental Service")+($AP38="Agriculture, Food Industry and Forestry"))&gt;0,"Science",IF((($AP38="Banking and Finance")+($AP38="Management and Administration")+($AP38="Marketing")+($AP38="Sales")+($AP38="Entrepreneurship")+($AP38="Hospitality and Tourism"))&gt;0,"Commerce",IF((($AP38="Social Sciences and Humanities")+($AP38="Law Studies")+($AP38="Education and Training")+($AP38="Art, Design")+($AP38="Entertainment and Mass Media")+($AP38="Community and Social Service")+($AP38="Personal Care and Services")+($AP38="Government and Public Administration")+($AP38="Defence/ Protective Service")+($AP38="Sports"))&gt;0,"Arts / Humanities",""))))</f>
        <v/>
      </c>
      <c r="BC38" s="5" t="str">
        <f aca="false">IF($AL38="","",IF((($AL38="Engineering and Technology")+($AL38="Science and Mathematics")+($AL38="Computer Science, IT and Allied Fields")+($AL38="Life Sciences /Medicine and Healthcare")+($AL38="Paramedical")+($AL38="Architecture")+($AL38="Environmental Service")+($AL38="Agriculture, Food Industry and Forestry"))&gt;0,"Science",IF((($AL38="Banking and Finance")+($AL38="Management and Administration")+($AL38="Marketing")+($AL38="Sales")+($AL38="Entrepreneurship")+($AL38="Hospitality and Tourism"))&gt;0,"Commerce",IF((($AL38="Social Sciences and Humanities")+($AL38="Law Studies")+($AL38="Education and Training")+($AL38="Art, Design")+($AL38="Entertainment and Mass Media")+($AL38="Community and Social Service")+($AL38="Personal Care and Services")+($AL38="Government and Public Administration")+($AL38="Defence/ Protective Service")+($AL38="Sports"))&gt;0,"Arts / Humanities",""))))</f>
        <v/>
      </c>
      <c r="BD38" s="5" t="str">
        <f aca="false">IF($B38="","",--(F38&gt;=10)+--(G38&gt;=10)+--(H38&gt;=10)+--(I38&gt;=10)+--(J38&gt;=10)+--(K38&gt;=10)+--(L38&gt;=10)+--(M38&gt;=10)+--(N38&gt;=10)+--(O38&gt;=10))</f>
        <v/>
      </c>
      <c r="BE38" s="5" t="str">
        <f aca="false">IF($B38="","",--(AND(F38&lt;&gt;"",F38&lt;=8))+--(AND(G38&lt;&gt;"",G38&lt;=8))+--(AND(H38&lt;&gt;"",H38&lt;=8))+--(AND(I38&lt;&gt;"",I38&lt;=8))+--(AND(J38&lt;&gt;"",J38&lt;=8))+--(AND(K38&lt;&gt;"",K38&lt;=8))+--(AND(L38&lt;&gt;"",L38&lt;=8))+--(AND(M38&lt;&gt;"",M38&lt;=8))+--(AND(N38&lt;&gt;"",N38&lt;=8))+--(AND(O38&lt;&gt;"",O38&lt;=8)))</f>
        <v/>
      </c>
    </row>
    <row r="39" customFormat="false" ht="15" hidden="false" customHeight="false" outlineLevel="0" collapsed="false">
      <c r="AZ39" s="5" t="str">
        <f aca="false">IF($B39="","",SUMPRODUCT(($AL39:$AO39&lt;&gt;"")*(COUNTIF($AP39:$AX39,$AL39:$AO39)&gt;0)))</f>
        <v/>
      </c>
      <c r="BA39" s="5" t="str">
        <f aca="false">IF($B39="","",IF(AZ39&gt;0,1,0))</f>
        <v/>
      </c>
      <c r="BB39" s="5" t="str">
        <f aca="false">IF($AP39="","",IF((($AP39="Engineering and Technology")+($AP39="Science and Mathematics")+($AP39="Computer Science, IT and Allied Fields")+($AP39="Life Sciences /Medicine and Healthcare")+($AP39="Paramedical")+($AP39="Architecture")+($AP39="Environmental Service")+($AP39="Agriculture, Food Industry and Forestry"))&gt;0,"Science",IF((($AP39="Banking and Finance")+($AP39="Management and Administration")+($AP39="Marketing")+($AP39="Sales")+($AP39="Entrepreneurship")+($AP39="Hospitality and Tourism"))&gt;0,"Commerce",IF((($AP39="Social Sciences and Humanities")+($AP39="Law Studies")+($AP39="Education and Training")+($AP39="Art, Design")+($AP39="Entertainment and Mass Media")+($AP39="Community and Social Service")+($AP39="Personal Care and Services")+($AP39="Government and Public Administration")+($AP39="Defence/ Protective Service")+($AP39="Sports"))&gt;0,"Arts / Humanities",""))))</f>
        <v/>
      </c>
      <c r="BC39" s="5" t="str">
        <f aca="false">IF($AL39="","",IF((($AL39="Engineering and Technology")+($AL39="Science and Mathematics")+($AL39="Computer Science, IT and Allied Fields")+($AL39="Life Sciences /Medicine and Healthcare")+($AL39="Paramedical")+($AL39="Architecture")+($AL39="Environmental Service")+($AL39="Agriculture, Food Industry and Forestry"))&gt;0,"Science",IF((($AL39="Banking and Finance")+($AL39="Management and Administration")+($AL39="Marketing")+($AL39="Sales")+($AL39="Entrepreneurship")+($AL39="Hospitality and Tourism"))&gt;0,"Commerce",IF((($AL39="Social Sciences and Humanities")+($AL39="Law Studies")+($AL39="Education and Training")+($AL39="Art, Design")+($AL39="Entertainment and Mass Media")+($AL39="Community and Social Service")+($AL39="Personal Care and Services")+($AL39="Government and Public Administration")+($AL39="Defence/ Protective Service")+($AL39="Sports"))&gt;0,"Arts / Humanities",""))))</f>
        <v/>
      </c>
      <c r="BD39" s="5" t="str">
        <f aca="false">IF($B39="","",--(F39&gt;=10)+--(G39&gt;=10)+--(H39&gt;=10)+--(I39&gt;=10)+--(J39&gt;=10)+--(K39&gt;=10)+--(L39&gt;=10)+--(M39&gt;=10)+--(N39&gt;=10)+--(O39&gt;=10))</f>
        <v/>
      </c>
      <c r="BE39" s="5" t="str">
        <f aca="false">IF($B39="","",--(AND(F39&lt;&gt;"",F39&lt;=8))+--(AND(G39&lt;&gt;"",G39&lt;=8))+--(AND(H39&lt;&gt;"",H39&lt;=8))+--(AND(I39&lt;&gt;"",I39&lt;=8))+--(AND(J39&lt;&gt;"",J39&lt;=8))+--(AND(K39&lt;&gt;"",K39&lt;=8))+--(AND(L39&lt;&gt;"",L39&lt;=8))+--(AND(M39&lt;&gt;"",M39&lt;=8))+--(AND(N39&lt;&gt;"",N39&lt;=8))+--(AND(O39&lt;&gt;"",O39&lt;=8)))</f>
        <v/>
      </c>
    </row>
    <row r="40" customFormat="false" ht="15" hidden="false" customHeight="false" outlineLevel="0" collapsed="false">
      <c r="AZ40" s="5" t="str">
        <f aca="false">IF($B40="","",SUMPRODUCT(($AL40:$AO40&lt;&gt;"")*(COUNTIF($AP40:$AX40,$AL40:$AO40)&gt;0)))</f>
        <v/>
      </c>
      <c r="BA40" s="5" t="str">
        <f aca="false">IF($B40="","",IF(AZ40&gt;0,1,0))</f>
        <v/>
      </c>
      <c r="BB40" s="5" t="str">
        <f aca="false">IF($AP40="","",IF((($AP40="Engineering and Technology")+($AP40="Science and Mathematics")+($AP40="Computer Science, IT and Allied Fields")+($AP40="Life Sciences /Medicine and Healthcare")+($AP40="Paramedical")+($AP40="Architecture")+($AP40="Environmental Service")+($AP40="Agriculture, Food Industry and Forestry"))&gt;0,"Science",IF((($AP40="Banking and Finance")+($AP40="Management and Administration")+($AP40="Marketing")+($AP40="Sales")+($AP40="Entrepreneurship")+($AP40="Hospitality and Tourism"))&gt;0,"Commerce",IF((($AP40="Social Sciences and Humanities")+($AP40="Law Studies")+($AP40="Education and Training")+($AP40="Art, Design")+($AP40="Entertainment and Mass Media")+($AP40="Community and Social Service")+($AP40="Personal Care and Services")+($AP40="Government and Public Administration")+($AP40="Defence/ Protective Service")+($AP40="Sports"))&gt;0,"Arts / Humanities",""))))</f>
        <v/>
      </c>
      <c r="BC40" s="5" t="str">
        <f aca="false">IF($AL40="","",IF((($AL40="Engineering and Technology")+($AL40="Science and Mathematics")+($AL40="Computer Science, IT and Allied Fields")+($AL40="Life Sciences /Medicine and Healthcare")+($AL40="Paramedical")+($AL40="Architecture")+($AL40="Environmental Service")+($AL40="Agriculture, Food Industry and Forestry"))&gt;0,"Science",IF((($AL40="Banking and Finance")+($AL40="Management and Administration")+($AL40="Marketing")+($AL40="Sales")+($AL40="Entrepreneurship")+($AL40="Hospitality and Tourism"))&gt;0,"Commerce",IF((($AL40="Social Sciences and Humanities")+($AL40="Law Studies")+($AL40="Education and Training")+($AL40="Art, Design")+($AL40="Entertainment and Mass Media")+($AL40="Community and Social Service")+($AL40="Personal Care and Services")+($AL40="Government and Public Administration")+($AL40="Defence/ Protective Service")+($AL40="Sports"))&gt;0,"Arts / Humanities",""))))</f>
        <v/>
      </c>
      <c r="BD40" s="5" t="str">
        <f aca="false">IF($B40="","",--(F40&gt;=10)+--(G40&gt;=10)+--(H40&gt;=10)+--(I40&gt;=10)+--(J40&gt;=10)+--(K40&gt;=10)+--(L40&gt;=10)+--(M40&gt;=10)+--(N40&gt;=10)+--(O40&gt;=10))</f>
        <v/>
      </c>
      <c r="BE40" s="5" t="str">
        <f aca="false">IF($B40="","",--(AND(F40&lt;&gt;"",F40&lt;=8))+--(AND(G40&lt;&gt;"",G40&lt;=8))+--(AND(H40&lt;&gt;"",H40&lt;=8))+--(AND(I40&lt;&gt;"",I40&lt;=8))+--(AND(J40&lt;&gt;"",J40&lt;=8))+--(AND(K40&lt;&gt;"",K40&lt;=8))+--(AND(L40&lt;&gt;"",L40&lt;=8))+--(AND(M40&lt;&gt;"",M40&lt;=8))+--(AND(N40&lt;&gt;"",N40&lt;=8))+--(AND(O40&lt;&gt;"",O40&lt;=8)))</f>
        <v/>
      </c>
    </row>
    <row r="41" customFormat="false" ht="15" hidden="false" customHeight="false" outlineLevel="0" collapsed="false">
      <c r="AZ41" s="5" t="str">
        <f aca="false">IF($B41="","",SUMPRODUCT(($AL41:$AO41&lt;&gt;"")*(COUNTIF($AP41:$AX41,$AL41:$AO41)&gt;0)))</f>
        <v/>
      </c>
      <c r="BA41" s="5" t="str">
        <f aca="false">IF($B41="","",IF(AZ41&gt;0,1,0))</f>
        <v/>
      </c>
      <c r="BB41" s="5" t="str">
        <f aca="false">IF($AP41="","",IF((($AP41="Engineering and Technology")+($AP41="Science and Mathematics")+($AP41="Computer Science, IT and Allied Fields")+($AP41="Life Sciences /Medicine and Healthcare")+($AP41="Paramedical")+($AP41="Architecture")+($AP41="Environmental Service")+($AP41="Agriculture, Food Industry and Forestry"))&gt;0,"Science",IF((($AP41="Banking and Finance")+($AP41="Management and Administration")+($AP41="Marketing")+($AP41="Sales")+($AP41="Entrepreneurship")+($AP41="Hospitality and Tourism"))&gt;0,"Commerce",IF((($AP41="Social Sciences and Humanities")+($AP41="Law Studies")+($AP41="Education and Training")+($AP41="Art, Design")+($AP41="Entertainment and Mass Media")+($AP41="Community and Social Service")+($AP41="Personal Care and Services")+($AP41="Government and Public Administration")+($AP41="Defence/ Protective Service")+($AP41="Sports"))&gt;0,"Arts / Humanities",""))))</f>
        <v/>
      </c>
      <c r="BC41" s="5" t="str">
        <f aca="false">IF($AL41="","",IF((($AL41="Engineering and Technology")+($AL41="Science and Mathematics")+($AL41="Computer Science, IT and Allied Fields")+($AL41="Life Sciences /Medicine and Healthcare")+($AL41="Paramedical")+($AL41="Architecture")+($AL41="Environmental Service")+($AL41="Agriculture, Food Industry and Forestry"))&gt;0,"Science",IF((($AL41="Banking and Finance")+($AL41="Management and Administration")+($AL41="Marketing")+($AL41="Sales")+($AL41="Entrepreneurship")+($AL41="Hospitality and Tourism"))&gt;0,"Commerce",IF((($AL41="Social Sciences and Humanities")+($AL41="Law Studies")+($AL41="Education and Training")+($AL41="Art, Design")+($AL41="Entertainment and Mass Media")+($AL41="Community and Social Service")+($AL41="Personal Care and Services")+($AL41="Government and Public Administration")+($AL41="Defence/ Protective Service")+($AL41="Sports"))&gt;0,"Arts / Humanities",""))))</f>
        <v/>
      </c>
      <c r="BD41" s="5" t="str">
        <f aca="false">IF($B41="","",--(F41&gt;=10)+--(G41&gt;=10)+--(H41&gt;=10)+--(I41&gt;=10)+--(J41&gt;=10)+--(K41&gt;=10)+--(L41&gt;=10)+--(M41&gt;=10)+--(N41&gt;=10)+--(O41&gt;=10))</f>
        <v/>
      </c>
      <c r="BE41" s="5" t="str">
        <f aca="false">IF($B41="","",--(AND(F41&lt;&gt;"",F41&lt;=8))+--(AND(G41&lt;&gt;"",G41&lt;=8))+--(AND(H41&lt;&gt;"",H41&lt;=8))+--(AND(I41&lt;&gt;"",I41&lt;=8))+--(AND(J41&lt;&gt;"",J41&lt;=8))+--(AND(K41&lt;&gt;"",K41&lt;=8))+--(AND(L41&lt;&gt;"",L41&lt;=8))+--(AND(M41&lt;&gt;"",M41&lt;=8))+--(AND(N41&lt;&gt;"",N41&lt;=8))+--(AND(O41&lt;&gt;"",O41&lt;=8)))</f>
        <v/>
      </c>
    </row>
    <row r="42" customFormat="false" ht="15" hidden="false" customHeight="false" outlineLevel="0" collapsed="false">
      <c r="AZ42" s="5" t="str">
        <f aca="false">IF($B42="","",SUMPRODUCT(($AL42:$AO42&lt;&gt;"")*(COUNTIF($AP42:$AX42,$AL42:$AO42)&gt;0)))</f>
        <v/>
      </c>
      <c r="BA42" s="5" t="str">
        <f aca="false">IF($B42="","",IF(AZ42&gt;0,1,0))</f>
        <v/>
      </c>
      <c r="BB42" s="5" t="str">
        <f aca="false">IF($AP42="","",IF((($AP42="Engineering and Technology")+($AP42="Science and Mathematics")+($AP42="Computer Science, IT and Allied Fields")+($AP42="Life Sciences /Medicine and Healthcare")+($AP42="Paramedical")+($AP42="Architecture")+($AP42="Environmental Service")+($AP42="Agriculture, Food Industry and Forestry"))&gt;0,"Science",IF((($AP42="Banking and Finance")+($AP42="Management and Administration")+($AP42="Marketing")+($AP42="Sales")+($AP42="Entrepreneurship")+($AP42="Hospitality and Tourism"))&gt;0,"Commerce",IF((($AP42="Social Sciences and Humanities")+($AP42="Law Studies")+($AP42="Education and Training")+($AP42="Art, Design")+($AP42="Entertainment and Mass Media")+($AP42="Community and Social Service")+($AP42="Personal Care and Services")+($AP42="Government and Public Administration")+($AP42="Defence/ Protective Service")+($AP42="Sports"))&gt;0,"Arts / Humanities",""))))</f>
        <v/>
      </c>
      <c r="BC42" s="5" t="str">
        <f aca="false">IF($AL42="","",IF((($AL42="Engineering and Technology")+($AL42="Science and Mathematics")+($AL42="Computer Science, IT and Allied Fields")+($AL42="Life Sciences /Medicine and Healthcare")+($AL42="Paramedical")+($AL42="Architecture")+($AL42="Environmental Service")+($AL42="Agriculture, Food Industry and Forestry"))&gt;0,"Science",IF((($AL42="Banking and Finance")+($AL42="Management and Administration")+($AL42="Marketing")+($AL42="Sales")+($AL42="Entrepreneurship")+($AL42="Hospitality and Tourism"))&gt;0,"Commerce",IF((($AL42="Social Sciences and Humanities")+($AL42="Law Studies")+($AL42="Education and Training")+($AL42="Art, Design")+($AL42="Entertainment and Mass Media")+($AL42="Community and Social Service")+($AL42="Personal Care and Services")+($AL42="Government and Public Administration")+($AL42="Defence/ Protective Service")+($AL42="Sports"))&gt;0,"Arts / Humanities",""))))</f>
        <v/>
      </c>
      <c r="BD42" s="5" t="str">
        <f aca="false">IF($B42="","",--(F42&gt;=10)+--(G42&gt;=10)+--(H42&gt;=10)+--(I42&gt;=10)+--(J42&gt;=10)+--(K42&gt;=10)+--(L42&gt;=10)+--(M42&gt;=10)+--(N42&gt;=10)+--(O42&gt;=10))</f>
        <v/>
      </c>
      <c r="BE42" s="5" t="str">
        <f aca="false">IF($B42="","",--(AND(F42&lt;&gt;"",F42&lt;=8))+--(AND(G42&lt;&gt;"",G42&lt;=8))+--(AND(H42&lt;&gt;"",H42&lt;=8))+--(AND(I42&lt;&gt;"",I42&lt;=8))+--(AND(J42&lt;&gt;"",J42&lt;=8))+--(AND(K42&lt;&gt;"",K42&lt;=8))+--(AND(L42&lt;&gt;"",L42&lt;=8))+--(AND(M42&lt;&gt;"",M42&lt;=8))+--(AND(N42&lt;&gt;"",N42&lt;=8))+--(AND(O42&lt;&gt;"",O42&lt;=8)))</f>
        <v/>
      </c>
    </row>
    <row r="43" customFormat="false" ht="15" hidden="false" customHeight="false" outlineLevel="0" collapsed="false">
      <c r="AZ43" s="5" t="str">
        <f aca="false">IF($B43="","",SUMPRODUCT(($AL43:$AO43&lt;&gt;"")*(COUNTIF($AP43:$AX43,$AL43:$AO43)&gt;0)))</f>
        <v/>
      </c>
      <c r="BA43" s="5" t="str">
        <f aca="false">IF($B43="","",IF(AZ43&gt;0,1,0))</f>
        <v/>
      </c>
      <c r="BB43" s="5" t="str">
        <f aca="false">IF($AP43="","",IF((($AP43="Engineering and Technology")+($AP43="Science and Mathematics")+($AP43="Computer Science, IT and Allied Fields")+($AP43="Life Sciences /Medicine and Healthcare")+($AP43="Paramedical")+($AP43="Architecture")+($AP43="Environmental Service")+($AP43="Agriculture, Food Industry and Forestry"))&gt;0,"Science",IF((($AP43="Banking and Finance")+($AP43="Management and Administration")+($AP43="Marketing")+($AP43="Sales")+($AP43="Entrepreneurship")+($AP43="Hospitality and Tourism"))&gt;0,"Commerce",IF((($AP43="Social Sciences and Humanities")+($AP43="Law Studies")+($AP43="Education and Training")+($AP43="Art, Design")+($AP43="Entertainment and Mass Media")+($AP43="Community and Social Service")+($AP43="Personal Care and Services")+($AP43="Government and Public Administration")+($AP43="Defence/ Protective Service")+($AP43="Sports"))&gt;0,"Arts / Humanities",""))))</f>
        <v/>
      </c>
      <c r="BC43" s="5" t="str">
        <f aca="false">IF($AL43="","",IF((($AL43="Engineering and Technology")+($AL43="Science and Mathematics")+($AL43="Computer Science, IT and Allied Fields")+($AL43="Life Sciences /Medicine and Healthcare")+($AL43="Paramedical")+($AL43="Architecture")+($AL43="Environmental Service")+($AL43="Agriculture, Food Industry and Forestry"))&gt;0,"Science",IF((($AL43="Banking and Finance")+($AL43="Management and Administration")+($AL43="Marketing")+($AL43="Sales")+($AL43="Entrepreneurship")+($AL43="Hospitality and Tourism"))&gt;0,"Commerce",IF((($AL43="Social Sciences and Humanities")+($AL43="Law Studies")+($AL43="Education and Training")+($AL43="Art, Design")+($AL43="Entertainment and Mass Media")+($AL43="Community and Social Service")+($AL43="Personal Care and Services")+($AL43="Government and Public Administration")+($AL43="Defence/ Protective Service")+($AL43="Sports"))&gt;0,"Arts / Humanities",""))))</f>
        <v/>
      </c>
      <c r="BD43" s="5" t="str">
        <f aca="false">IF($B43="","",--(F43&gt;=10)+--(G43&gt;=10)+--(H43&gt;=10)+--(I43&gt;=10)+--(J43&gt;=10)+--(K43&gt;=10)+--(L43&gt;=10)+--(M43&gt;=10)+--(N43&gt;=10)+--(O43&gt;=10))</f>
        <v/>
      </c>
      <c r="BE43" s="5" t="str">
        <f aca="false">IF($B43="","",--(AND(F43&lt;&gt;"",F43&lt;=8))+--(AND(G43&lt;&gt;"",G43&lt;=8))+--(AND(H43&lt;&gt;"",H43&lt;=8))+--(AND(I43&lt;&gt;"",I43&lt;=8))+--(AND(J43&lt;&gt;"",J43&lt;=8))+--(AND(K43&lt;&gt;"",K43&lt;=8))+--(AND(L43&lt;&gt;"",L43&lt;=8))+--(AND(M43&lt;&gt;"",M43&lt;=8))+--(AND(N43&lt;&gt;"",N43&lt;=8))+--(AND(O43&lt;&gt;"",O43&lt;=8)))</f>
        <v/>
      </c>
    </row>
    <row r="44" customFormat="false" ht="15" hidden="false" customHeight="false" outlineLevel="0" collapsed="false">
      <c r="AZ44" s="5" t="str">
        <f aca="false">IF($B44="","",SUMPRODUCT(($AL44:$AO44&lt;&gt;"")*(COUNTIF($AP44:$AX44,$AL44:$AO44)&gt;0)))</f>
        <v/>
      </c>
      <c r="BA44" s="5" t="str">
        <f aca="false">IF($B44="","",IF(AZ44&gt;0,1,0))</f>
        <v/>
      </c>
      <c r="BB44" s="5" t="str">
        <f aca="false">IF($AP44="","",IF((($AP44="Engineering and Technology")+($AP44="Science and Mathematics")+($AP44="Computer Science, IT and Allied Fields")+($AP44="Life Sciences /Medicine and Healthcare")+($AP44="Paramedical")+($AP44="Architecture")+($AP44="Environmental Service")+($AP44="Agriculture, Food Industry and Forestry"))&gt;0,"Science",IF((($AP44="Banking and Finance")+($AP44="Management and Administration")+($AP44="Marketing")+($AP44="Sales")+($AP44="Entrepreneurship")+($AP44="Hospitality and Tourism"))&gt;0,"Commerce",IF((($AP44="Social Sciences and Humanities")+($AP44="Law Studies")+($AP44="Education and Training")+($AP44="Art, Design")+($AP44="Entertainment and Mass Media")+($AP44="Community and Social Service")+($AP44="Personal Care and Services")+($AP44="Government and Public Administration")+($AP44="Defence/ Protective Service")+($AP44="Sports"))&gt;0,"Arts / Humanities",""))))</f>
        <v/>
      </c>
      <c r="BC44" s="5" t="str">
        <f aca="false">IF($AL44="","",IF((($AL44="Engineering and Technology")+($AL44="Science and Mathematics")+($AL44="Computer Science, IT and Allied Fields")+($AL44="Life Sciences /Medicine and Healthcare")+($AL44="Paramedical")+($AL44="Architecture")+($AL44="Environmental Service")+($AL44="Agriculture, Food Industry and Forestry"))&gt;0,"Science",IF((($AL44="Banking and Finance")+($AL44="Management and Administration")+($AL44="Marketing")+($AL44="Sales")+($AL44="Entrepreneurship")+($AL44="Hospitality and Tourism"))&gt;0,"Commerce",IF((($AL44="Social Sciences and Humanities")+($AL44="Law Studies")+($AL44="Education and Training")+($AL44="Art, Design")+($AL44="Entertainment and Mass Media")+($AL44="Community and Social Service")+($AL44="Personal Care and Services")+($AL44="Government and Public Administration")+($AL44="Defence/ Protective Service")+($AL44="Sports"))&gt;0,"Arts / Humanities",""))))</f>
        <v/>
      </c>
      <c r="BD44" s="5" t="str">
        <f aca="false">IF($B44="","",--(F44&gt;=10)+--(G44&gt;=10)+--(H44&gt;=10)+--(I44&gt;=10)+--(J44&gt;=10)+--(K44&gt;=10)+--(L44&gt;=10)+--(M44&gt;=10)+--(N44&gt;=10)+--(O44&gt;=10))</f>
        <v/>
      </c>
      <c r="BE44" s="5" t="str">
        <f aca="false">IF($B44="","",--(AND(F44&lt;&gt;"",F44&lt;=8))+--(AND(G44&lt;&gt;"",G44&lt;=8))+--(AND(H44&lt;&gt;"",H44&lt;=8))+--(AND(I44&lt;&gt;"",I44&lt;=8))+--(AND(J44&lt;&gt;"",J44&lt;=8))+--(AND(K44&lt;&gt;"",K44&lt;=8))+--(AND(L44&lt;&gt;"",L44&lt;=8))+--(AND(M44&lt;&gt;"",M44&lt;=8))+--(AND(N44&lt;&gt;"",N44&lt;=8))+--(AND(O44&lt;&gt;"",O44&lt;=8)))</f>
        <v/>
      </c>
    </row>
    <row r="45" customFormat="false" ht="15" hidden="false" customHeight="false" outlineLevel="0" collapsed="false">
      <c r="AZ45" s="5" t="str">
        <f aca="false">IF($B45="","",SUMPRODUCT(($AL45:$AO45&lt;&gt;"")*(COUNTIF($AP45:$AX45,$AL45:$AO45)&gt;0)))</f>
        <v/>
      </c>
      <c r="BA45" s="5" t="str">
        <f aca="false">IF($B45="","",IF(AZ45&gt;0,1,0))</f>
        <v/>
      </c>
      <c r="BB45" s="5" t="str">
        <f aca="false">IF($AP45="","",IF((($AP45="Engineering and Technology")+($AP45="Science and Mathematics")+($AP45="Computer Science, IT and Allied Fields")+($AP45="Life Sciences /Medicine and Healthcare")+($AP45="Paramedical")+($AP45="Architecture")+($AP45="Environmental Service")+($AP45="Agriculture, Food Industry and Forestry"))&gt;0,"Science",IF((($AP45="Banking and Finance")+($AP45="Management and Administration")+($AP45="Marketing")+($AP45="Sales")+($AP45="Entrepreneurship")+($AP45="Hospitality and Tourism"))&gt;0,"Commerce",IF((($AP45="Social Sciences and Humanities")+($AP45="Law Studies")+($AP45="Education and Training")+($AP45="Art, Design")+($AP45="Entertainment and Mass Media")+($AP45="Community and Social Service")+($AP45="Personal Care and Services")+($AP45="Government and Public Administration")+($AP45="Defence/ Protective Service")+($AP45="Sports"))&gt;0,"Arts / Humanities",""))))</f>
        <v/>
      </c>
      <c r="BC45" s="5" t="str">
        <f aca="false">IF($AL45="","",IF((($AL45="Engineering and Technology")+($AL45="Science and Mathematics")+($AL45="Computer Science, IT and Allied Fields")+($AL45="Life Sciences /Medicine and Healthcare")+($AL45="Paramedical")+($AL45="Architecture")+($AL45="Environmental Service")+($AL45="Agriculture, Food Industry and Forestry"))&gt;0,"Science",IF((($AL45="Banking and Finance")+($AL45="Management and Administration")+($AL45="Marketing")+($AL45="Sales")+($AL45="Entrepreneurship")+($AL45="Hospitality and Tourism"))&gt;0,"Commerce",IF((($AL45="Social Sciences and Humanities")+($AL45="Law Studies")+($AL45="Education and Training")+($AL45="Art, Design")+($AL45="Entertainment and Mass Media")+($AL45="Community and Social Service")+($AL45="Personal Care and Services")+($AL45="Government and Public Administration")+($AL45="Defence/ Protective Service")+($AL45="Sports"))&gt;0,"Arts / Humanities",""))))</f>
        <v/>
      </c>
      <c r="BD45" s="5" t="str">
        <f aca="false">IF($B45="","",--(F45&gt;=10)+--(G45&gt;=10)+--(H45&gt;=10)+--(I45&gt;=10)+--(J45&gt;=10)+--(K45&gt;=10)+--(L45&gt;=10)+--(M45&gt;=10)+--(N45&gt;=10)+--(O45&gt;=10))</f>
        <v/>
      </c>
      <c r="BE45" s="5" t="str">
        <f aca="false">IF($B45="","",--(AND(F45&lt;&gt;"",F45&lt;=8))+--(AND(G45&lt;&gt;"",G45&lt;=8))+--(AND(H45&lt;&gt;"",H45&lt;=8))+--(AND(I45&lt;&gt;"",I45&lt;=8))+--(AND(J45&lt;&gt;"",J45&lt;=8))+--(AND(K45&lt;&gt;"",K45&lt;=8))+--(AND(L45&lt;&gt;"",L45&lt;=8))+--(AND(M45&lt;&gt;"",M45&lt;=8))+--(AND(N45&lt;&gt;"",N45&lt;=8))+--(AND(O45&lt;&gt;"",O45&lt;=8)))</f>
        <v/>
      </c>
    </row>
    <row r="46" customFormat="false" ht="15" hidden="false" customHeight="false" outlineLevel="0" collapsed="false">
      <c r="AZ46" s="5" t="str">
        <f aca="false">IF($B46="","",SUMPRODUCT(($AL46:$AO46&lt;&gt;"")*(COUNTIF($AP46:$AX46,$AL46:$AO46)&gt;0)))</f>
        <v/>
      </c>
      <c r="BA46" s="5" t="str">
        <f aca="false">IF($B46="","",IF(AZ46&gt;0,1,0))</f>
        <v/>
      </c>
      <c r="BB46" s="5" t="str">
        <f aca="false">IF($AP46="","",IF((($AP46="Engineering and Technology")+($AP46="Science and Mathematics")+($AP46="Computer Science, IT and Allied Fields")+($AP46="Life Sciences /Medicine and Healthcare")+($AP46="Paramedical")+($AP46="Architecture")+($AP46="Environmental Service")+($AP46="Agriculture, Food Industry and Forestry"))&gt;0,"Science",IF((($AP46="Banking and Finance")+($AP46="Management and Administration")+($AP46="Marketing")+($AP46="Sales")+($AP46="Entrepreneurship")+($AP46="Hospitality and Tourism"))&gt;0,"Commerce",IF((($AP46="Social Sciences and Humanities")+($AP46="Law Studies")+($AP46="Education and Training")+($AP46="Art, Design")+($AP46="Entertainment and Mass Media")+($AP46="Community and Social Service")+($AP46="Personal Care and Services")+($AP46="Government and Public Administration")+($AP46="Defence/ Protective Service")+($AP46="Sports"))&gt;0,"Arts / Humanities",""))))</f>
        <v/>
      </c>
      <c r="BC46" s="5" t="str">
        <f aca="false">IF($AL46="","",IF((($AL46="Engineering and Technology")+($AL46="Science and Mathematics")+($AL46="Computer Science, IT and Allied Fields")+($AL46="Life Sciences /Medicine and Healthcare")+($AL46="Paramedical")+($AL46="Architecture")+($AL46="Environmental Service")+($AL46="Agriculture, Food Industry and Forestry"))&gt;0,"Science",IF((($AL46="Banking and Finance")+($AL46="Management and Administration")+($AL46="Marketing")+($AL46="Sales")+($AL46="Entrepreneurship")+($AL46="Hospitality and Tourism"))&gt;0,"Commerce",IF((($AL46="Social Sciences and Humanities")+($AL46="Law Studies")+($AL46="Education and Training")+($AL46="Art, Design")+($AL46="Entertainment and Mass Media")+($AL46="Community and Social Service")+($AL46="Personal Care and Services")+($AL46="Government and Public Administration")+($AL46="Defence/ Protective Service")+($AL46="Sports"))&gt;0,"Arts / Humanities",""))))</f>
        <v/>
      </c>
      <c r="BD46" s="5" t="str">
        <f aca="false">IF($B46="","",--(F46&gt;=10)+--(G46&gt;=10)+--(H46&gt;=10)+--(I46&gt;=10)+--(J46&gt;=10)+--(K46&gt;=10)+--(L46&gt;=10)+--(M46&gt;=10)+--(N46&gt;=10)+--(O46&gt;=10))</f>
        <v/>
      </c>
      <c r="BE46" s="5" t="str">
        <f aca="false">IF($B46="","",--(AND(F46&lt;&gt;"",F46&lt;=8))+--(AND(G46&lt;&gt;"",G46&lt;=8))+--(AND(H46&lt;&gt;"",H46&lt;=8))+--(AND(I46&lt;&gt;"",I46&lt;=8))+--(AND(J46&lt;&gt;"",J46&lt;=8))+--(AND(K46&lt;&gt;"",K46&lt;=8))+--(AND(L46&lt;&gt;"",L46&lt;=8))+--(AND(M46&lt;&gt;"",M46&lt;=8))+--(AND(N46&lt;&gt;"",N46&lt;=8))+--(AND(O46&lt;&gt;"",O46&lt;=8)))</f>
        <v/>
      </c>
    </row>
    <row r="47" customFormat="false" ht="15" hidden="false" customHeight="false" outlineLevel="0" collapsed="false">
      <c r="AZ47" s="5" t="str">
        <f aca="false">IF($B47="","",SUMPRODUCT(($AL47:$AO47&lt;&gt;"")*(COUNTIF($AP47:$AX47,$AL47:$AO47)&gt;0)))</f>
        <v/>
      </c>
      <c r="BA47" s="5" t="str">
        <f aca="false">IF($B47="","",IF(AZ47&gt;0,1,0))</f>
        <v/>
      </c>
      <c r="BB47" s="5" t="str">
        <f aca="false">IF($AP47="","",IF((($AP47="Engineering and Technology")+($AP47="Science and Mathematics")+($AP47="Computer Science, IT and Allied Fields")+($AP47="Life Sciences /Medicine and Healthcare")+($AP47="Paramedical")+($AP47="Architecture")+($AP47="Environmental Service")+($AP47="Agriculture, Food Industry and Forestry"))&gt;0,"Science",IF((($AP47="Banking and Finance")+($AP47="Management and Administration")+($AP47="Marketing")+($AP47="Sales")+($AP47="Entrepreneurship")+($AP47="Hospitality and Tourism"))&gt;0,"Commerce",IF((($AP47="Social Sciences and Humanities")+($AP47="Law Studies")+($AP47="Education and Training")+($AP47="Art, Design")+($AP47="Entertainment and Mass Media")+($AP47="Community and Social Service")+($AP47="Personal Care and Services")+($AP47="Government and Public Administration")+($AP47="Defence/ Protective Service")+($AP47="Sports"))&gt;0,"Arts / Humanities",""))))</f>
        <v/>
      </c>
      <c r="BC47" s="5" t="str">
        <f aca="false">IF($AL47="","",IF((($AL47="Engineering and Technology")+($AL47="Science and Mathematics")+($AL47="Computer Science, IT and Allied Fields")+($AL47="Life Sciences /Medicine and Healthcare")+($AL47="Paramedical")+($AL47="Architecture")+($AL47="Environmental Service")+($AL47="Agriculture, Food Industry and Forestry"))&gt;0,"Science",IF((($AL47="Banking and Finance")+($AL47="Management and Administration")+($AL47="Marketing")+($AL47="Sales")+($AL47="Entrepreneurship")+($AL47="Hospitality and Tourism"))&gt;0,"Commerce",IF((($AL47="Social Sciences and Humanities")+($AL47="Law Studies")+($AL47="Education and Training")+($AL47="Art, Design")+($AL47="Entertainment and Mass Media")+($AL47="Community and Social Service")+($AL47="Personal Care and Services")+($AL47="Government and Public Administration")+($AL47="Defence/ Protective Service")+($AL47="Sports"))&gt;0,"Arts / Humanities",""))))</f>
        <v/>
      </c>
      <c r="BD47" s="5" t="str">
        <f aca="false">IF($B47="","",--(F47&gt;=10)+--(G47&gt;=10)+--(H47&gt;=10)+--(I47&gt;=10)+--(J47&gt;=10)+--(K47&gt;=10)+--(L47&gt;=10)+--(M47&gt;=10)+--(N47&gt;=10)+--(O47&gt;=10))</f>
        <v/>
      </c>
      <c r="BE47" s="5" t="str">
        <f aca="false">IF($B47="","",--(AND(F47&lt;&gt;"",F47&lt;=8))+--(AND(G47&lt;&gt;"",G47&lt;=8))+--(AND(H47&lt;&gt;"",H47&lt;=8))+--(AND(I47&lt;&gt;"",I47&lt;=8))+--(AND(J47&lt;&gt;"",J47&lt;=8))+--(AND(K47&lt;&gt;"",K47&lt;=8))+--(AND(L47&lt;&gt;"",L47&lt;=8))+--(AND(M47&lt;&gt;"",M47&lt;=8))+--(AND(N47&lt;&gt;"",N47&lt;=8))+--(AND(O47&lt;&gt;"",O47&lt;=8)))</f>
        <v/>
      </c>
    </row>
    <row r="48" customFormat="false" ht="15" hidden="false" customHeight="false" outlineLevel="0" collapsed="false">
      <c r="AZ48" s="5" t="str">
        <f aca="false">IF($B48="","",SUMPRODUCT(($AL48:$AO48&lt;&gt;"")*(COUNTIF($AP48:$AX48,$AL48:$AO48)&gt;0)))</f>
        <v/>
      </c>
      <c r="BA48" s="5" t="str">
        <f aca="false">IF($B48="","",IF(AZ48&gt;0,1,0))</f>
        <v/>
      </c>
      <c r="BB48" s="5" t="str">
        <f aca="false">IF($AP48="","",IF((($AP48="Engineering and Technology")+($AP48="Science and Mathematics")+($AP48="Computer Science, IT and Allied Fields")+($AP48="Life Sciences /Medicine and Healthcare")+($AP48="Paramedical")+($AP48="Architecture")+($AP48="Environmental Service")+($AP48="Agriculture, Food Industry and Forestry"))&gt;0,"Science",IF((($AP48="Banking and Finance")+($AP48="Management and Administration")+($AP48="Marketing")+($AP48="Sales")+($AP48="Entrepreneurship")+($AP48="Hospitality and Tourism"))&gt;0,"Commerce",IF((($AP48="Social Sciences and Humanities")+($AP48="Law Studies")+($AP48="Education and Training")+($AP48="Art, Design")+($AP48="Entertainment and Mass Media")+($AP48="Community and Social Service")+($AP48="Personal Care and Services")+($AP48="Government and Public Administration")+($AP48="Defence/ Protective Service")+($AP48="Sports"))&gt;0,"Arts / Humanities",""))))</f>
        <v/>
      </c>
      <c r="BC48" s="5" t="str">
        <f aca="false">IF($AL48="","",IF((($AL48="Engineering and Technology")+($AL48="Science and Mathematics")+($AL48="Computer Science, IT and Allied Fields")+($AL48="Life Sciences /Medicine and Healthcare")+($AL48="Paramedical")+($AL48="Architecture")+($AL48="Environmental Service")+($AL48="Agriculture, Food Industry and Forestry"))&gt;0,"Science",IF((($AL48="Banking and Finance")+($AL48="Management and Administration")+($AL48="Marketing")+($AL48="Sales")+($AL48="Entrepreneurship")+($AL48="Hospitality and Tourism"))&gt;0,"Commerce",IF((($AL48="Social Sciences and Humanities")+($AL48="Law Studies")+($AL48="Education and Training")+($AL48="Art, Design")+($AL48="Entertainment and Mass Media")+($AL48="Community and Social Service")+($AL48="Personal Care and Services")+($AL48="Government and Public Administration")+($AL48="Defence/ Protective Service")+($AL48="Sports"))&gt;0,"Arts / Humanities",""))))</f>
        <v/>
      </c>
      <c r="BD48" s="5" t="str">
        <f aca="false">IF($B48="","",--(F48&gt;=10)+--(G48&gt;=10)+--(H48&gt;=10)+--(I48&gt;=10)+--(J48&gt;=10)+--(K48&gt;=10)+--(L48&gt;=10)+--(M48&gt;=10)+--(N48&gt;=10)+--(O48&gt;=10))</f>
        <v/>
      </c>
      <c r="BE48" s="5" t="str">
        <f aca="false">IF($B48="","",--(AND(F48&lt;&gt;"",F48&lt;=8))+--(AND(G48&lt;&gt;"",G48&lt;=8))+--(AND(H48&lt;&gt;"",H48&lt;=8))+--(AND(I48&lt;&gt;"",I48&lt;=8))+--(AND(J48&lt;&gt;"",J48&lt;=8))+--(AND(K48&lt;&gt;"",K48&lt;=8))+--(AND(L48&lt;&gt;"",L48&lt;=8))+--(AND(M48&lt;&gt;"",M48&lt;=8))+--(AND(N48&lt;&gt;"",N48&lt;=8))+--(AND(O48&lt;&gt;"",O48&lt;=8)))</f>
        <v/>
      </c>
    </row>
    <row r="49" customFormat="false" ht="15" hidden="false" customHeight="false" outlineLevel="0" collapsed="false">
      <c r="AZ49" s="5" t="str">
        <f aca="false">IF($B49="","",SUMPRODUCT(($AL49:$AO49&lt;&gt;"")*(COUNTIF($AP49:$AX49,$AL49:$AO49)&gt;0)))</f>
        <v/>
      </c>
      <c r="BA49" s="5" t="str">
        <f aca="false">IF($B49="","",IF(AZ49&gt;0,1,0))</f>
        <v/>
      </c>
      <c r="BB49" s="5" t="str">
        <f aca="false">IF($AP49="","",IF((($AP49="Engineering and Technology")+($AP49="Science and Mathematics")+($AP49="Computer Science, IT and Allied Fields")+($AP49="Life Sciences /Medicine and Healthcare")+($AP49="Paramedical")+($AP49="Architecture")+($AP49="Environmental Service")+($AP49="Agriculture, Food Industry and Forestry"))&gt;0,"Science",IF((($AP49="Banking and Finance")+($AP49="Management and Administration")+($AP49="Marketing")+($AP49="Sales")+($AP49="Entrepreneurship")+($AP49="Hospitality and Tourism"))&gt;0,"Commerce",IF((($AP49="Social Sciences and Humanities")+($AP49="Law Studies")+($AP49="Education and Training")+($AP49="Art, Design")+($AP49="Entertainment and Mass Media")+($AP49="Community and Social Service")+($AP49="Personal Care and Services")+($AP49="Government and Public Administration")+($AP49="Defence/ Protective Service")+($AP49="Sports"))&gt;0,"Arts / Humanities",""))))</f>
        <v/>
      </c>
      <c r="BC49" s="5" t="str">
        <f aca="false">IF($AL49="","",IF((($AL49="Engineering and Technology")+($AL49="Science and Mathematics")+($AL49="Computer Science, IT and Allied Fields")+($AL49="Life Sciences /Medicine and Healthcare")+($AL49="Paramedical")+($AL49="Architecture")+($AL49="Environmental Service")+($AL49="Agriculture, Food Industry and Forestry"))&gt;0,"Science",IF((($AL49="Banking and Finance")+($AL49="Management and Administration")+($AL49="Marketing")+($AL49="Sales")+($AL49="Entrepreneurship")+($AL49="Hospitality and Tourism"))&gt;0,"Commerce",IF((($AL49="Social Sciences and Humanities")+($AL49="Law Studies")+($AL49="Education and Training")+($AL49="Art, Design")+($AL49="Entertainment and Mass Media")+($AL49="Community and Social Service")+($AL49="Personal Care and Services")+($AL49="Government and Public Administration")+($AL49="Defence/ Protective Service")+($AL49="Sports"))&gt;0,"Arts / Humanities",""))))</f>
        <v/>
      </c>
      <c r="BD49" s="5" t="str">
        <f aca="false">IF($B49="","",--(F49&gt;=10)+--(G49&gt;=10)+--(H49&gt;=10)+--(I49&gt;=10)+--(J49&gt;=10)+--(K49&gt;=10)+--(L49&gt;=10)+--(M49&gt;=10)+--(N49&gt;=10)+--(O49&gt;=10))</f>
        <v/>
      </c>
      <c r="BE49" s="5" t="str">
        <f aca="false">IF($B49="","",--(AND(F49&lt;&gt;"",F49&lt;=8))+--(AND(G49&lt;&gt;"",G49&lt;=8))+--(AND(H49&lt;&gt;"",H49&lt;=8))+--(AND(I49&lt;&gt;"",I49&lt;=8))+--(AND(J49&lt;&gt;"",J49&lt;=8))+--(AND(K49&lt;&gt;"",K49&lt;=8))+--(AND(L49&lt;&gt;"",L49&lt;=8))+--(AND(M49&lt;&gt;"",M49&lt;=8))+--(AND(N49&lt;&gt;"",N49&lt;=8))+--(AND(O49&lt;&gt;"",O49&lt;=8)))</f>
        <v/>
      </c>
    </row>
    <row r="50" customFormat="false" ht="15" hidden="false" customHeight="false" outlineLevel="0" collapsed="false">
      <c r="AZ50" s="5" t="str">
        <f aca="false">IF($B50="","",SUMPRODUCT(($AL50:$AO50&lt;&gt;"")*(COUNTIF($AP50:$AX50,$AL50:$AO50)&gt;0)))</f>
        <v/>
      </c>
      <c r="BA50" s="5" t="str">
        <f aca="false">IF($B50="","",IF(AZ50&gt;0,1,0))</f>
        <v/>
      </c>
      <c r="BB50" s="5" t="str">
        <f aca="false">IF($AP50="","",IF((($AP50="Engineering and Technology")+($AP50="Science and Mathematics")+($AP50="Computer Science, IT and Allied Fields")+($AP50="Life Sciences /Medicine and Healthcare")+($AP50="Paramedical")+($AP50="Architecture")+($AP50="Environmental Service")+($AP50="Agriculture, Food Industry and Forestry"))&gt;0,"Science",IF((($AP50="Banking and Finance")+($AP50="Management and Administration")+($AP50="Marketing")+($AP50="Sales")+($AP50="Entrepreneurship")+($AP50="Hospitality and Tourism"))&gt;0,"Commerce",IF((($AP50="Social Sciences and Humanities")+($AP50="Law Studies")+($AP50="Education and Training")+($AP50="Art, Design")+($AP50="Entertainment and Mass Media")+($AP50="Community and Social Service")+($AP50="Personal Care and Services")+($AP50="Government and Public Administration")+($AP50="Defence/ Protective Service")+($AP50="Sports"))&gt;0,"Arts / Humanities",""))))</f>
        <v/>
      </c>
      <c r="BC50" s="5" t="str">
        <f aca="false">IF($AL50="","",IF((($AL50="Engineering and Technology")+($AL50="Science and Mathematics")+($AL50="Computer Science, IT and Allied Fields")+($AL50="Life Sciences /Medicine and Healthcare")+($AL50="Paramedical")+($AL50="Architecture")+($AL50="Environmental Service")+($AL50="Agriculture, Food Industry and Forestry"))&gt;0,"Science",IF((($AL50="Banking and Finance")+($AL50="Management and Administration")+($AL50="Marketing")+($AL50="Sales")+($AL50="Entrepreneurship")+($AL50="Hospitality and Tourism"))&gt;0,"Commerce",IF((($AL50="Social Sciences and Humanities")+($AL50="Law Studies")+($AL50="Education and Training")+($AL50="Art, Design")+($AL50="Entertainment and Mass Media")+($AL50="Community and Social Service")+($AL50="Personal Care and Services")+($AL50="Government and Public Administration")+($AL50="Defence/ Protective Service")+($AL50="Sports"))&gt;0,"Arts / Humanities",""))))</f>
        <v/>
      </c>
      <c r="BD50" s="5" t="str">
        <f aca="false">IF($B50="","",--(F50&gt;=10)+--(G50&gt;=10)+--(H50&gt;=10)+--(I50&gt;=10)+--(J50&gt;=10)+--(K50&gt;=10)+--(L50&gt;=10)+--(M50&gt;=10)+--(N50&gt;=10)+--(O50&gt;=10))</f>
        <v/>
      </c>
      <c r="BE50" s="5" t="str">
        <f aca="false">IF($B50="","",--(AND(F50&lt;&gt;"",F50&lt;=8))+--(AND(G50&lt;&gt;"",G50&lt;=8))+--(AND(H50&lt;&gt;"",H50&lt;=8))+--(AND(I50&lt;&gt;"",I50&lt;=8))+--(AND(J50&lt;&gt;"",J50&lt;=8))+--(AND(K50&lt;&gt;"",K50&lt;=8))+--(AND(L50&lt;&gt;"",L50&lt;=8))+--(AND(M50&lt;&gt;"",M50&lt;=8))+--(AND(N50&lt;&gt;"",N50&lt;=8))+--(AND(O50&lt;&gt;"",O50&lt;=8)))</f>
        <v/>
      </c>
    </row>
    <row r="51" customFormat="false" ht="15" hidden="false" customHeight="false" outlineLevel="0" collapsed="false">
      <c r="AZ51" s="5" t="str">
        <f aca="false">IF($B51="","",SUMPRODUCT(($AL51:$AO51&lt;&gt;"")*(COUNTIF($AP51:$AX51,$AL51:$AO51)&gt;0)))</f>
        <v/>
      </c>
      <c r="BA51" s="5" t="str">
        <f aca="false">IF($B51="","",IF(AZ51&gt;0,1,0))</f>
        <v/>
      </c>
      <c r="BB51" s="5" t="str">
        <f aca="false">IF($AP51="","",IF((($AP51="Engineering and Technology")+($AP51="Science and Mathematics")+($AP51="Computer Science, IT and Allied Fields")+($AP51="Life Sciences /Medicine and Healthcare")+($AP51="Paramedical")+($AP51="Architecture")+($AP51="Environmental Service")+($AP51="Agriculture, Food Industry and Forestry"))&gt;0,"Science",IF((($AP51="Banking and Finance")+($AP51="Management and Administration")+($AP51="Marketing")+($AP51="Sales")+($AP51="Entrepreneurship")+($AP51="Hospitality and Tourism"))&gt;0,"Commerce",IF((($AP51="Social Sciences and Humanities")+($AP51="Law Studies")+($AP51="Education and Training")+($AP51="Art, Design")+($AP51="Entertainment and Mass Media")+($AP51="Community and Social Service")+($AP51="Personal Care and Services")+($AP51="Government and Public Administration")+($AP51="Defence/ Protective Service")+($AP51="Sports"))&gt;0,"Arts / Humanities",""))))</f>
        <v/>
      </c>
      <c r="BC51" s="5" t="str">
        <f aca="false">IF($AL51="","",IF((($AL51="Engineering and Technology")+($AL51="Science and Mathematics")+($AL51="Computer Science, IT and Allied Fields")+($AL51="Life Sciences /Medicine and Healthcare")+($AL51="Paramedical")+($AL51="Architecture")+($AL51="Environmental Service")+($AL51="Agriculture, Food Industry and Forestry"))&gt;0,"Science",IF((($AL51="Banking and Finance")+($AL51="Management and Administration")+($AL51="Marketing")+($AL51="Sales")+($AL51="Entrepreneurship")+($AL51="Hospitality and Tourism"))&gt;0,"Commerce",IF((($AL51="Social Sciences and Humanities")+($AL51="Law Studies")+($AL51="Education and Training")+($AL51="Art, Design")+($AL51="Entertainment and Mass Media")+($AL51="Community and Social Service")+($AL51="Personal Care and Services")+($AL51="Government and Public Administration")+($AL51="Defence/ Protective Service")+($AL51="Sports"))&gt;0,"Arts / Humanities",""))))</f>
        <v/>
      </c>
      <c r="BD51" s="5" t="str">
        <f aca="false">IF($B51="","",--(F51&gt;=10)+--(G51&gt;=10)+--(H51&gt;=10)+--(I51&gt;=10)+--(J51&gt;=10)+--(K51&gt;=10)+--(L51&gt;=10)+--(M51&gt;=10)+--(N51&gt;=10)+--(O51&gt;=10))</f>
        <v/>
      </c>
      <c r="BE51" s="5" t="str">
        <f aca="false">IF($B51="","",--(AND(F51&lt;&gt;"",F51&lt;=8))+--(AND(G51&lt;&gt;"",G51&lt;=8))+--(AND(H51&lt;&gt;"",H51&lt;=8))+--(AND(I51&lt;&gt;"",I51&lt;=8))+--(AND(J51&lt;&gt;"",J51&lt;=8))+--(AND(K51&lt;&gt;"",K51&lt;=8))+--(AND(L51&lt;&gt;"",L51&lt;=8))+--(AND(M51&lt;&gt;"",M51&lt;=8))+--(AND(N51&lt;&gt;"",N51&lt;=8))+--(AND(O51&lt;&gt;"",O51&lt;=8)))</f>
        <v/>
      </c>
    </row>
    <row r="52" customFormat="false" ht="15" hidden="false" customHeight="false" outlineLevel="0" collapsed="false">
      <c r="AZ52" s="5" t="str">
        <f aca="false">IF($B52="","",SUMPRODUCT(($AL52:$AO52&lt;&gt;"")*(COUNTIF($AP52:$AX52,$AL52:$AO52)&gt;0)))</f>
        <v/>
      </c>
      <c r="BA52" s="5" t="str">
        <f aca="false">IF($B52="","",IF(AZ52&gt;0,1,0))</f>
        <v/>
      </c>
      <c r="BB52" s="5" t="str">
        <f aca="false">IF($AP52="","",IF((($AP52="Engineering and Technology")+($AP52="Science and Mathematics")+($AP52="Computer Science, IT and Allied Fields")+($AP52="Life Sciences /Medicine and Healthcare")+($AP52="Paramedical")+($AP52="Architecture")+($AP52="Environmental Service")+($AP52="Agriculture, Food Industry and Forestry"))&gt;0,"Science",IF((($AP52="Banking and Finance")+($AP52="Management and Administration")+($AP52="Marketing")+($AP52="Sales")+($AP52="Entrepreneurship")+($AP52="Hospitality and Tourism"))&gt;0,"Commerce",IF((($AP52="Social Sciences and Humanities")+($AP52="Law Studies")+($AP52="Education and Training")+($AP52="Art, Design")+($AP52="Entertainment and Mass Media")+($AP52="Community and Social Service")+($AP52="Personal Care and Services")+($AP52="Government and Public Administration")+($AP52="Defence/ Protective Service")+($AP52="Sports"))&gt;0,"Arts / Humanities",""))))</f>
        <v/>
      </c>
      <c r="BC52" s="5" t="str">
        <f aca="false">IF($AL52="","",IF((($AL52="Engineering and Technology")+($AL52="Science and Mathematics")+($AL52="Computer Science, IT and Allied Fields")+($AL52="Life Sciences /Medicine and Healthcare")+($AL52="Paramedical")+($AL52="Architecture")+($AL52="Environmental Service")+($AL52="Agriculture, Food Industry and Forestry"))&gt;0,"Science",IF((($AL52="Banking and Finance")+($AL52="Management and Administration")+($AL52="Marketing")+($AL52="Sales")+($AL52="Entrepreneurship")+($AL52="Hospitality and Tourism"))&gt;0,"Commerce",IF((($AL52="Social Sciences and Humanities")+($AL52="Law Studies")+($AL52="Education and Training")+($AL52="Art, Design")+($AL52="Entertainment and Mass Media")+($AL52="Community and Social Service")+($AL52="Personal Care and Services")+($AL52="Government and Public Administration")+($AL52="Defence/ Protective Service")+($AL52="Sports"))&gt;0,"Arts / Humanities",""))))</f>
        <v/>
      </c>
      <c r="BD52" s="5" t="str">
        <f aca="false">IF($B52="","",--(F52&gt;=10)+--(G52&gt;=10)+--(H52&gt;=10)+--(I52&gt;=10)+--(J52&gt;=10)+--(K52&gt;=10)+--(L52&gt;=10)+--(M52&gt;=10)+--(N52&gt;=10)+--(O52&gt;=10))</f>
        <v/>
      </c>
      <c r="BE52" s="5" t="str">
        <f aca="false">IF($B52="","",--(AND(F52&lt;&gt;"",F52&lt;=8))+--(AND(G52&lt;&gt;"",G52&lt;=8))+--(AND(H52&lt;&gt;"",H52&lt;=8))+--(AND(I52&lt;&gt;"",I52&lt;=8))+--(AND(J52&lt;&gt;"",J52&lt;=8))+--(AND(K52&lt;&gt;"",K52&lt;=8))+--(AND(L52&lt;&gt;"",L52&lt;=8))+--(AND(M52&lt;&gt;"",M52&lt;=8))+--(AND(N52&lt;&gt;"",N52&lt;=8))+--(AND(O52&lt;&gt;"",O52&lt;=8)))</f>
        <v/>
      </c>
    </row>
    <row r="53" customFormat="false" ht="15" hidden="false" customHeight="false" outlineLevel="0" collapsed="false">
      <c r="AZ53" s="5" t="str">
        <f aca="false">IF($B53="","",SUMPRODUCT(($AL53:$AO53&lt;&gt;"")*(COUNTIF($AP53:$AX53,$AL53:$AO53)&gt;0)))</f>
        <v/>
      </c>
      <c r="BA53" s="5" t="str">
        <f aca="false">IF($B53="","",IF(AZ53&gt;0,1,0))</f>
        <v/>
      </c>
      <c r="BB53" s="5" t="str">
        <f aca="false">IF($AP53="","",IF((($AP53="Engineering and Technology")+($AP53="Science and Mathematics")+($AP53="Computer Science, IT and Allied Fields")+($AP53="Life Sciences /Medicine and Healthcare")+($AP53="Paramedical")+($AP53="Architecture")+($AP53="Environmental Service")+($AP53="Agriculture, Food Industry and Forestry"))&gt;0,"Science",IF((($AP53="Banking and Finance")+($AP53="Management and Administration")+($AP53="Marketing")+($AP53="Sales")+($AP53="Entrepreneurship")+($AP53="Hospitality and Tourism"))&gt;0,"Commerce",IF((($AP53="Social Sciences and Humanities")+($AP53="Law Studies")+($AP53="Education and Training")+($AP53="Art, Design")+($AP53="Entertainment and Mass Media")+($AP53="Community and Social Service")+($AP53="Personal Care and Services")+($AP53="Government and Public Administration")+($AP53="Defence/ Protective Service")+($AP53="Sports"))&gt;0,"Arts / Humanities",""))))</f>
        <v/>
      </c>
      <c r="BC53" s="5" t="str">
        <f aca="false">IF($AL53="","",IF((($AL53="Engineering and Technology")+($AL53="Science and Mathematics")+($AL53="Computer Science, IT and Allied Fields")+($AL53="Life Sciences /Medicine and Healthcare")+($AL53="Paramedical")+($AL53="Architecture")+($AL53="Environmental Service")+($AL53="Agriculture, Food Industry and Forestry"))&gt;0,"Science",IF((($AL53="Banking and Finance")+($AL53="Management and Administration")+($AL53="Marketing")+($AL53="Sales")+($AL53="Entrepreneurship")+($AL53="Hospitality and Tourism"))&gt;0,"Commerce",IF((($AL53="Social Sciences and Humanities")+($AL53="Law Studies")+($AL53="Education and Training")+($AL53="Art, Design")+($AL53="Entertainment and Mass Media")+($AL53="Community and Social Service")+($AL53="Personal Care and Services")+($AL53="Government and Public Administration")+($AL53="Defence/ Protective Service")+($AL53="Sports"))&gt;0,"Arts / Humanities",""))))</f>
        <v/>
      </c>
      <c r="BD53" s="5" t="str">
        <f aca="false">IF($B53="","",--(F53&gt;=10)+--(G53&gt;=10)+--(H53&gt;=10)+--(I53&gt;=10)+--(J53&gt;=10)+--(K53&gt;=10)+--(L53&gt;=10)+--(M53&gt;=10)+--(N53&gt;=10)+--(O53&gt;=10))</f>
        <v/>
      </c>
      <c r="BE53" s="5" t="str">
        <f aca="false">IF($B53="","",--(AND(F53&lt;&gt;"",F53&lt;=8))+--(AND(G53&lt;&gt;"",G53&lt;=8))+--(AND(H53&lt;&gt;"",H53&lt;=8))+--(AND(I53&lt;&gt;"",I53&lt;=8))+--(AND(J53&lt;&gt;"",J53&lt;=8))+--(AND(K53&lt;&gt;"",K53&lt;=8))+--(AND(L53&lt;&gt;"",L53&lt;=8))+--(AND(M53&lt;&gt;"",M53&lt;=8))+--(AND(N53&lt;&gt;"",N53&lt;=8))+--(AND(O53&lt;&gt;"",O53&lt;=8)))</f>
        <v/>
      </c>
    </row>
    <row r="54" customFormat="false" ht="15" hidden="false" customHeight="false" outlineLevel="0" collapsed="false">
      <c r="AZ54" s="5" t="str">
        <f aca="false">IF($B54="","",SUMPRODUCT(($AL54:$AO54&lt;&gt;"")*(COUNTIF($AP54:$AX54,$AL54:$AO54)&gt;0)))</f>
        <v/>
      </c>
      <c r="BA54" s="5" t="str">
        <f aca="false">IF($B54="","",IF(AZ54&gt;0,1,0))</f>
        <v/>
      </c>
      <c r="BB54" s="5" t="str">
        <f aca="false">IF($AP54="","",IF((($AP54="Engineering and Technology")+($AP54="Science and Mathematics")+($AP54="Computer Science, IT and Allied Fields")+($AP54="Life Sciences /Medicine and Healthcare")+($AP54="Paramedical")+($AP54="Architecture")+($AP54="Environmental Service")+($AP54="Agriculture, Food Industry and Forestry"))&gt;0,"Science",IF((($AP54="Banking and Finance")+($AP54="Management and Administration")+($AP54="Marketing")+($AP54="Sales")+($AP54="Entrepreneurship")+($AP54="Hospitality and Tourism"))&gt;0,"Commerce",IF((($AP54="Social Sciences and Humanities")+($AP54="Law Studies")+($AP54="Education and Training")+($AP54="Art, Design")+($AP54="Entertainment and Mass Media")+($AP54="Community and Social Service")+($AP54="Personal Care and Services")+($AP54="Government and Public Administration")+($AP54="Defence/ Protective Service")+($AP54="Sports"))&gt;0,"Arts / Humanities",""))))</f>
        <v/>
      </c>
      <c r="BC54" s="5" t="str">
        <f aca="false">IF($AL54="","",IF((($AL54="Engineering and Technology")+($AL54="Science and Mathematics")+($AL54="Computer Science, IT and Allied Fields")+($AL54="Life Sciences /Medicine and Healthcare")+($AL54="Paramedical")+($AL54="Architecture")+($AL54="Environmental Service")+($AL54="Agriculture, Food Industry and Forestry"))&gt;0,"Science",IF((($AL54="Banking and Finance")+($AL54="Management and Administration")+($AL54="Marketing")+($AL54="Sales")+($AL54="Entrepreneurship")+($AL54="Hospitality and Tourism"))&gt;0,"Commerce",IF((($AL54="Social Sciences and Humanities")+($AL54="Law Studies")+($AL54="Education and Training")+($AL54="Art, Design")+($AL54="Entertainment and Mass Media")+($AL54="Community and Social Service")+($AL54="Personal Care and Services")+($AL54="Government and Public Administration")+($AL54="Defence/ Protective Service")+($AL54="Sports"))&gt;0,"Arts / Humanities",""))))</f>
        <v/>
      </c>
      <c r="BD54" s="5" t="str">
        <f aca="false">IF($B54="","",--(F54&gt;=10)+--(G54&gt;=10)+--(H54&gt;=10)+--(I54&gt;=10)+--(J54&gt;=10)+--(K54&gt;=10)+--(L54&gt;=10)+--(M54&gt;=10)+--(N54&gt;=10)+--(O54&gt;=10))</f>
        <v/>
      </c>
      <c r="BE54" s="5" t="str">
        <f aca="false">IF($B54="","",--(AND(F54&lt;&gt;"",F54&lt;=8))+--(AND(G54&lt;&gt;"",G54&lt;=8))+--(AND(H54&lt;&gt;"",H54&lt;=8))+--(AND(I54&lt;&gt;"",I54&lt;=8))+--(AND(J54&lt;&gt;"",J54&lt;=8))+--(AND(K54&lt;&gt;"",K54&lt;=8))+--(AND(L54&lt;&gt;"",L54&lt;=8))+--(AND(M54&lt;&gt;"",M54&lt;=8))+--(AND(N54&lt;&gt;"",N54&lt;=8))+--(AND(O54&lt;&gt;"",O54&lt;=8)))</f>
        <v/>
      </c>
    </row>
    <row r="55" customFormat="false" ht="15" hidden="false" customHeight="false" outlineLevel="0" collapsed="false">
      <c r="AZ55" s="5" t="str">
        <f aca="false">IF($B55="","",SUMPRODUCT(($AL55:$AO55&lt;&gt;"")*(COUNTIF($AP55:$AX55,$AL55:$AO55)&gt;0)))</f>
        <v/>
      </c>
      <c r="BA55" s="5" t="str">
        <f aca="false">IF($B55="","",IF(AZ55&gt;0,1,0))</f>
        <v/>
      </c>
      <c r="BB55" s="5" t="str">
        <f aca="false">IF($AP55="","",IF((($AP55="Engineering and Technology")+($AP55="Science and Mathematics")+($AP55="Computer Science, IT and Allied Fields")+($AP55="Life Sciences /Medicine and Healthcare")+($AP55="Paramedical")+($AP55="Architecture")+($AP55="Environmental Service")+($AP55="Agriculture, Food Industry and Forestry"))&gt;0,"Science",IF((($AP55="Banking and Finance")+($AP55="Management and Administration")+($AP55="Marketing")+($AP55="Sales")+($AP55="Entrepreneurship")+($AP55="Hospitality and Tourism"))&gt;0,"Commerce",IF((($AP55="Social Sciences and Humanities")+($AP55="Law Studies")+($AP55="Education and Training")+($AP55="Art, Design")+($AP55="Entertainment and Mass Media")+($AP55="Community and Social Service")+($AP55="Personal Care and Services")+($AP55="Government and Public Administration")+($AP55="Defence/ Protective Service")+($AP55="Sports"))&gt;0,"Arts / Humanities",""))))</f>
        <v/>
      </c>
      <c r="BC55" s="5" t="str">
        <f aca="false">IF($AL55="","",IF((($AL55="Engineering and Technology")+($AL55="Science and Mathematics")+($AL55="Computer Science, IT and Allied Fields")+($AL55="Life Sciences /Medicine and Healthcare")+($AL55="Paramedical")+($AL55="Architecture")+($AL55="Environmental Service")+($AL55="Agriculture, Food Industry and Forestry"))&gt;0,"Science",IF((($AL55="Banking and Finance")+($AL55="Management and Administration")+($AL55="Marketing")+($AL55="Sales")+($AL55="Entrepreneurship")+($AL55="Hospitality and Tourism"))&gt;0,"Commerce",IF((($AL55="Social Sciences and Humanities")+($AL55="Law Studies")+($AL55="Education and Training")+($AL55="Art, Design")+($AL55="Entertainment and Mass Media")+($AL55="Community and Social Service")+($AL55="Personal Care and Services")+($AL55="Government and Public Administration")+($AL55="Defence/ Protective Service")+($AL55="Sports"))&gt;0,"Arts / Humanities",""))))</f>
        <v/>
      </c>
      <c r="BD55" s="5" t="str">
        <f aca="false">IF($B55="","",--(F55&gt;=10)+--(G55&gt;=10)+--(H55&gt;=10)+--(I55&gt;=10)+--(J55&gt;=10)+--(K55&gt;=10)+--(L55&gt;=10)+--(M55&gt;=10)+--(N55&gt;=10)+--(O55&gt;=10))</f>
        <v/>
      </c>
      <c r="BE55" s="5" t="str">
        <f aca="false">IF($B55="","",--(AND(F55&lt;&gt;"",F55&lt;=8))+--(AND(G55&lt;&gt;"",G55&lt;=8))+--(AND(H55&lt;&gt;"",H55&lt;=8))+--(AND(I55&lt;&gt;"",I55&lt;=8))+--(AND(J55&lt;&gt;"",J55&lt;=8))+--(AND(K55&lt;&gt;"",K55&lt;=8))+--(AND(L55&lt;&gt;"",L55&lt;=8))+--(AND(M55&lt;&gt;"",M55&lt;=8))+--(AND(N55&lt;&gt;"",N55&lt;=8))+--(AND(O55&lt;&gt;"",O55&lt;=8)))</f>
        <v/>
      </c>
    </row>
    <row r="56" customFormat="false" ht="15" hidden="false" customHeight="false" outlineLevel="0" collapsed="false">
      <c r="AZ56" s="5" t="str">
        <f aca="false">IF($B56="","",SUMPRODUCT(($AL56:$AO56&lt;&gt;"")*(COUNTIF($AP56:$AX56,$AL56:$AO56)&gt;0)))</f>
        <v/>
      </c>
      <c r="BA56" s="5" t="str">
        <f aca="false">IF($B56="","",IF(AZ56&gt;0,1,0))</f>
        <v/>
      </c>
      <c r="BB56" s="5" t="str">
        <f aca="false">IF($AP56="","",IF((($AP56="Engineering and Technology")+($AP56="Science and Mathematics")+($AP56="Computer Science, IT and Allied Fields")+($AP56="Life Sciences /Medicine and Healthcare")+($AP56="Paramedical")+($AP56="Architecture")+($AP56="Environmental Service")+($AP56="Agriculture, Food Industry and Forestry"))&gt;0,"Science",IF((($AP56="Banking and Finance")+($AP56="Management and Administration")+($AP56="Marketing")+($AP56="Sales")+($AP56="Entrepreneurship")+($AP56="Hospitality and Tourism"))&gt;0,"Commerce",IF((($AP56="Social Sciences and Humanities")+($AP56="Law Studies")+($AP56="Education and Training")+($AP56="Art, Design")+($AP56="Entertainment and Mass Media")+($AP56="Community and Social Service")+($AP56="Personal Care and Services")+($AP56="Government and Public Administration")+($AP56="Defence/ Protective Service")+($AP56="Sports"))&gt;0,"Arts / Humanities",""))))</f>
        <v/>
      </c>
      <c r="BC56" s="5" t="str">
        <f aca="false">IF($AL56="","",IF((($AL56="Engineering and Technology")+($AL56="Science and Mathematics")+($AL56="Computer Science, IT and Allied Fields")+($AL56="Life Sciences /Medicine and Healthcare")+($AL56="Paramedical")+($AL56="Architecture")+($AL56="Environmental Service")+($AL56="Agriculture, Food Industry and Forestry"))&gt;0,"Science",IF((($AL56="Banking and Finance")+($AL56="Management and Administration")+($AL56="Marketing")+($AL56="Sales")+($AL56="Entrepreneurship")+($AL56="Hospitality and Tourism"))&gt;0,"Commerce",IF((($AL56="Social Sciences and Humanities")+($AL56="Law Studies")+($AL56="Education and Training")+($AL56="Art, Design")+($AL56="Entertainment and Mass Media")+($AL56="Community and Social Service")+($AL56="Personal Care and Services")+($AL56="Government and Public Administration")+($AL56="Defence/ Protective Service")+($AL56="Sports"))&gt;0,"Arts / Humanities",""))))</f>
        <v/>
      </c>
      <c r="BD56" s="5" t="str">
        <f aca="false">IF($B56="","",--(F56&gt;=10)+--(G56&gt;=10)+--(H56&gt;=10)+--(I56&gt;=10)+--(J56&gt;=10)+--(K56&gt;=10)+--(L56&gt;=10)+--(M56&gt;=10)+--(N56&gt;=10)+--(O56&gt;=10))</f>
        <v/>
      </c>
      <c r="BE56" s="5" t="str">
        <f aca="false">IF($B56="","",--(AND(F56&lt;&gt;"",F56&lt;=8))+--(AND(G56&lt;&gt;"",G56&lt;=8))+--(AND(H56&lt;&gt;"",H56&lt;=8))+--(AND(I56&lt;&gt;"",I56&lt;=8))+--(AND(J56&lt;&gt;"",J56&lt;=8))+--(AND(K56&lt;&gt;"",K56&lt;=8))+--(AND(L56&lt;&gt;"",L56&lt;=8))+--(AND(M56&lt;&gt;"",M56&lt;=8))+--(AND(N56&lt;&gt;"",N56&lt;=8))+--(AND(O56&lt;&gt;"",O56&lt;=8)))</f>
        <v/>
      </c>
    </row>
    <row r="57" customFormat="false" ht="15" hidden="false" customHeight="false" outlineLevel="0" collapsed="false">
      <c r="AZ57" s="5" t="str">
        <f aca="false">IF($B57="","",SUMPRODUCT(($AL57:$AO57&lt;&gt;"")*(COUNTIF($AP57:$AX57,$AL57:$AO57)&gt;0)))</f>
        <v/>
      </c>
      <c r="BA57" s="5" t="str">
        <f aca="false">IF($B57="","",IF(AZ57&gt;0,1,0))</f>
        <v/>
      </c>
      <c r="BB57" s="5" t="str">
        <f aca="false">IF($AP57="","",IF((($AP57="Engineering and Technology")+($AP57="Science and Mathematics")+($AP57="Computer Science, IT and Allied Fields")+($AP57="Life Sciences /Medicine and Healthcare")+($AP57="Paramedical")+($AP57="Architecture")+($AP57="Environmental Service")+($AP57="Agriculture, Food Industry and Forestry"))&gt;0,"Science",IF((($AP57="Banking and Finance")+($AP57="Management and Administration")+($AP57="Marketing")+($AP57="Sales")+($AP57="Entrepreneurship")+($AP57="Hospitality and Tourism"))&gt;0,"Commerce",IF((($AP57="Social Sciences and Humanities")+($AP57="Law Studies")+($AP57="Education and Training")+($AP57="Art, Design")+($AP57="Entertainment and Mass Media")+($AP57="Community and Social Service")+($AP57="Personal Care and Services")+($AP57="Government and Public Administration")+($AP57="Defence/ Protective Service")+($AP57="Sports"))&gt;0,"Arts / Humanities",""))))</f>
        <v/>
      </c>
      <c r="BC57" s="5" t="str">
        <f aca="false">IF($AL57="","",IF((($AL57="Engineering and Technology")+($AL57="Science and Mathematics")+($AL57="Computer Science, IT and Allied Fields")+($AL57="Life Sciences /Medicine and Healthcare")+($AL57="Paramedical")+($AL57="Architecture")+($AL57="Environmental Service")+($AL57="Agriculture, Food Industry and Forestry"))&gt;0,"Science",IF((($AL57="Banking and Finance")+($AL57="Management and Administration")+($AL57="Marketing")+($AL57="Sales")+($AL57="Entrepreneurship")+($AL57="Hospitality and Tourism"))&gt;0,"Commerce",IF((($AL57="Social Sciences and Humanities")+($AL57="Law Studies")+($AL57="Education and Training")+($AL57="Art, Design")+($AL57="Entertainment and Mass Media")+($AL57="Community and Social Service")+($AL57="Personal Care and Services")+($AL57="Government and Public Administration")+($AL57="Defence/ Protective Service")+($AL57="Sports"))&gt;0,"Arts / Humanities",""))))</f>
        <v/>
      </c>
      <c r="BD57" s="5" t="str">
        <f aca="false">IF($B57="","",--(F57&gt;=10)+--(G57&gt;=10)+--(H57&gt;=10)+--(I57&gt;=10)+--(J57&gt;=10)+--(K57&gt;=10)+--(L57&gt;=10)+--(M57&gt;=10)+--(N57&gt;=10)+--(O57&gt;=10))</f>
        <v/>
      </c>
      <c r="BE57" s="5" t="str">
        <f aca="false">IF($B57="","",--(AND(F57&lt;&gt;"",F57&lt;=8))+--(AND(G57&lt;&gt;"",G57&lt;=8))+--(AND(H57&lt;&gt;"",H57&lt;=8))+--(AND(I57&lt;&gt;"",I57&lt;=8))+--(AND(J57&lt;&gt;"",J57&lt;=8))+--(AND(K57&lt;&gt;"",K57&lt;=8))+--(AND(L57&lt;&gt;"",L57&lt;=8))+--(AND(M57&lt;&gt;"",M57&lt;=8))+--(AND(N57&lt;&gt;"",N57&lt;=8))+--(AND(O57&lt;&gt;"",O57&lt;=8)))</f>
        <v/>
      </c>
    </row>
    <row r="58" customFormat="false" ht="15" hidden="false" customHeight="false" outlineLevel="0" collapsed="false">
      <c r="AZ58" s="5" t="str">
        <f aca="false">IF($B58="","",SUMPRODUCT(($AL58:$AO58&lt;&gt;"")*(COUNTIF($AP58:$AX58,$AL58:$AO58)&gt;0)))</f>
        <v/>
      </c>
      <c r="BA58" s="5" t="str">
        <f aca="false">IF($B58="","",IF(AZ58&gt;0,1,0))</f>
        <v/>
      </c>
      <c r="BB58" s="5" t="str">
        <f aca="false">IF($AP58="","",IF((($AP58="Engineering and Technology")+($AP58="Science and Mathematics")+($AP58="Computer Science, IT and Allied Fields")+($AP58="Life Sciences /Medicine and Healthcare")+($AP58="Paramedical")+($AP58="Architecture")+($AP58="Environmental Service")+($AP58="Agriculture, Food Industry and Forestry"))&gt;0,"Science",IF((($AP58="Banking and Finance")+($AP58="Management and Administration")+($AP58="Marketing")+($AP58="Sales")+($AP58="Entrepreneurship")+($AP58="Hospitality and Tourism"))&gt;0,"Commerce",IF((($AP58="Social Sciences and Humanities")+($AP58="Law Studies")+($AP58="Education and Training")+($AP58="Art, Design")+($AP58="Entertainment and Mass Media")+($AP58="Community and Social Service")+($AP58="Personal Care and Services")+($AP58="Government and Public Administration")+($AP58="Defence/ Protective Service")+($AP58="Sports"))&gt;0,"Arts / Humanities",""))))</f>
        <v/>
      </c>
      <c r="BC58" s="5" t="str">
        <f aca="false">IF($AL58="","",IF((($AL58="Engineering and Technology")+($AL58="Science and Mathematics")+($AL58="Computer Science, IT and Allied Fields")+($AL58="Life Sciences /Medicine and Healthcare")+($AL58="Paramedical")+($AL58="Architecture")+($AL58="Environmental Service")+($AL58="Agriculture, Food Industry and Forestry"))&gt;0,"Science",IF((($AL58="Banking and Finance")+($AL58="Management and Administration")+($AL58="Marketing")+($AL58="Sales")+($AL58="Entrepreneurship")+($AL58="Hospitality and Tourism"))&gt;0,"Commerce",IF((($AL58="Social Sciences and Humanities")+($AL58="Law Studies")+($AL58="Education and Training")+($AL58="Art, Design")+($AL58="Entertainment and Mass Media")+($AL58="Community and Social Service")+($AL58="Personal Care and Services")+($AL58="Government and Public Administration")+($AL58="Defence/ Protective Service")+($AL58="Sports"))&gt;0,"Arts / Humanities",""))))</f>
        <v/>
      </c>
      <c r="BD58" s="5" t="str">
        <f aca="false">IF($B58="","",--(F58&gt;=10)+--(G58&gt;=10)+--(H58&gt;=10)+--(I58&gt;=10)+--(J58&gt;=10)+--(K58&gt;=10)+--(L58&gt;=10)+--(M58&gt;=10)+--(N58&gt;=10)+--(O58&gt;=10))</f>
        <v/>
      </c>
      <c r="BE58" s="5" t="str">
        <f aca="false">IF($B58="","",--(AND(F58&lt;&gt;"",F58&lt;=8))+--(AND(G58&lt;&gt;"",G58&lt;=8))+--(AND(H58&lt;&gt;"",H58&lt;=8))+--(AND(I58&lt;&gt;"",I58&lt;=8))+--(AND(J58&lt;&gt;"",J58&lt;=8))+--(AND(K58&lt;&gt;"",K58&lt;=8))+--(AND(L58&lt;&gt;"",L58&lt;=8))+--(AND(M58&lt;&gt;"",M58&lt;=8))+--(AND(N58&lt;&gt;"",N58&lt;=8))+--(AND(O58&lt;&gt;"",O58&lt;=8)))</f>
        <v/>
      </c>
    </row>
    <row r="59" customFormat="false" ht="15" hidden="false" customHeight="false" outlineLevel="0" collapsed="false">
      <c r="AZ59" s="5" t="str">
        <f aca="false">IF($B59="","",SUMPRODUCT(($AL59:$AO59&lt;&gt;"")*(COUNTIF($AP59:$AX59,$AL59:$AO59)&gt;0)))</f>
        <v/>
      </c>
      <c r="BA59" s="5" t="str">
        <f aca="false">IF($B59="","",IF(AZ59&gt;0,1,0))</f>
        <v/>
      </c>
      <c r="BB59" s="5" t="str">
        <f aca="false">IF($AP59="","",IF((($AP59="Engineering and Technology")+($AP59="Science and Mathematics")+($AP59="Computer Science, IT and Allied Fields")+($AP59="Life Sciences /Medicine and Healthcare")+($AP59="Paramedical")+($AP59="Architecture")+($AP59="Environmental Service")+($AP59="Agriculture, Food Industry and Forestry"))&gt;0,"Science",IF((($AP59="Banking and Finance")+($AP59="Management and Administration")+($AP59="Marketing")+($AP59="Sales")+($AP59="Entrepreneurship")+($AP59="Hospitality and Tourism"))&gt;0,"Commerce",IF((($AP59="Social Sciences and Humanities")+($AP59="Law Studies")+($AP59="Education and Training")+($AP59="Art, Design")+($AP59="Entertainment and Mass Media")+($AP59="Community and Social Service")+($AP59="Personal Care and Services")+($AP59="Government and Public Administration")+($AP59="Defence/ Protective Service")+($AP59="Sports"))&gt;0,"Arts / Humanities",""))))</f>
        <v/>
      </c>
      <c r="BC59" s="5" t="str">
        <f aca="false">IF($AL59="","",IF((($AL59="Engineering and Technology")+($AL59="Science and Mathematics")+($AL59="Computer Science, IT and Allied Fields")+($AL59="Life Sciences /Medicine and Healthcare")+($AL59="Paramedical")+($AL59="Architecture")+($AL59="Environmental Service")+($AL59="Agriculture, Food Industry and Forestry"))&gt;0,"Science",IF((($AL59="Banking and Finance")+($AL59="Management and Administration")+($AL59="Marketing")+($AL59="Sales")+($AL59="Entrepreneurship")+($AL59="Hospitality and Tourism"))&gt;0,"Commerce",IF((($AL59="Social Sciences and Humanities")+($AL59="Law Studies")+($AL59="Education and Training")+($AL59="Art, Design")+($AL59="Entertainment and Mass Media")+($AL59="Community and Social Service")+($AL59="Personal Care and Services")+($AL59="Government and Public Administration")+($AL59="Defence/ Protective Service")+($AL59="Sports"))&gt;0,"Arts / Humanities",""))))</f>
        <v/>
      </c>
      <c r="BD59" s="5" t="str">
        <f aca="false">IF($B59="","",--(F59&gt;=10)+--(G59&gt;=10)+--(H59&gt;=10)+--(I59&gt;=10)+--(J59&gt;=10)+--(K59&gt;=10)+--(L59&gt;=10)+--(M59&gt;=10)+--(N59&gt;=10)+--(O59&gt;=10))</f>
        <v/>
      </c>
      <c r="BE59" s="5" t="str">
        <f aca="false">IF($B59="","",--(AND(F59&lt;&gt;"",F59&lt;=8))+--(AND(G59&lt;&gt;"",G59&lt;=8))+--(AND(H59&lt;&gt;"",H59&lt;=8))+--(AND(I59&lt;&gt;"",I59&lt;=8))+--(AND(J59&lt;&gt;"",J59&lt;=8))+--(AND(K59&lt;&gt;"",K59&lt;=8))+--(AND(L59&lt;&gt;"",L59&lt;=8))+--(AND(M59&lt;&gt;"",M59&lt;=8))+--(AND(N59&lt;&gt;"",N59&lt;=8))+--(AND(O59&lt;&gt;"",O59&lt;=8)))</f>
        <v/>
      </c>
    </row>
    <row r="60" customFormat="false" ht="15" hidden="false" customHeight="false" outlineLevel="0" collapsed="false">
      <c r="AZ60" s="5" t="str">
        <f aca="false">IF($B60="","",SUMPRODUCT(($AL60:$AO60&lt;&gt;"")*(COUNTIF($AP60:$AX60,$AL60:$AO60)&gt;0)))</f>
        <v/>
      </c>
      <c r="BA60" s="5" t="str">
        <f aca="false">IF($B60="","",IF(AZ60&gt;0,1,0))</f>
        <v/>
      </c>
      <c r="BB60" s="5" t="str">
        <f aca="false">IF($AP60="","",IF((($AP60="Engineering and Technology")+($AP60="Science and Mathematics")+($AP60="Computer Science, IT and Allied Fields")+($AP60="Life Sciences /Medicine and Healthcare")+($AP60="Paramedical")+($AP60="Architecture")+($AP60="Environmental Service")+($AP60="Agriculture, Food Industry and Forestry"))&gt;0,"Science",IF((($AP60="Banking and Finance")+($AP60="Management and Administration")+($AP60="Marketing")+($AP60="Sales")+($AP60="Entrepreneurship")+($AP60="Hospitality and Tourism"))&gt;0,"Commerce",IF((($AP60="Social Sciences and Humanities")+($AP60="Law Studies")+($AP60="Education and Training")+($AP60="Art, Design")+($AP60="Entertainment and Mass Media")+($AP60="Community and Social Service")+($AP60="Personal Care and Services")+($AP60="Government and Public Administration")+($AP60="Defence/ Protective Service")+($AP60="Sports"))&gt;0,"Arts / Humanities",""))))</f>
        <v/>
      </c>
      <c r="BC60" s="5" t="str">
        <f aca="false">IF($AL60="","",IF((($AL60="Engineering and Technology")+($AL60="Science and Mathematics")+($AL60="Computer Science, IT and Allied Fields")+($AL60="Life Sciences /Medicine and Healthcare")+($AL60="Paramedical")+($AL60="Architecture")+($AL60="Environmental Service")+($AL60="Agriculture, Food Industry and Forestry"))&gt;0,"Science",IF((($AL60="Banking and Finance")+($AL60="Management and Administration")+($AL60="Marketing")+($AL60="Sales")+($AL60="Entrepreneurship")+($AL60="Hospitality and Tourism"))&gt;0,"Commerce",IF((($AL60="Social Sciences and Humanities")+($AL60="Law Studies")+($AL60="Education and Training")+($AL60="Art, Design")+($AL60="Entertainment and Mass Media")+($AL60="Community and Social Service")+($AL60="Personal Care and Services")+($AL60="Government and Public Administration")+($AL60="Defence/ Protective Service")+($AL60="Sports"))&gt;0,"Arts / Humanities",""))))</f>
        <v/>
      </c>
      <c r="BD60" s="5" t="str">
        <f aca="false">IF($B60="","",--(F60&gt;=10)+--(G60&gt;=10)+--(H60&gt;=10)+--(I60&gt;=10)+--(J60&gt;=10)+--(K60&gt;=10)+--(L60&gt;=10)+--(M60&gt;=10)+--(N60&gt;=10)+--(O60&gt;=10))</f>
        <v/>
      </c>
      <c r="BE60" s="5" t="str">
        <f aca="false">IF($B60="","",--(AND(F60&lt;&gt;"",F60&lt;=8))+--(AND(G60&lt;&gt;"",G60&lt;=8))+--(AND(H60&lt;&gt;"",H60&lt;=8))+--(AND(I60&lt;&gt;"",I60&lt;=8))+--(AND(J60&lt;&gt;"",J60&lt;=8))+--(AND(K60&lt;&gt;"",K60&lt;=8))+--(AND(L60&lt;&gt;"",L60&lt;=8))+--(AND(M60&lt;&gt;"",M60&lt;=8))+--(AND(N60&lt;&gt;"",N60&lt;=8))+--(AND(O60&lt;&gt;"",O60&lt;=8)))</f>
        <v/>
      </c>
    </row>
    <row r="61" customFormat="false" ht="15" hidden="false" customHeight="false" outlineLevel="0" collapsed="false">
      <c r="AZ61" s="5" t="str">
        <f aca="false">IF($B61="","",SUMPRODUCT(($AL61:$AO61&lt;&gt;"")*(COUNTIF($AP61:$AX61,$AL61:$AO61)&gt;0)))</f>
        <v/>
      </c>
      <c r="BA61" s="5" t="str">
        <f aca="false">IF($B61="","",IF(AZ61&gt;0,1,0))</f>
        <v/>
      </c>
      <c r="BB61" s="5" t="str">
        <f aca="false">IF($AP61="","",IF((($AP61="Engineering and Technology")+($AP61="Science and Mathematics")+($AP61="Computer Science, IT and Allied Fields")+($AP61="Life Sciences /Medicine and Healthcare")+($AP61="Paramedical")+($AP61="Architecture")+($AP61="Environmental Service")+($AP61="Agriculture, Food Industry and Forestry"))&gt;0,"Science",IF((($AP61="Banking and Finance")+($AP61="Management and Administration")+($AP61="Marketing")+($AP61="Sales")+($AP61="Entrepreneurship")+($AP61="Hospitality and Tourism"))&gt;0,"Commerce",IF((($AP61="Social Sciences and Humanities")+($AP61="Law Studies")+($AP61="Education and Training")+($AP61="Art, Design")+($AP61="Entertainment and Mass Media")+($AP61="Community and Social Service")+($AP61="Personal Care and Services")+($AP61="Government and Public Administration")+($AP61="Defence/ Protective Service")+($AP61="Sports"))&gt;0,"Arts / Humanities",""))))</f>
        <v/>
      </c>
      <c r="BC61" s="5" t="str">
        <f aca="false">IF($AL61="","",IF((($AL61="Engineering and Technology")+($AL61="Science and Mathematics")+($AL61="Computer Science, IT and Allied Fields")+($AL61="Life Sciences /Medicine and Healthcare")+($AL61="Paramedical")+($AL61="Architecture")+($AL61="Environmental Service")+($AL61="Agriculture, Food Industry and Forestry"))&gt;0,"Science",IF((($AL61="Banking and Finance")+($AL61="Management and Administration")+($AL61="Marketing")+($AL61="Sales")+($AL61="Entrepreneurship")+($AL61="Hospitality and Tourism"))&gt;0,"Commerce",IF((($AL61="Social Sciences and Humanities")+($AL61="Law Studies")+($AL61="Education and Training")+($AL61="Art, Design")+($AL61="Entertainment and Mass Media")+($AL61="Community and Social Service")+($AL61="Personal Care and Services")+($AL61="Government and Public Administration")+($AL61="Defence/ Protective Service")+($AL61="Sports"))&gt;0,"Arts / Humanities",""))))</f>
        <v/>
      </c>
      <c r="BD61" s="5" t="str">
        <f aca="false">IF($B61="","",--(F61&gt;=10)+--(G61&gt;=10)+--(H61&gt;=10)+--(I61&gt;=10)+--(J61&gt;=10)+--(K61&gt;=10)+--(L61&gt;=10)+--(M61&gt;=10)+--(N61&gt;=10)+--(O61&gt;=10))</f>
        <v/>
      </c>
      <c r="BE61" s="5" t="str">
        <f aca="false">IF($B61="","",--(AND(F61&lt;&gt;"",F61&lt;=8))+--(AND(G61&lt;&gt;"",G61&lt;=8))+--(AND(H61&lt;&gt;"",H61&lt;=8))+--(AND(I61&lt;&gt;"",I61&lt;=8))+--(AND(J61&lt;&gt;"",J61&lt;=8))+--(AND(K61&lt;&gt;"",K61&lt;=8))+--(AND(L61&lt;&gt;"",L61&lt;=8))+--(AND(M61&lt;&gt;"",M61&lt;=8))+--(AND(N61&lt;&gt;"",N61&lt;=8))+--(AND(O61&lt;&gt;"",O61&lt;=8)))</f>
        <v/>
      </c>
    </row>
    <row r="62" customFormat="false" ht="15" hidden="false" customHeight="false" outlineLevel="0" collapsed="false">
      <c r="AZ62" s="5" t="str">
        <f aca="false">IF($B62="","",SUMPRODUCT(($AL62:$AO62&lt;&gt;"")*(COUNTIF($AP62:$AX62,$AL62:$AO62)&gt;0)))</f>
        <v/>
      </c>
      <c r="BA62" s="5" t="str">
        <f aca="false">IF($B62="","",IF(AZ62&gt;0,1,0))</f>
        <v/>
      </c>
      <c r="BB62" s="5" t="str">
        <f aca="false">IF($AP62="","",IF((($AP62="Engineering and Technology")+($AP62="Science and Mathematics")+($AP62="Computer Science, IT and Allied Fields")+($AP62="Life Sciences /Medicine and Healthcare")+($AP62="Paramedical")+($AP62="Architecture")+($AP62="Environmental Service")+($AP62="Agriculture, Food Industry and Forestry"))&gt;0,"Science",IF((($AP62="Banking and Finance")+($AP62="Management and Administration")+($AP62="Marketing")+($AP62="Sales")+($AP62="Entrepreneurship")+($AP62="Hospitality and Tourism"))&gt;0,"Commerce",IF((($AP62="Social Sciences and Humanities")+($AP62="Law Studies")+($AP62="Education and Training")+($AP62="Art, Design")+($AP62="Entertainment and Mass Media")+($AP62="Community and Social Service")+($AP62="Personal Care and Services")+($AP62="Government and Public Administration")+($AP62="Defence/ Protective Service")+($AP62="Sports"))&gt;0,"Arts / Humanities",""))))</f>
        <v/>
      </c>
      <c r="BC62" s="5" t="str">
        <f aca="false">IF($AL62="","",IF((($AL62="Engineering and Technology")+($AL62="Science and Mathematics")+($AL62="Computer Science, IT and Allied Fields")+($AL62="Life Sciences /Medicine and Healthcare")+($AL62="Paramedical")+($AL62="Architecture")+($AL62="Environmental Service")+($AL62="Agriculture, Food Industry and Forestry"))&gt;0,"Science",IF((($AL62="Banking and Finance")+($AL62="Management and Administration")+($AL62="Marketing")+($AL62="Sales")+($AL62="Entrepreneurship")+($AL62="Hospitality and Tourism"))&gt;0,"Commerce",IF((($AL62="Social Sciences and Humanities")+($AL62="Law Studies")+($AL62="Education and Training")+($AL62="Art, Design")+($AL62="Entertainment and Mass Media")+($AL62="Community and Social Service")+($AL62="Personal Care and Services")+($AL62="Government and Public Administration")+($AL62="Defence/ Protective Service")+($AL62="Sports"))&gt;0,"Arts / Humanities",""))))</f>
        <v/>
      </c>
      <c r="BD62" s="5" t="str">
        <f aca="false">IF($B62="","",--(F62&gt;=10)+--(G62&gt;=10)+--(H62&gt;=10)+--(I62&gt;=10)+--(J62&gt;=10)+--(K62&gt;=10)+--(L62&gt;=10)+--(M62&gt;=10)+--(N62&gt;=10)+--(O62&gt;=10))</f>
        <v/>
      </c>
      <c r="BE62" s="5" t="str">
        <f aca="false">IF($B62="","",--(AND(F62&lt;&gt;"",F62&lt;=8))+--(AND(G62&lt;&gt;"",G62&lt;=8))+--(AND(H62&lt;&gt;"",H62&lt;=8))+--(AND(I62&lt;&gt;"",I62&lt;=8))+--(AND(J62&lt;&gt;"",J62&lt;=8))+--(AND(K62&lt;&gt;"",K62&lt;=8))+--(AND(L62&lt;&gt;"",L62&lt;=8))+--(AND(M62&lt;&gt;"",M62&lt;=8))+--(AND(N62&lt;&gt;"",N62&lt;=8))+--(AND(O62&lt;&gt;"",O62&lt;=8)))</f>
        <v/>
      </c>
    </row>
    <row r="63" customFormat="false" ht="15" hidden="false" customHeight="false" outlineLevel="0" collapsed="false">
      <c r="AZ63" s="5" t="str">
        <f aca="false">IF($B63="","",SUMPRODUCT(($AL63:$AO63&lt;&gt;"")*(COUNTIF($AP63:$AX63,$AL63:$AO63)&gt;0)))</f>
        <v/>
      </c>
      <c r="BA63" s="5" t="str">
        <f aca="false">IF($B63="","",IF(AZ63&gt;0,1,0))</f>
        <v/>
      </c>
      <c r="BB63" s="5" t="str">
        <f aca="false">IF($AP63="","",IF((($AP63="Engineering and Technology")+($AP63="Science and Mathematics")+($AP63="Computer Science, IT and Allied Fields")+($AP63="Life Sciences /Medicine and Healthcare")+($AP63="Paramedical")+($AP63="Architecture")+($AP63="Environmental Service")+($AP63="Agriculture, Food Industry and Forestry"))&gt;0,"Science",IF((($AP63="Banking and Finance")+($AP63="Management and Administration")+($AP63="Marketing")+($AP63="Sales")+($AP63="Entrepreneurship")+($AP63="Hospitality and Tourism"))&gt;0,"Commerce",IF((($AP63="Social Sciences and Humanities")+($AP63="Law Studies")+($AP63="Education and Training")+($AP63="Art, Design")+($AP63="Entertainment and Mass Media")+($AP63="Community and Social Service")+($AP63="Personal Care and Services")+($AP63="Government and Public Administration")+($AP63="Defence/ Protective Service")+($AP63="Sports"))&gt;0,"Arts / Humanities",""))))</f>
        <v/>
      </c>
      <c r="BC63" s="5" t="str">
        <f aca="false">IF($AL63="","",IF((($AL63="Engineering and Technology")+($AL63="Science and Mathematics")+($AL63="Computer Science, IT and Allied Fields")+($AL63="Life Sciences /Medicine and Healthcare")+($AL63="Paramedical")+($AL63="Architecture")+($AL63="Environmental Service")+($AL63="Agriculture, Food Industry and Forestry"))&gt;0,"Science",IF((($AL63="Banking and Finance")+($AL63="Management and Administration")+($AL63="Marketing")+($AL63="Sales")+($AL63="Entrepreneurship")+($AL63="Hospitality and Tourism"))&gt;0,"Commerce",IF((($AL63="Social Sciences and Humanities")+($AL63="Law Studies")+($AL63="Education and Training")+($AL63="Art, Design")+($AL63="Entertainment and Mass Media")+($AL63="Community and Social Service")+($AL63="Personal Care and Services")+($AL63="Government and Public Administration")+($AL63="Defence/ Protective Service")+($AL63="Sports"))&gt;0,"Arts / Humanities",""))))</f>
        <v/>
      </c>
      <c r="BD63" s="5" t="str">
        <f aca="false">IF($B63="","",--(F63&gt;=10)+--(G63&gt;=10)+--(H63&gt;=10)+--(I63&gt;=10)+--(J63&gt;=10)+--(K63&gt;=10)+--(L63&gt;=10)+--(M63&gt;=10)+--(N63&gt;=10)+--(O63&gt;=10))</f>
        <v/>
      </c>
      <c r="BE63" s="5" t="str">
        <f aca="false">IF($B63="","",--(AND(F63&lt;&gt;"",F63&lt;=8))+--(AND(G63&lt;&gt;"",G63&lt;=8))+--(AND(H63&lt;&gt;"",H63&lt;=8))+--(AND(I63&lt;&gt;"",I63&lt;=8))+--(AND(J63&lt;&gt;"",J63&lt;=8))+--(AND(K63&lt;&gt;"",K63&lt;=8))+--(AND(L63&lt;&gt;"",L63&lt;=8))+--(AND(M63&lt;&gt;"",M63&lt;=8))+--(AND(N63&lt;&gt;"",N63&lt;=8))+--(AND(O63&lt;&gt;"",O63&lt;=8)))</f>
        <v/>
      </c>
    </row>
    <row r="64" customFormat="false" ht="15" hidden="false" customHeight="false" outlineLevel="0" collapsed="false">
      <c r="AZ64" s="5" t="str">
        <f aca="false">IF($B64="","",SUMPRODUCT(($AL64:$AO64&lt;&gt;"")*(COUNTIF($AP64:$AX64,$AL64:$AO64)&gt;0)))</f>
        <v/>
      </c>
      <c r="BA64" s="5" t="str">
        <f aca="false">IF($B64="","",IF(AZ64&gt;0,1,0))</f>
        <v/>
      </c>
      <c r="BB64" s="5" t="str">
        <f aca="false">IF($AP64="","",IF((($AP64="Engineering and Technology")+($AP64="Science and Mathematics")+($AP64="Computer Science, IT and Allied Fields")+($AP64="Life Sciences /Medicine and Healthcare")+($AP64="Paramedical")+($AP64="Architecture")+($AP64="Environmental Service")+($AP64="Agriculture, Food Industry and Forestry"))&gt;0,"Science",IF((($AP64="Banking and Finance")+($AP64="Management and Administration")+($AP64="Marketing")+($AP64="Sales")+($AP64="Entrepreneurship")+($AP64="Hospitality and Tourism"))&gt;0,"Commerce",IF((($AP64="Social Sciences and Humanities")+($AP64="Law Studies")+($AP64="Education and Training")+($AP64="Art, Design")+($AP64="Entertainment and Mass Media")+($AP64="Community and Social Service")+($AP64="Personal Care and Services")+($AP64="Government and Public Administration")+($AP64="Defence/ Protective Service")+($AP64="Sports"))&gt;0,"Arts / Humanities",""))))</f>
        <v/>
      </c>
      <c r="BC64" s="5" t="str">
        <f aca="false">IF($AL64="","",IF((($AL64="Engineering and Technology")+($AL64="Science and Mathematics")+($AL64="Computer Science, IT and Allied Fields")+($AL64="Life Sciences /Medicine and Healthcare")+($AL64="Paramedical")+($AL64="Architecture")+($AL64="Environmental Service")+($AL64="Agriculture, Food Industry and Forestry"))&gt;0,"Science",IF((($AL64="Banking and Finance")+($AL64="Management and Administration")+($AL64="Marketing")+($AL64="Sales")+($AL64="Entrepreneurship")+($AL64="Hospitality and Tourism"))&gt;0,"Commerce",IF((($AL64="Social Sciences and Humanities")+($AL64="Law Studies")+($AL64="Education and Training")+($AL64="Art, Design")+($AL64="Entertainment and Mass Media")+($AL64="Community and Social Service")+($AL64="Personal Care and Services")+($AL64="Government and Public Administration")+($AL64="Defence/ Protective Service")+($AL64="Sports"))&gt;0,"Arts / Humanities",""))))</f>
        <v/>
      </c>
      <c r="BD64" s="5" t="str">
        <f aca="false">IF($B64="","",--(F64&gt;=10)+--(G64&gt;=10)+--(H64&gt;=10)+--(I64&gt;=10)+--(J64&gt;=10)+--(K64&gt;=10)+--(L64&gt;=10)+--(M64&gt;=10)+--(N64&gt;=10)+--(O64&gt;=10))</f>
        <v/>
      </c>
      <c r="BE64" s="5" t="str">
        <f aca="false">IF($B64="","",--(AND(F64&lt;&gt;"",F64&lt;=8))+--(AND(G64&lt;&gt;"",G64&lt;=8))+--(AND(H64&lt;&gt;"",H64&lt;=8))+--(AND(I64&lt;&gt;"",I64&lt;=8))+--(AND(J64&lt;&gt;"",J64&lt;=8))+--(AND(K64&lt;&gt;"",K64&lt;=8))+--(AND(L64&lt;&gt;"",L64&lt;=8))+--(AND(M64&lt;&gt;"",M64&lt;=8))+--(AND(N64&lt;&gt;"",N64&lt;=8))+--(AND(O64&lt;&gt;"",O64&lt;=8)))</f>
        <v/>
      </c>
    </row>
    <row r="65" customFormat="false" ht="15" hidden="false" customHeight="false" outlineLevel="0" collapsed="false">
      <c r="AZ65" s="5" t="str">
        <f aca="false">IF($B65="","",SUMPRODUCT(($AL65:$AO65&lt;&gt;"")*(COUNTIF($AP65:$AX65,$AL65:$AO65)&gt;0)))</f>
        <v/>
      </c>
      <c r="BA65" s="5" t="str">
        <f aca="false">IF($B65="","",IF(AZ65&gt;0,1,0))</f>
        <v/>
      </c>
      <c r="BB65" s="5" t="str">
        <f aca="false">IF($AP65="","",IF((($AP65="Engineering and Technology")+($AP65="Science and Mathematics")+($AP65="Computer Science, IT and Allied Fields")+($AP65="Life Sciences /Medicine and Healthcare")+($AP65="Paramedical")+($AP65="Architecture")+($AP65="Environmental Service")+($AP65="Agriculture, Food Industry and Forestry"))&gt;0,"Science",IF((($AP65="Banking and Finance")+($AP65="Management and Administration")+($AP65="Marketing")+($AP65="Sales")+($AP65="Entrepreneurship")+($AP65="Hospitality and Tourism"))&gt;0,"Commerce",IF((($AP65="Social Sciences and Humanities")+($AP65="Law Studies")+($AP65="Education and Training")+($AP65="Art, Design")+($AP65="Entertainment and Mass Media")+($AP65="Community and Social Service")+($AP65="Personal Care and Services")+($AP65="Government and Public Administration")+($AP65="Defence/ Protective Service")+($AP65="Sports"))&gt;0,"Arts / Humanities",""))))</f>
        <v/>
      </c>
      <c r="BC65" s="5" t="str">
        <f aca="false">IF($AL65="","",IF((($AL65="Engineering and Technology")+($AL65="Science and Mathematics")+($AL65="Computer Science, IT and Allied Fields")+($AL65="Life Sciences /Medicine and Healthcare")+($AL65="Paramedical")+($AL65="Architecture")+($AL65="Environmental Service")+($AL65="Agriculture, Food Industry and Forestry"))&gt;0,"Science",IF((($AL65="Banking and Finance")+($AL65="Management and Administration")+($AL65="Marketing")+($AL65="Sales")+($AL65="Entrepreneurship")+($AL65="Hospitality and Tourism"))&gt;0,"Commerce",IF((($AL65="Social Sciences and Humanities")+($AL65="Law Studies")+($AL65="Education and Training")+($AL65="Art, Design")+($AL65="Entertainment and Mass Media")+($AL65="Community and Social Service")+($AL65="Personal Care and Services")+($AL65="Government and Public Administration")+($AL65="Defence/ Protective Service")+($AL65="Sports"))&gt;0,"Arts / Humanities",""))))</f>
        <v/>
      </c>
      <c r="BD65" s="5" t="str">
        <f aca="false">IF($B65="","",--(F65&gt;=10)+--(G65&gt;=10)+--(H65&gt;=10)+--(I65&gt;=10)+--(J65&gt;=10)+--(K65&gt;=10)+--(L65&gt;=10)+--(M65&gt;=10)+--(N65&gt;=10)+--(O65&gt;=10))</f>
        <v/>
      </c>
      <c r="BE65" s="5" t="str">
        <f aca="false">IF($B65="","",--(AND(F65&lt;&gt;"",F65&lt;=8))+--(AND(G65&lt;&gt;"",G65&lt;=8))+--(AND(H65&lt;&gt;"",H65&lt;=8))+--(AND(I65&lt;&gt;"",I65&lt;=8))+--(AND(J65&lt;&gt;"",J65&lt;=8))+--(AND(K65&lt;&gt;"",K65&lt;=8))+--(AND(L65&lt;&gt;"",L65&lt;=8))+--(AND(M65&lt;&gt;"",M65&lt;=8))+--(AND(N65&lt;&gt;"",N65&lt;=8))+--(AND(O65&lt;&gt;"",O65&lt;=8)))</f>
        <v/>
      </c>
    </row>
    <row r="66" customFormat="false" ht="15" hidden="false" customHeight="false" outlineLevel="0" collapsed="false">
      <c r="AZ66" s="5" t="str">
        <f aca="false">IF($B66="","",SUMPRODUCT(($AL66:$AO66&lt;&gt;"")*(COUNTIF($AP66:$AX66,$AL66:$AO66)&gt;0)))</f>
        <v/>
      </c>
      <c r="BA66" s="5" t="str">
        <f aca="false">IF($B66="","",IF(AZ66&gt;0,1,0))</f>
        <v/>
      </c>
      <c r="BB66" s="5" t="str">
        <f aca="false">IF($AP66="","",IF((($AP66="Engineering and Technology")+($AP66="Science and Mathematics")+($AP66="Computer Science, IT and Allied Fields")+($AP66="Life Sciences /Medicine and Healthcare")+($AP66="Paramedical")+($AP66="Architecture")+($AP66="Environmental Service")+($AP66="Agriculture, Food Industry and Forestry"))&gt;0,"Science",IF((($AP66="Banking and Finance")+($AP66="Management and Administration")+($AP66="Marketing")+($AP66="Sales")+($AP66="Entrepreneurship")+($AP66="Hospitality and Tourism"))&gt;0,"Commerce",IF((($AP66="Social Sciences and Humanities")+($AP66="Law Studies")+($AP66="Education and Training")+($AP66="Art, Design")+($AP66="Entertainment and Mass Media")+($AP66="Community and Social Service")+($AP66="Personal Care and Services")+($AP66="Government and Public Administration")+($AP66="Defence/ Protective Service")+($AP66="Sports"))&gt;0,"Arts / Humanities",""))))</f>
        <v/>
      </c>
      <c r="BC66" s="5" t="str">
        <f aca="false">IF($AL66="","",IF((($AL66="Engineering and Technology")+($AL66="Science and Mathematics")+($AL66="Computer Science, IT and Allied Fields")+($AL66="Life Sciences /Medicine and Healthcare")+($AL66="Paramedical")+($AL66="Architecture")+($AL66="Environmental Service")+($AL66="Agriculture, Food Industry and Forestry"))&gt;0,"Science",IF((($AL66="Banking and Finance")+($AL66="Management and Administration")+($AL66="Marketing")+($AL66="Sales")+($AL66="Entrepreneurship")+($AL66="Hospitality and Tourism"))&gt;0,"Commerce",IF((($AL66="Social Sciences and Humanities")+($AL66="Law Studies")+($AL66="Education and Training")+($AL66="Art, Design")+($AL66="Entertainment and Mass Media")+($AL66="Community and Social Service")+($AL66="Personal Care and Services")+($AL66="Government and Public Administration")+($AL66="Defence/ Protective Service")+($AL66="Sports"))&gt;0,"Arts / Humanities",""))))</f>
        <v/>
      </c>
      <c r="BD66" s="5" t="str">
        <f aca="false">IF($B66="","",--(F66&gt;=10)+--(G66&gt;=10)+--(H66&gt;=10)+--(I66&gt;=10)+--(J66&gt;=10)+--(K66&gt;=10)+--(L66&gt;=10)+--(M66&gt;=10)+--(N66&gt;=10)+--(O66&gt;=10))</f>
        <v/>
      </c>
      <c r="BE66" s="5" t="str">
        <f aca="false">IF($B66="","",--(AND(F66&lt;&gt;"",F66&lt;=8))+--(AND(G66&lt;&gt;"",G66&lt;=8))+--(AND(H66&lt;&gt;"",H66&lt;=8))+--(AND(I66&lt;&gt;"",I66&lt;=8))+--(AND(J66&lt;&gt;"",J66&lt;=8))+--(AND(K66&lt;&gt;"",K66&lt;=8))+--(AND(L66&lt;&gt;"",L66&lt;=8))+--(AND(M66&lt;&gt;"",M66&lt;=8))+--(AND(N66&lt;&gt;"",N66&lt;=8))+--(AND(O66&lt;&gt;"",O66&lt;=8)))</f>
        <v/>
      </c>
    </row>
    <row r="67" customFormat="false" ht="15" hidden="false" customHeight="false" outlineLevel="0" collapsed="false">
      <c r="AZ67" s="5" t="str">
        <f aca="false">IF($B67="","",SUMPRODUCT(($AL67:$AO67&lt;&gt;"")*(COUNTIF($AP67:$AX67,$AL67:$AO67)&gt;0)))</f>
        <v/>
      </c>
      <c r="BA67" s="5" t="str">
        <f aca="false">IF($B67="","",IF(AZ67&gt;0,1,0))</f>
        <v/>
      </c>
      <c r="BB67" s="5" t="str">
        <f aca="false">IF($AP67="","",IF((($AP67="Engineering and Technology")+($AP67="Science and Mathematics")+($AP67="Computer Science, IT and Allied Fields")+($AP67="Life Sciences /Medicine and Healthcare")+($AP67="Paramedical")+($AP67="Architecture")+($AP67="Environmental Service")+($AP67="Agriculture, Food Industry and Forestry"))&gt;0,"Science",IF((($AP67="Banking and Finance")+($AP67="Management and Administration")+($AP67="Marketing")+($AP67="Sales")+($AP67="Entrepreneurship")+($AP67="Hospitality and Tourism"))&gt;0,"Commerce",IF((($AP67="Social Sciences and Humanities")+($AP67="Law Studies")+($AP67="Education and Training")+($AP67="Art, Design")+($AP67="Entertainment and Mass Media")+($AP67="Community and Social Service")+($AP67="Personal Care and Services")+($AP67="Government and Public Administration")+($AP67="Defence/ Protective Service")+($AP67="Sports"))&gt;0,"Arts / Humanities",""))))</f>
        <v/>
      </c>
      <c r="BC67" s="5" t="str">
        <f aca="false">IF($AL67="","",IF((($AL67="Engineering and Technology")+($AL67="Science and Mathematics")+($AL67="Computer Science, IT and Allied Fields")+($AL67="Life Sciences /Medicine and Healthcare")+($AL67="Paramedical")+($AL67="Architecture")+($AL67="Environmental Service")+($AL67="Agriculture, Food Industry and Forestry"))&gt;0,"Science",IF((($AL67="Banking and Finance")+($AL67="Management and Administration")+($AL67="Marketing")+($AL67="Sales")+($AL67="Entrepreneurship")+($AL67="Hospitality and Tourism"))&gt;0,"Commerce",IF((($AL67="Social Sciences and Humanities")+($AL67="Law Studies")+($AL67="Education and Training")+($AL67="Art, Design")+($AL67="Entertainment and Mass Media")+($AL67="Community and Social Service")+($AL67="Personal Care and Services")+($AL67="Government and Public Administration")+($AL67="Defence/ Protective Service")+($AL67="Sports"))&gt;0,"Arts / Humanities",""))))</f>
        <v/>
      </c>
      <c r="BD67" s="5" t="str">
        <f aca="false">IF($B67="","",--(F67&gt;=10)+--(G67&gt;=10)+--(H67&gt;=10)+--(I67&gt;=10)+--(J67&gt;=10)+--(K67&gt;=10)+--(L67&gt;=10)+--(M67&gt;=10)+--(N67&gt;=10)+--(O67&gt;=10))</f>
        <v/>
      </c>
      <c r="BE67" s="5" t="str">
        <f aca="false">IF($B67="","",--(AND(F67&lt;&gt;"",F67&lt;=8))+--(AND(G67&lt;&gt;"",G67&lt;=8))+--(AND(H67&lt;&gt;"",H67&lt;=8))+--(AND(I67&lt;&gt;"",I67&lt;=8))+--(AND(J67&lt;&gt;"",J67&lt;=8))+--(AND(K67&lt;&gt;"",K67&lt;=8))+--(AND(L67&lt;&gt;"",L67&lt;=8))+--(AND(M67&lt;&gt;"",M67&lt;=8))+--(AND(N67&lt;&gt;"",N67&lt;=8))+--(AND(O67&lt;&gt;"",O67&lt;=8)))</f>
        <v/>
      </c>
    </row>
    <row r="68" customFormat="false" ht="15" hidden="false" customHeight="false" outlineLevel="0" collapsed="false">
      <c r="AZ68" s="5" t="str">
        <f aca="false">IF($B68="","",SUMPRODUCT(($AL68:$AO68&lt;&gt;"")*(COUNTIF($AP68:$AX68,$AL68:$AO68)&gt;0)))</f>
        <v/>
      </c>
      <c r="BA68" s="5" t="str">
        <f aca="false">IF($B68="","",IF(AZ68&gt;0,1,0))</f>
        <v/>
      </c>
      <c r="BB68" s="5" t="str">
        <f aca="false">IF($AP68="","",IF((($AP68="Engineering and Technology")+($AP68="Science and Mathematics")+($AP68="Computer Science, IT and Allied Fields")+($AP68="Life Sciences /Medicine and Healthcare")+($AP68="Paramedical")+($AP68="Architecture")+($AP68="Environmental Service")+($AP68="Agriculture, Food Industry and Forestry"))&gt;0,"Science",IF((($AP68="Banking and Finance")+($AP68="Management and Administration")+($AP68="Marketing")+($AP68="Sales")+($AP68="Entrepreneurship")+($AP68="Hospitality and Tourism"))&gt;0,"Commerce",IF((($AP68="Social Sciences and Humanities")+($AP68="Law Studies")+($AP68="Education and Training")+($AP68="Art, Design")+($AP68="Entertainment and Mass Media")+($AP68="Community and Social Service")+($AP68="Personal Care and Services")+($AP68="Government and Public Administration")+($AP68="Defence/ Protective Service")+($AP68="Sports"))&gt;0,"Arts / Humanities",""))))</f>
        <v/>
      </c>
      <c r="BC68" s="5" t="str">
        <f aca="false">IF($AL68="","",IF((($AL68="Engineering and Technology")+($AL68="Science and Mathematics")+($AL68="Computer Science, IT and Allied Fields")+($AL68="Life Sciences /Medicine and Healthcare")+($AL68="Paramedical")+($AL68="Architecture")+($AL68="Environmental Service")+($AL68="Agriculture, Food Industry and Forestry"))&gt;0,"Science",IF((($AL68="Banking and Finance")+($AL68="Management and Administration")+($AL68="Marketing")+($AL68="Sales")+($AL68="Entrepreneurship")+($AL68="Hospitality and Tourism"))&gt;0,"Commerce",IF((($AL68="Social Sciences and Humanities")+($AL68="Law Studies")+($AL68="Education and Training")+($AL68="Art, Design")+($AL68="Entertainment and Mass Media")+($AL68="Community and Social Service")+($AL68="Personal Care and Services")+($AL68="Government and Public Administration")+($AL68="Defence/ Protective Service")+($AL68="Sports"))&gt;0,"Arts / Humanities",""))))</f>
        <v/>
      </c>
      <c r="BD68" s="5" t="str">
        <f aca="false">IF($B68="","",--(F68&gt;=10)+--(G68&gt;=10)+--(H68&gt;=10)+--(I68&gt;=10)+--(J68&gt;=10)+--(K68&gt;=10)+--(L68&gt;=10)+--(M68&gt;=10)+--(N68&gt;=10)+--(O68&gt;=10))</f>
        <v/>
      </c>
      <c r="BE68" s="5" t="str">
        <f aca="false">IF($B68="","",--(AND(F68&lt;&gt;"",F68&lt;=8))+--(AND(G68&lt;&gt;"",G68&lt;=8))+--(AND(H68&lt;&gt;"",H68&lt;=8))+--(AND(I68&lt;&gt;"",I68&lt;=8))+--(AND(J68&lt;&gt;"",J68&lt;=8))+--(AND(K68&lt;&gt;"",K68&lt;=8))+--(AND(L68&lt;&gt;"",L68&lt;=8))+--(AND(M68&lt;&gt;"",M68&lt;=8))+--(AND(N68&lt;&gt;"",N68&lt;=8))+--(AND(O68&lt;&gt;"",O68&lt;=8)))</f>
        <v/>
      </c>
    </row>
    <row r="69" customFormat="false" ht="15" hidden="false" customHeight="false" outlineLevel="0" collapsed="false">
      <c r="AZ69" s="5" t="str">
        <f aca="false">IF($B69="","",SUMPRODUCT(($AL69:$AO69&lt;&gt;"")*(COUNTIF($AP69:$AX69,$AL69:$AO69)&gt;0)))</f>
        <v/>
      </c>
      <c r="BA69" s="5" t="str">
        <f aca="false">IF($B69="","",IF(AZ69&gt;0,1,0))</f>
        <v/>
      </c>
      <c r="BB69" s="5" t="str">
        <f aca="false">IF($AP69="","",IF((($AP69="Engineering and Technology")+($AP69="Science and Mathematics")+($AP69="Computer Science, IT and Allied Fields")+($AP69="Life Sciences /Medicine and Healthcare")+($AP69="Paramedical")+($AP69="Architecture")+($AP69="Environmental Service")+($AP69="Agriculture, Food Industry and Forestry"))&gt;0,"Science",IF((($AP69="Banking and Finance")+($AP69="Management and Administration")+($AP69="Marketing")+($AP69="Sales")+($AP69="Entrepreneurship")+($AP69="Hospitality and Tourism"))&gt;0,"Commerce",IF((($AP69="Social Sciences and Humanities")+($AP69="Law Studies")+($AP69="Education and Training")+($AP69="Art, Design")+($AP69="Entertainment and Mass Media")+($AP69="Community and Social Service")+($AP69="Personal Care and Services")+($AP69="Government and Public Administration")+($AP69="Defence/ Protective Service")+($AP69="Sports"))&gt;0,"Arts / Humanities",""))))</f>
        <v/>
      </c>
      <c r="BC69" s="5" t="str">
        <f aca="false">IF($AL69="","",IF((($AL69="Engineering and Technology")+($AL69="Science and Mathematics")+($AL69="Computer Science, IT and Allied Fields")+($AL69="Life Sciences /Medicine and Healthcare")+($AL69="Paramedical")+($AL69="Architecture")+($AL69="Environmental Service")+($AL69="Agriculture, Food Industry and Forestry"))&gt;0,"Science",IF((($AL69="Banking and Finance")+($AL69="Management and Administration")+($AL69="Marketing")+($AL69="Sales")+($AL69="Entrepreneurship")+($AL69="Hospitality and Tourism"))&gt;0,"Commerce",IF((($AL69="Social Sciences and Humanities")+($AL69="Law Studies")+($AL69="Education and Training")+($AL69="Art, Design")+($AL69="Entertainment and Mass Media")+($AL69="Community and Social Service")+($AL69="Personal Care and Services")+($AL69="Government and Public Administration")+($AL69="Defence/ Protective Service")+($AL69="Sports"))&gt;0,"Arts / Humanities",""))))</f>
        <v/>
      </c>
      <c r="BD69" s="5" t="str">
        <f aca="false">IF($B69="","",--(F69&gt;=10)+--(G69&gt;=10)+--(H69&gt;=10)+--(I69&gt;=10)+--(J69&gt;=10)+--(K69&gt;=10)+--(L69&gt;=10)+--(M69&gt;=10)+--(N69&gt;=10)+--(O69&gt;=10))</f>
        <v/>
      </c>
      <c r="BE69" s="5" t="str">
        <f aca="false">IF($B69="","",--(AND(F69&lt;&gt;"",F69&lt;=8))+--(AND(G69&lt;&gt;"",G69&lt;=8))+--(AND(H69&lt;&gt;"",H69&lt;=8))+--(AND(I69&lt;&gt;"",I69&lt;=8))+--(AND(J69&lt;&gt;"",J69&lt;=8))+--(AND(K69&lt;&gt;"",K69&lt;=8))+--(AND(L69&lt;&gt;"",L69&lt;=8))+--(AND(M69&lt;&gt;"",M69&lt;=8))+--(AND(N69&lt;&gt;"",N69&lt;=8))+--(AND(O69&lt;&gt;"",O69&lt;=8)))</f>
        <v/>
      </c>
    </row>
    <row r="70" customFormat="false" ht="15" hidden="false" customHeight="false" outlineLevel="0" collapsed="false">
      <c r="AZ70" s="5" t="str">
        <f aca="false">IF($B70="","",SUMPRODUCT(($AL70:$AO70&lt;&gt;"")*(COUNTIF($AP70:$AX70,$AL70:$AO70)&gt;0)))</f>
        <v/>
      </c>
      <c r="BA70" s="5" t="str">
        <f aca="false">IF($B70="","",IF(AZ70&gt;0,1,0))</f>
        <v/>
      </c>
      <c r="BB70" s="5" t="str">
        <f aca="false">IF($AP70="","",IF((($AP70="Engineering and Technology")+($AP70="Science and Mathematics")+($AP70="Computer Science, IT and Allied Fields")+($AP70="Life Sciences /Medicine and Healthcare")+($AP70="Paramedical")+($AP70="Architecture")+($AP70="Environmental Service")+($AP70="Agriculture, Food Industry and Forestry"))&gt;0,"Science",IF((($AP70="Banking and Finance")+($AP70="Management and Administration")+($AP70="Marketing")+($AP70="Sales")+($AP70="Entrepreneurship")+($AP70="Hospitality and Tourism"))&gt;0,"Commerce",IF((($AP70="Social Sciences and Humanities")+($AP70="Law Studies")+($AP70="Education and Training")+($AP70="Art, Design")+($AP70="Entertainment and Mass Media")+($AP70="Community and Social Service")+($AP70="Personal Care and Services")+($AP70="Government and Public Administration")+($AP70="Defence/ Protective Service")+($AP70="Sports"))&gt;0,"Arts / Humanities",""))))</f>
        <v/>
      </c>
      <c r="BC70" s="5" t="str">
        <f aca="false">IF($AL70="","",IF((($AL70="Engineering and Technology")+($AL70="Science and Mathematics")+($AL70="Computer Science, IT and Allied Fields")+($AL70="Life Sciences /Medicine and Healthcare")+($AL70="Paramedical")+($AL70="Architecture")+($AL70="Environmental Service")+($AL70="Agriculture, Food Industry and Forestry"))&gt;0,"Science",IF((($AL70="Banking and Finance")+($AL70="Management and Administration")+($AL70="Marketing")+($AL70="Sales")+($AL70="Entrepreneurship")+($AL70="Hospitality and Tourism"))&gt;0,"Commerce",IF((($AL70="Social Sciences and Humanities")+($AL70="Law Studies")+($AL70="Education and Training")+($AL70="Art, Design")+($AL70="Entertainment and Mass Media")+($AL70="Community and Social Service")+($AL70="Personal Care and Services")+($AL70="Government and Public Administration")+($AL70="Defence/ Protective Service")+($AL70="Sports"))&gt;0,"Arts / Humanities",""))))</f>
        <v/>
      </c>
      <c r="BD70" s="5" t="str">
        <f aca="false">IF($B70="","",--(F70&gt;=10)+--(G70&gt;=10)+--(H70&gt;=10)+--(I70&gt;=10)+--(J70&gt;=10)+--(K70&gt;=10)+--(L70&gt;=10)+--(M70&gt;=10)+--(N70&gt;=10)+--(O70&gt;=10))</f>
        <v/>
      </c>
      <c r="BE70" s="5" t="str">
        <f aca="false">IF($B70="","",--(AND(F70&lt;&gt;"",F70&lt;=8))+--(AND(G70&lt;&gt;"",G70&lt;=8))+--(AND(H70&lt;&gt;"",H70&lt;=8))+--(AND(I70&lt;&gt;"",I70&lt;=8))+--(AND(J70&lt;&gt;"",J70&lt;=8))+--(AND(K70&lt;&gt;"",K70&lt;=8))+--(AND(L70&lt;&gt;"",L70&lt;=8))+--(AND(M70&lt;&gt;"",M70&lt;=8))+--(AND(N70&lt;&gt;"",N70&lt;=8))+--(AND(O70&lt;&gt;"",O70&lt;=8)))</f>
        <v/>
      </c>
    </row>
    <row r="71" customFormat="false" ht="15" hidden="false" customHeight="false" outlineLevel="0" collapsed="false">
      <c r="AZ71" s="5" t="str">
        <f aca="false">IF($B71="","",SUMPRODUCT(($AL71:$AO71&lt;&gt;"")*(COUNTIF($AP71:$AX71,$AL71:$AO71)&gt;0)))</f>
        <v/>
      </c>
      <c r="BA71" s="5" t="str">
        <f aca="false">IF($B71="","",IF(AZ71&gt;0,1,0))</f>
        <v/>
      </c>
      <c r="BB71" s="5" t="str">
        <f aca="false">IF($AP71="","",IF((($AP71="Engineering and Technology")+($AP71="Science and Mathematics")+($AP71="Computer Science, IT and Allied Fields")+($AP71="Life Sciences /Medicine and Healthcare")+($AP71="Paramedical")+($AP71="Architecture")+($AP71="Environmental Service")+($AP71="Agriculture, Food Industry and Forestry"))&gt;0,"Science",IF((($AP71="Banking and Finance")+($AP71="Management and Administration")+($AP71="Marketing")+($AP71="Sales")+($AP71="Entrepreneurship")+($AP71="Hospitality and Tourism"))&gt;0,"Commerce",IF((($AP71="Social Sciences and Humanities")+($AP71="Law Studies")+($AP71="Education and Training")+($AP71="Art, Design")+($AP71="Entertainment and Mass Media")+($AP71="Community and Social Service")+($AP71="Personal Care and Services")+($AP71="Government and Public Administration")+($AP71="Defence/ Protective Service")+($AP71="Sports"))&gt;0,"Arts / Humanities",""))))</f>
        <v/>
      </c>
      <c r="BC71" s="5" t="str">
        <f aca="false">IF($AL71="","",IF((($AL71="Engineering and Technology")+($AL71="Science and Mathematics")+($AL71="Computer Science, IT and Allied Fields")+($AL71="Life Sciences /Medicine and Healthcare")+($AL71="Paramedical")+($AL71="Architecture")+($AL71="Environmental Service")+($AL71="Agriculture, Food Industry and Forestry"))&gt;0,"Science",IF((($AL71="Banking and Finance")+($AL71="Management and Administration")+($AL71="Marketing")+($AL71="Sales")+($AL71="Entrepreneurship")+($AL71="Hospitality and Tourism"))&gt;0,"Commerce",IF((($AL71="Social Sciences and Humanities")+($AL71="Law Studies")+($AL71="Education and Training")+($AL71="Art, Design")+($AL71="Entertainment and Mass Media")+($AL71="Community and Social Service")+($AL71="Personal Care and Services")+($AL71="Government and Public Administration")+($AL71="Defence/ Protective Service")+($AL71="Sports"))&gt;0,"Arts / Humanities",""))))</f>
        <v/>
      </c>
      <c r="BD71" s="5" t="str">
        <f aca="false">IF($B71="","",--(F71&gt;=10)+--(G71&gt;=10)+--(H71&gt;=10)+--(I71&gt;=10)+--(J71&gt;=10)+--(K71&gt;=10)+--(L71&gt;=10)+--(M71&gt;=10)+--(N71&gt;=10)+--(O71&gt;=10))</f>
        <v/>
      </c>
      <c r="BE71" s="5" t="str">
        <f aca="false">IF($B71="","",--(AND(F71&lt;&gt;"",F71&lt;=8))+--(AND(G71&lt;&gt;"",G71&lt;=8))+--(AND(H71&lt;&gt;"",H71&lt;=8))+--(AND(I71&lt;&gt;"",I71&lt;=8))+--(AND(J71&lt;&gt;"",J71&lt;=8))+--(AND(K71&lt;&gt;"",K71&lt;=8))+--(AND(L71&lt;&gt;"",L71&lt;=8))+--(AND(M71&lt;&gt;"",M71&lt;=8))+--(AND(N71&lt;&gt;"",N71&lt;=8))+--(AND(O71&lt;&gt;"",O71&lt;=8)))</f>
        <v/>
      </c>
    </row>
    <row r="72" customFormat="false" ht="15" hidden="false" customHeight="false" outlineLevel="0" collapsed="false">
      <c r="AZ72" s="5" t="str">
        <f aca="false">IF($B72="","",SUMPRODUCT(($AL72:$AO72&lt;&gt;"")*(COUNTIF($AP72:$AX72,$AL72:$AO72)&gt;0)))</f>
        <v/>
      </c>
      <c r="BA72" s="5" t="str">
        <f aca="false">IF($B72="","",IF(AZ72&gt;0,1,0))</f>
        <v/>
      </c>
      <c r="BB72" s="5" t="str">
        <f aca="false">IF($AP72="","",IF((($AP72="Engineering and Technology")+($AP72="Science and Mathematics")+($AP72="Computer Science, IT and Allied Fields")+($AP72="Life Sciences /Medicine and Healthcare")+($AP72="Paramedical")+($AP72="Architecture")+($AP72="Environmental Service")+($AP72="Agriculture, Food Industry and Forestry"))&gt;0,"Science",IF((($AP72="Banking and Finance")+($AP72="Management and Administration")+($AP72="Marketing")+($AP72="Sales")+($AP72="Entrepreneurship")+($AP72="Hospitality and Tourism"))&gt;0,"Commerce",IF((($AP72="Social Sciences and Humanities")+($AP72="Law Studies")+($AP72="Education and Training")+($AP72="Art, Design")+($AP72="Entertainment and Mass Media")+($AP72="Community and Social Service")+($AP72="Personal Care and Services")+($AP72="Government and Public Administration")+($AP72="Defence/ Protective Service")+($AP72="Sports"))&gt;0,"Arts / Humanities",""))))</f>
        <v/>
      </c>
      <c r="BC72" s="5" t="str">
        <f aca="false">IF($AL72="","",IF((($AL72="Engineering and Technology")+($AL72="Science and Mathematics")+($AL72="Computer Science, IT and Allied Fields")+($AL72="Life Sciences /Medicine and Healthcare")+($AL72="Paramedical")+($AL72="Architecture")+($AL72="Environmental Service")+($AL72="Agriculture, Food Industry and Forestry"))&gt;0,"Science",IF((($AL72="Banking and Finance")+($AL72="Management and Administration")+($AL72="Marketing")+($AL72="Sales")+($AL72="Entrepreneurship")+($AL72="Hospitality and Tourism"))&gt;0,"Commerce",IF((($AL72="Social Sciences and Humanities")+($AL72="Law Studies")+($AL72="Education and Training")+($AL72="Art, Design")+($AL72="Entertainment and Mass Media")+($AL72="Community and Social Service")+($AL72="Personal Care and Services")+($AL72="Government and Public Administration")+($AL72="Defence/ Protective Service")+($AL72="Sports"))&gt;0,"Arts / Humanities",""))))</f>
        <v/>
      </c>
      <c r="BD72" s="5" t="str">
        <f aca="false">IF($B72="","",--(F72&gt;=10)+--(G72&gt;=10)+--(H72&gt;=10)+--(I72&gt;=10)+--(J72&gt;=10)+--(K72&gt;=10)+--(L72&gt;=10)+--(M72&gt;=10)+--(N72&gt;=10)+--(O72&gt;=10))</f>
        <v/>
      </c>
      <c r="BE72" s="5" t="str">
        <f aca="false">IF($B72="","",--(AND(F72&lt;&gt;"",F72&lt;=8))+--(AND(G72&lt;&gt;"",G72&lt;=8))+--(AND(H72&lt;&gt;"",H72&lt;=8))+--(AND(I72&lt;&gt;"",I72&lt;=8))+--(AND(J72&lt;&gt;"",J72&lt;=8))+--(AND(K72&lt;&gt;"",K72&lt;=8))+--(AND(L72&lt;&gt;"",L72&lt;=8))+--(AND(M72&lt;&gt;"",M72&lt;=8))+--(AND(N72&lt;&gt;"",N72&lt;=8))+--(AND(O72&lt;&gt;"",O72&lt;=8)))</f>
        <v/>
      </c>
    </row>
    <row r="73" customFormat="false" ht="15" hidden="false" customHeight="false" outlineLevel="0" collapsed="false">
      <c r="AZ73" s="5" t="str">
        <f aca="false">IF($B73="","",SUMPRODUCT(($AL73:$AO73&lt;&gt;"")*(COUNTIF($AP73:$AX73,$AL73:$AO73)&gt;0)))</f>
        <v/>
      </c>
      <c r="BA73" s="5" t="str">
        <f aca="false">IF($B73="","",IF(AZ73&gt;0,1,0))</f>
        <v/>
      </c>
      <c r="BB73" s="5" t="str">
        <f aca="false">IF($AP73="","",IF((($AP73="Engineering and Technology")+($AP73="Science and Mathematics")+($AP73="Computer Science, IT and Allied Fields")+($AP73="Life Sciences /Medicine and Healthcare")+($AP73="Paramedical")+($AP73="Architecture")+($AP73="Environmental Service")+($AP73="Agriculture, Food Industry and Forestry"))&gt;0,"Science",IF((($AP73="Banking and Finance")+($AP73="Management and Administration")+($AP73="Marketing")+($AP73="Sales")+($AP73="Entrepreneurship")+($AP73="Hospitality and Tourism"))&gt;0,"Commerce",IF((($AP73="Social Sciences and Humanities")+($AP73="Law Studies")+($AP73="Education and Training")+($AP73="Art, Design")+($AP73="Entertainment and Mass Media")+($AP73="Community and Social Service")+($AP73="Personal Care and Services")+($AP73="Government and Public Administration")+($AP73="Defence/ Protective Service")+($AP73="Sports"))&gt;0,"Arts / Humanities",""))))</f>
        <v/>
      </c>
      <c r="BC73" s="5" t="str">
        <f aca="false">IF($AL73="","",IF((($AL73="Engineering and Technology")+($AL73="Science and Mathematics")+($AL73="Computer Science, IT and Allied Fields")+($AL73="Life Sciences /Medicine and Healthcare")+($AL73="Paramedical")+($AL73="Architecture")+($AL73="Environmental Service")+($AL73="Agriculture, Food Industry and Forestry"))&gt;0,"Science",IF((($AL73="Banking and Finance")+($AL73="Management and Administration")+($AL73="Marketing")+($AL73="Sales")+($AL73="Entrepreneurship")+($AL73="Hospitality and Tourism"))&gt;0,"Commerce",IF((($AL73="Social Sciences and Humanities")+($AL73="Law Studies")+($AL73="Education and Training")+($AL73="Art, Design")+($AL73="Entertainment and Mass Media")+($AL73="Community and Social Service")+($AL73="Personal Care and Services")+($AL73="Government and Public Administration")+($AL73="Defence/ Protective Service")+($AL73="Sports"))&gt;0,"Arts / Humanities",""))))</f>
        <v/>
      </c>
      <c r="BD73" s="5" t="str">
        <f aca="false">IF($B73="","",--(F73&gt;=10)+--(G73&gt;=10)+--(H73&gt;=10)+--(I73&gt;=10)+--(J73&gt;=10)+--(K73&gt;=10)+--(L73&gt;=10)+--(M73&gt;=10)+--(N73&gt;=10)+--(O73&gt;=10))</f>
        <v/>
      </c>
      <c r="BE73" s="5" t="str">
        <f aca="false">IF($B73="","",--(AND(F73&lt;&gt;"",F73&lt;=8))+--(AND(G73&lt;&gt;"",G73&lt;=8))+--(AND(H73&lt;&gt;"",H73&lt;=8))+--(AND(I73&lt;&gt;"",I73&lt;=8))+--(AND(J73&lt;&gt;"",J73&lt;=8))+--(AND(K73&lt;&gt;"",K73&lt;=8))+--(AND(L73&lt;&gt;"",L73&lt;=8))+--(AND(M73&lt;&gt;"",M73&lt;=8))+--(AND(N73&lt;&gt;"",N73&lt;=8))+--(AND(O73&lt;&gt;"",O73&lt;=8)))</f>
        <v/>
      </c>
    </row>
    <row r="74" customFormat="false" ht="15" hidden="false" customHeight="false" outlineLevel="0" collapsed="false">
      <c r="AZ74" s="5" t="str">
        <f aca="false">IF($B74="","",SUMPRODUCT(($AL74:$AO74&lt;&gt;"")*(COUNTIF($AP74:$AX74,$AL74:$AO74)&gt;0)))</f>
        <v/>
      </c>
      <c r="BA74" s="5" t="str">
        <f aca="false">IF($B74="","",IF(AZ74&gt;0,1,0))</f>
        <v/>
      </c>
      <c r="BB74" s="5" t="str">
        <f aca="false">IF($AP74="","",IF((($AP74="Engineering and Technology")+($AP74="Science and Mathematics")+($AP74="Computer Science, IT and Allied Fields")+($AP74="Life Sciences /Medicine and Healthcare")+($AP74="Paramedical")+($AP74="Architecture")+($AP74="Environmental Service")+($AP74="Agriculture, Food Industry and Forestry"))&gt;0,"Science",IF((($AP74="Banking and Finance")+($AP74="Management and Administration")+($AP74="Marketing")+($AP74="Sales")+($AP74="Entrepreneurship")+($AP74="Hospitality and Tourism"))&gt;0,"Commerce",IF((($AP74="Social Sciences and Humanities")+($AP74="Law Studies")+($AP74="Education and Training")+($AP74="Art, Design")+($AP74="Entertainment and Mass Media")+($AP74="Community and Social Service")+($AP74="Personal Care and Services")+($AP74="Government and Public Administration")+($AP74="Defence/ Protective Service")+($AP74="Sports"))&gt;0,"Arts / Humanities",""))))</f>
        <v/>
      </c>
      <c r="BC74" s="5" t="str">
        <f aca="false">IF($AL74="","",IF((($AL74="Engineering and Technology")+($AL74="Science and Mathematics")+($AL74="Computer Science, IT and Allied Fields")+($AL74="Life Sciences /Medicine and Healthcare")+($AL74="Paramedical")+($AL74="Architecture")+($AL74="Environmental Service")+($AL74="Agriculture, Food Industry and Forestry"))&gt;0,"Science",IF((($AL74="Banking and Finance")+($AL74="Management and Administration")+($AL74="Marketing")+($AL74="Sales")+($AL74="Entrepreneurship")+($AL74="Hospitality and Tourism"))&gt;0,"Commerce",IF((($AL74="Social Sciences and Humanities")+($AL74="Law Studies")+($AL74="Education and Training")+($AL74="Art, Design")+($AL74="Entertainment and Mass Media")+($AL74="Community and Social Service")+($AL74="Personal Care and Services")+($AL74="Government and Public Administration")+($AL74="Defence/ Protective Service")+($AL74="Sports"))&gt;0,"Arts / Humanities",""))))</f>
        <v/>
      </c>
      <c r="BD74" s="5" t="str">
        <f aca="false">IF($B74="","",--(F74&gt;=10)+--(G74&gt;=10)+--(H74&gt;=10)+--(I74&gt;=10)+--(J74&gt;=10)+--(K74&gt;=10)+--(L74&gt;=10)+--(M74&gt;=10)+--(N74&gt;=10)+--(O74&gt;=10))</f>
        <v/>
      </c>
      <c r="BE74" s="5" t="str">
        <f aca="false">IF($B74="","",--(AND(F74&lt;&gt;"",F74&lt;=8))+--(AND(G74&lt;&gt;"",G74&lt;=8))+--(AND(H74&lt;&gt;"",H74&lt;=8))+--(AND(I74&lt;&gt;"",I74&lt;=8))+--(AND(J74&lt;&gt;"",J74&lt;=8))+--(AND(K74&lt;&gt;"",K74&lt;=8))+--(AND(L74&lt;&gt;"",L74&lt;=8))+--(AND(M74&lt;&gt;"",M74&lt;=8))+--(AND(N74&lt;&gt;"",N74&lt;=8))+--(AND(O74&lt;&gt;"",O74&lt;=8)))</f>
        <v/>
      </c>
    </row>
    <row r="75" customFormat="false" ht="15" hidden="false" customHeight="false" outlineLevel="0" collapsed="false">
      <c r="AZ75" s="5" t="str">
        <f aca="false">IF($B75="","",SUMPRODUCT(($AL75:$AO75&lt;&gt;"")*(COUNTIF($AP75:$AX75,$AL75:$AO75)&gt;0)))</f>
        <v/>
      </c>
      <c r="BA75" s="5" t="str">
        <f aca="false">IF($B75="","",IF(AZ75&gt;0,1,0))</f>
        <v/>
      </c>
      <c r="BB75" s="5" t="str">
        <f aca="false">IF($AP75="","",IF((($AP75="Engineering and Technology")+($AP75="Science and Mathematics")+($AP75="Computer Science, IT and Allied Fields")+($AP75="Life Sciences /Medicine and Healthcare")+($AP75="Paramedical")+($AP75="Architecture")+($AP75="Environmental Service")+($AP75="Agriculture, Food Industry and Forestry"))&gt;0,"Science",IF((($AP75="Banking and Finance")+($AP75="Management and Administration")+($AP75="Marketing")+($AP75="Sales")+($AP75="Entrepreneurship")+($AP75="Hospitality and Tourism"))&gt;0,"Commerce",IF((($AP75="Social Sciences and Humanities")+($AP75="Law Studies")+($AP75="Education and Training")+($AP75="Art, Design")+($AP75="Entertainment and Mass Media")+($AP75="Community and Social Service")+($AP75="Personal Care and Services")+($AP75="Government and Public Administration")+($AP75="Defence/ Protective Service")+($AP75="Sports"))&gt;0,"Arts / Humanities",""))))</f>
        <v/>
      </c>
      <c r="BC75" s="5" t="str">
        <f aca="false">IF($AL75="","",IF((($AL75="Engineering and Technology")+($AL75="Science and Mathematics")+($AL75="Computer Science, IT and Allied Fields")+($AL75="Life Sciences /Medicine and Healthcare")+($AL75="Paramedical")+($AL75="Architecture")+($AL75="Environmental Service")+($AL75="Agriculture, Food Industry and Forestry"))&gt;0,"Science",IF((($AL75="Banking and Finance")+($AL75="Management and Administration")+($AL75="Marketing")+($AL75="Sales")+($AL75="Entrepreneurship")+($AL75="Hospitality and Tourism"))&gt;0,"Commerce",IF((($AL75="Social Sciences and Humanities")+($AL75="Law Studies")+($AL75="Education and Training")+($AL75="Art, Design")+($AL75="Entertainment and Mass Media")+($AL75="Community and Social Service")+($AL75="Personal Care and Services")+($AL75="Government and Public Administration")+($AL75="Defence/ Protective Service")+($AL75="Sports"))&gt;0,"Arts / Humanities",""))))</f>
        <v/>
      </c>
      <c r="BD75" s="5" t="str">
        <f aca="false">IF($B75="","",--(F75&gt;=10)+--(G75&gt;=10)+--(H75&gt;=10)+--(I75&gt;=10)+--(J75&gt;=10)+--(K75&gt;=10)+--(L75&gt;=10)+--(M75&gt;=10)+--(N75&gt;=10)+--(O75&gt;=10))</f>
        <v/>
      </c>
      <c r="BE75" s="5" t="str">
        <f aca="false">IF($B75="","",--(AND(F75&lt;&gt;"",F75&lt;=8))+--(AND(G75&lt;&gt;"",G75&lt;=8))+--(AND(H75&lt;&gt;"",H75&lt;=8))+--(AND(I75&lt;&gt;"",I75&lt;=8))+--(AND(J75&lt;&gt;"",J75&lt;=8))+--(AND(K75&lt;&gt;"",K75&lt;=8))+--(AND(L75&lt;&gt;"",L75&lt;=8))+--(AND(M75&lt;&gt;"",M75&lt;=8))+--(AND(N75&lt;&gt;"",N75&lt;=8))+--(AND(O75&lt;&gt;"",O75&lt;=8)))</f>
        <v/>
      </c>
    </row>
    <row r="76" customFormat="false" ht="15" hidden="false" customHeight="false" outlineLevel="0" collapsed="false">
      <c r="AZ76" s="5" t="str">
        <f aca="false">IF($B76="","",SUMPRODUCT(($AL76:$AO76&lt;&gt;"")*(COUNTIF($AP76:$AX76,$AL76:$AO76)&gt;0)))</f>
        <v/>
      </c>
      <c r="BA76" s="5" t="str">
        <f aca="false">IF($B76="","",IF(AZ76&gt;0,1,0))</f>
        <v/>
      </c>
      <c r="BB76" s="5" t="str">
        <f aca="false">IF($AP76="","",IF((($AP76="Engineering and Technology")+($AP76="Science and Mathematics")+($AP76="Computer Science, IT and Allied Fields")+($AP76="Life Sciences /Medicine and Healthcare")+($AP76="Paramedical")+($AP76="Architecture")+($AP76="Environmental Service")+($AP76="Agriculture, Food Industry and Forestry"))&gt;0,"Science",IF((($AP76="Banking and Finance")+($AP76="Management and Administration")+($AP76="Marketing")+($AP76="Sales")+($AP76="Entrepreneurship")+($AP76="Hospitality and Tourism"))&gt;0,"Commerce",IF((($AP76="Social Sciences and Humanities")+($AP76="Law Studies")+($AP76="Education and Training")+($AP76="Art, Design")+($AP76="Entertainment and Mass Media")+($AP76="Community and Social Service")+($AP76="Personal Care and Services")+($AP76="Government and Public Administration")+($AP76="Defence/ Protective Service")+($AP76="Sports"))&gt;0,"Arts / Humanities",""))))</f>
        <v/>
      </c>
      <c r="BC76" s="5" t="str">
        <f aca="false">IF($AL76="","",IF((($AL76="Engineering and Technology")+($AL76="Science and Mathematics")+($AL76="Computer Science, IT and Allied Fields")+($AL76="Life Sciences /Medicine and Healthcare")+($AL76="Paramedical")+($AL76="Architecture")+($AL76="Environmental Service")+($AL76="Agriculture, Food Industry and Forestry"))&gt;0,"Science",IF((($AL76="Banking and Finance")+($AL76="Management and Administration")+($AL76="Marketing")+($AL76="Sales")+($AL76="Entrepreneurship")+($AL76="Hospitality and Tourism"))&gt;0,"Commerce",IF((($AL76="Social Sciences and Humanities")+($AL76="Law Studies")+($AL76="Education and Training")+($AL76="Art, Design")+($AL76="Entertainment and Mass Media")+($AL76="Community and Social Service")+($AL76="Personal Care and Services")+($AL76="Government and Public Administration")+($AL76="Defence/ Protective Service")+($AL76="Sports"))&gt;0,"Arts / Humanities",""))))</f>
        <v/>
      </c>
      <c r="BD76" s="5" t="str">
        <f aca="false">IF($B76="","",--(F76&gt;=10)+--(G76&gt;=10)+--(H76&gt;=10)+--(I76&gt;=10)+--(J76&gt;=10)+--(K76&gt;=10)+--(L76&gt;=10)+--(M76&gt;=10)+--(N76&gt;=10)+--(O76&gt;=10))</f>
        <v/>
      </c>
      <c r="BE76" s="5" t="str">
        <f aca="false">IF($B76="","",--(AND(F76&lt;&gt;"",F76&lt;=8))+--(AND(G76&lt;&gt;"",G76&lt;=8))+--(AND(H76&lt;&gt;"",H76&lt;=8))+--(AND(I76&lt;&gt;"",I76&lt;=8))+--(AND(J76&lt;&gt;"",J76&lt;=8))+--(AND(K76&lt;&gt;"",K76&lt;=8))+--(AND(L76&lt;&gt;"",L76&lt;=8))+--(AND(M76&lt;&gt;"",M76&lt;=8))+--(AND(N76&lt;&gt;"",N76&lt;=8))+--(AND(O76&lt;&gt;"",O76&lt;=8)))</f>
        <v/>
      </c>
    </row>
    <row r="77" customFormat="false" ht="15" hidden="false" customHeight="false" outlineLevel="0" collapsed="false">
      <c r="AZ77" s="5" t="str">
        <f aca="false">IF($B77="","",SUMPRODUCT(($AL77:$AO77&lt;&gt;"")*(COUNTIF($AP77:$AX77,$AL77:$AO77)&gt;0)))</f>
        <v/>
      </c>
      <c r="BA77" s="5" t="str">
        <f aca="false">IF($B77="","",IF(AZ77&gt;0,1,0))</f>
        <v/>
      </c>
      <c r="BB77" s="5" t="str">
        <f aca="false">IF($AP77="","",IF((($AP77="Engineering and Technology")+($AP77="Science and Mathematics")+($AP77="Computer Science, IT and Allied Fields")+($AP77="Life Sciences /Medicine and Healthcare")+($AP77="Paramedical")+($AP77="Architecture")+($AP77="Environmental Service")+($AP77="Agriculture, Food Industry and Forestry"))&gt;0,"Science",IF((($AP77="Banking and Finance")+($AP77="Management and Administration")+($AP77="Marketing")+($AP77="Sales")+($AP77="Entrepreneurship")+($AP77="Hospitality and Tourism"))&gt;0,"Commerce",IF((($AP77="Social Sciences and Humanities")+($AP77="Law Studies")+($AP77="Education and Training")+($AP77="Art, Design")+($AP77="Entertainment and Mass Media")+($AP77="Community and Social Service")+($AP77="Personal Care and Services")+($AP77="Government and Public Administration")+($AP77="Defence/ Protective Service")+($AP77="Sports"))&gt;0,"Arts / Humanities",""))))</f>
        <v/>
      </c>
      <c r="BC77" s="5" t="str">
        <f aca="false">IF($AL77="","",IF((($AL77="Engineering and Technology")+($AL77="Science and Mathematics")+($AL77="Computer Science, IT and Allied Fields")+($AL77="Life Sciences /Medicine and Healthcare")+($AL77="Paramedical")+($AL77="Architecture")+($AL77="Environmental Service")+($AL77="Agriculture, Food Industry and Forestry"))&gt;0,"Science",IF((($AL77="Banking and Finance")+($AL77="Management and Administration")+($AL77="Marketing")+($AL77="Sales")+($AL77="Entrepreneurship")+($AL77="Hospitality and Tourism"))&gt;0,"Commerce",IF((($AL77="Social Sciences and Humanities")+($AL77="Law Studies")+($AL77="Education and Training")+($AL77="Art, Design")+($AL77="Entertainment and Mass Media")+($AL77="Community and Social Service")+($AL77="Personal Care and Services")+($AL77="Government and Public Administration")+($AL77="Defence/ Protective Service")+($AL77="Sports"))&gt;0,"Arts / Humanities",""))))</f>
        <v/>
      </c>
      <c r="BD77" s="5" t="str">
        <f aca="false">IF($B77="","",--(F77&gt;=10)+--(G77&gt;=10)+--(H77&gt;=10)+--(I77&gt;=10)+--(J77&gt;=10)+--(K77&gt;=10)+--(L77&gt;=10)+--(M77&gt;=10)+--(N77&gt;=10)+--(O77&gt;=10))</f>
        <v/>
      </c>
      <c r="BE77" s="5" t="str">
        <f aca="false">IF($B77="","",--(AND(F77&lt;&gt;"",F77&lt;=8))+--(AND(G77&lt;&gt;"",G77&lt;=8))+--(AND(H77&lt;&gt;"",H77&lt;=8))+--(AND(I77&lt;&gt;"",I77&lt;=8))+--(AND(J77&lt;&gt;"",J77&lt;=8))+--(AND(K77&lt;&gt;"",K77&lt;=8))+--(AND(L77&lt;&gt;"",L77&lt;=8))+--(AND(M77&lt;&gt;"",M77&lt;=8))+--(AND(N77&lt;&gt;"",N77&lt;=8))+--(AND(O77&lt;&gt;"",O77&lt;=8)))</f>
        <v/>
      </c>
    </row>
    <row r="78" customFormat="false" ht="15" hidden="false" customHeight="false" outlineLevel="0" collapsed="false">
      <c r="AZ78" s="5" t="str">
        <f aca="false">IF($B78="","",SUMPRODUCT(($AL78:$AO78&lt;&gt;"")*(COUNTIF($AP78:$AX78,$AL78:$AO78)&gt;0)))</f>
        <v/>
      </c>
      <c r="BA78" s="5" t="str">
        <f aca="false">IF($B78="","",IF(AZ78&gt;0,1,0))</f>
        <v/>
      </c>
      <c r="BB78" s="5" t="str">
        <f aca="false">IF($AP78="","",IF((($AP78="Engineering and Technology")+($AP78="Science and Mathematics")+($AP78="Computer Science, IT and Allied Fields")+($AP78="Life Sciences /Medicine and Healthcare")+($AP78="Paramedical")+($AP78="Architecture")+($AP78="Environmental Service")+($AP78="Agriculture, Food Industry and Forestry"))&gt;0,"Science",IF((($AP78="Banking and Finance")+($AP78="Management and Administration")+($AP78="Marketing")+($AP78="Sales")+($AP78="Entrepreneurship")+($AP78="Hospitality and Tourism"))&gt;0,"Commerce",IF((($AP78="Social Sciences and Humanities")+($AP78="Law Studies")+($AP78="Education and Training")+($AP78="Art, Design")+($AP78="Entertainment and Mass Media")+($AP78="Community and Social Service")+($AP78="Personal Care and Services")+($AP78="Government and Public Administration")+($AP78="Defence/ Protective Service")+($AP78="Sports"))&gt;0,"Arts / Humanities",""))))</f>
        <v/>
      </c>
      <c r="BC78" s="5" t="str">
        <f aca="false">IF($AL78="","",IF((($AL78="Engineering and Technology")+($AL78="Science and Mathematics")+($AL78="Computer Science, IT and Allied Fields")+($AL78="Life Sciences /Medicine and Healthcare")+($AL78="Paramedical")+($AL78="Architecture")+($AL78="Environmental Service")+($AL78="Agriculture, Food Industry and Forestry"))&gt;0,"Science",IF((($AL78="Banking and Finance")+($AL78="Management and Administration")+($AL78="Marketing")+($AL78="Sales")+($AL78="Entrepreneurship")+($AL78="Hospitality and Tourism"))&gt;0,"Commerce",IF((($AL78="Social Sciences and Humanities")+($AL78="Law Studies")+($AL78="Education and Training")+($AL78="Art, Design")+($AL78="Entertainment and Mass Media")+($AL78="Community and Social Service")+($AL78="Personal Care and Services")+($AL78="Government and Public Administration")+($AL78="Defence/ Protective Service")+($AL78="Sports"))&gt;0,"Arts / Humanities",""))))</f>
        <v/>
      </c>
      <c r="BD78" s="5" t="str">
        <f aca="false">IF($B78="","",--(F78&gt;=10)+--(G78&gt;=10)+--(H78&gt;=10)+--(I78&gt;=10)+--(J78&gt;=10)+--(K78&gt;=10)+--(L78&gt;=10)+--(M78&gt;=10)+--(N78&gt;=10)+--(O78&gt;=10))</f>
        <v/>
      </c>
      <c r="BE78" s="5" t="str">
        <f aca="false">IF($B78="","",--(AND(F78&lt;&gt;"",F78&lt;=8))+--(AND(G78&lt;&gt;"",G78&lt;=8))+--(AND(H78&lt;&gt;"",H78&lt;=8))+--(AND(I78&lt;&gt;"",I78&lt;=8))+--(AND(J78&lt;&gt;"",J78&lt;=8))+--(AND(K78&lt;&gt;"",K78&lt;=8))+--(AND(L78&lt;&gt;"",L78&lt;=8))+--(AND(M78&lt;&gt;"",M78&lt;=8))+--(AND(N78&lt;&gt;"",N78&lt;=8))+--(AND(O78&lt;&gt;"",O78&lt;=8)))</f>
        <v/>
      </c>
    </row>
    <row r="79" customFormat="false" ht="15" hidden="false" customHeight="false" outlineLevel="0" collapsed="false">
      <c r="AZ79" s="5" t="str">
        <f aca="false">IF($B79="","",SUMPRODUCT(($AL79:$AO79&lt;&gt;"")*(COUNTIF($AP79:$AX79,$AL79:$AO79)&gt;0)))</f>
        <v/>
      </c>
      <c r="BA79" s="5" t="str">
        <f aca="false">IF($B79="","",IF(AZ79&gt;0,1,0))</f>
        <v/>
      </c>
      <c r="BB79" s="5" t="str">
        <f aca="false">IF($AP79="","",IF((($AP79="Engineering and Technology")+($AP79="Science and Mathematics")+($AP79="Computer Science, IT and Allied Fields")+($AP79="Life Sciences /Medicine and Healthcare")+($AP79="Paramedical")+($AP79="Architecture")+($AP79="Environmental Service")+($AP79="Agriculture, Food Industry and Forestry"))&gt;0,"Science",IF((($AP79="Banking and Finance")+($AP79="Management and Administration")+($AP79="Marketing")+($AP79="Sales")+($AP79="Entrepreneurship")+($AP79="Hospitality and Tourism"))&gt;0,"Commerce",IF((($AP79="Social Sciences and Humanities")+($AP79="Law Studies")+($AP79="Education and Training")+($AP79="Art, Design")+($AP79="Entertainment and Mass Media")+($AP79="Community and Social Service")+($AP79="Personal Care and Services")+($AP79="Government and Public Administration")+($AP79="Defence/ Protective Service")+($AP79="Sports"))&gt;0,"Arts / Humanities",""))))</f>
        <v/>
      </c>
      <c r="BC79" s="5" t="str">
        <f aca="false">IF($AL79="","",IF((($AL79="Engineering and Technology")+($AL79="Science and Mathematics")+($AL79="Computer Science, IT and Allied Fields")+($AL79="Life Sciences /Medicine and Healthcare")+($AL79="Paramedical")+($AL79="Architecture")+($AL79="Environmental Service")+($AL79="Agriculture, Food Industry and Forestry"))&gt;0,"Science",IF((($AL79="Banking and Finance")+($AL79="Management and Administration")+($AL79="Marketing")+($AL79="Sales")+($AL79="Entrepreneurship")+($AL79="Hospitality and Tourism"))&gt;0,"Commerce",IF((($AL79="Social Sciences and Humanities")+($AL79="Law Studies")+($AL79="Education and Training")+($AL79="Art, Design")+($AL79="Entertainment and Mass Media")+($AL79="Community and Social Service")+($AL79="Personal Care and Services")+($AL79="Government and Public Administration")+($AL79="Defence/ Protective Service")+($AL79="Sports"))&gt;0,"Arts / Humanities",""))))</f>
        <v/>
      </c>
      <c r="BD79" s="5" t="str">
        <f aca="false">IF($B79="","",--(F79&gt;=10)+--(G79&gt;=10)+--(H79&gt;=10)+--(I79&gt;=10)+--(J79&gt;=10)+--(K79&gt;=10)+--(L79&gt;=10)+--(M79&gt;=10)+--(N79&gt;=10)+--(O79&gt;=10))</f>
        <v/>
      </c>
      <c r="BE79" s="5" t="str">
        <f aca="false">IF($B79="","",--(AND(F79&lt;&gt;"",F79&lt;=8))+--(AND(G79&lt;&gt;"",G79&lt;=8))+--(AND(H79&lt;&gt;"",H79&lt;=8))+--(AND(I79&lt;&gt;"",I79&lt;=8))+--(AND(J79&lt;&gt;"",J79&lt;=8))+--(AND(K79&lt;&gt;"",K79&lt;=8))+--(AND(L79&lt;&gt;"",L79&lt;=8))+--(AND(M79&lt;&gt;"",M79&lt;=8))+--(AND(N79&lt;&gt;"",N79&lt;=8))+--(AND(O79&lt;&gt;"",O79&lt;=8)))</f>
        <v/>
      </c>
    </row>
    <row r="80" customFormat="false" ht="15" hidden="false" customHeight="false" outlineLevel="0" collapsed="false">
      <c r="AZ80" s="5" t="str">
        <f aca="false">IF($B80="","",SUMPRODUCT(($AL80:$AO80&lt;&gt;"")*(COUNTIF($AP80:$AX80,$AL80:$AO80)&gt;0)))</f>
        <v/>
      </c>
      <c r="BA80" s="5" t="str">
        <f aca="false">IF($B80="","",IF(AZ80&gt;0,1,0))</f>
        <v/>
      </c>
      <c r="BB80" s="5" t="str">
        <f aca="false">IF($AP80="","",IF((($AP80="Engineering and Technology")+($AP80="Science and Mathematics")+($AP80="Computer Science, IT and Allied Fields")+($AP80="Life Sciences /Medicine and Healthcare")+($AP80="Paramedical")+($AP80="Architecture")+($AP80="Environmental Service")+($AP80="Agriculture, Food Industry and Forestry"))&gt;0,"Science",IF((($AP80="Banking and Finance")+($AP80="Management and Administration")+($AP80="Marketing")+($AP80="Sales")+($AP80="Entrepreneurship")+($AP80="Hospitality and Tourism"))&gt;0,"Commerce",IF((($AP80="Social Sciences and Humanities")+($AP80="Law Studies")+($AP80="Education and Training")+($AP80="Art, Design")+($AP80="Entertainment and Mass Media")+($AP80="Community and Social Service")+($AP80="Personal Care and Services")+($AP80="Government and Public Administration")+($AP80="Defence/ Protective Service")+($AP80="Sports"))&gt;0,"Arts / Humanities",""))))</f>
        <v/>
      </c>
      <c r="BC80" s="5" t="str">
        <f aca="false">IF($AL80="","",IF((($AL80="Engineering and Technology")+($AL80="Science and Mathematics")+($AL80="Computer Science, IT and Allied Fields")+($AL80="Life Sciences /Medicine and Healthcare")+($AL80="Paramedical")+($AL80="Architecture")+($AL80="Environmental Service")+($AL80="Agriculture, Food Industry and Forestry"))&gt;0,"Science",IF((($AL80="Banking and Finance")+($AL80="Management and Administration")+($AL80="Marketing")+($AL80="Sales")+($AL80="Entrepreneurship")+($AL80="Hospitality and Tourism"))&gt;0,"Commerce",IF((($AL80="Social Sciences and Humanities")+($AL80="Law Studies")+($AL80="Education and Training")+($AL80="Art, Design")+($AL80="Entertainment and Mass Media")+($AL80="Community and Social Service")+($AL80="Personal Care and Services")+($AL80="Government and Public Administration")+($AL80="Defence/ Protective Service")+($AL80="Sports"))&gt;0,"Arts / Humanities",""))))</f>
        <v/>
      </c>
      <c r="BD80" s="5" t="str">
        <f aca="false">IF($B80="","",--(F80&gt;=10)+--(G80&gt;=10)+--(H80&gt;=10)+--(I80&gt;=10)+--(J80&gt;=10)+--(K80&gt;=10)+--(L80&gt;=10)+--(M80&gt;=10)+--(N80&gt;=10)+--(O80&gt;=10))</f>
        <v/>
      </c>
      <c r="BE80" s="5" t="str">
        <f aca="false">IF($B80="","",--(AND(F80&lt;&gt;"",F80&lt;=8))+--(AND(G80&lt;&gt;"",G80&lt;=8))+--(AND(H80&lt;&gt;"",H80&lt;=8))+--(AND(I80&lt;&gt;"",I80&lt;=8))+--(AND(J80&lt;&gt;"",J80&lt;=8))+--(AND(K80&lt;&gt;"",K80&lt;=8))+--(AND(L80&lt;&gt;"",L80&lt;=8))+--(AND(M80&lt;&gt;"",M80&lt;=8))+--(AND(N80&lt;&gt;"",N80&lt;=8))+--(AND(O80&lt;&gt;"",O80&lt;=8)))</f>
        <v/>
      </c>
    </row>
    <row r="81" customFormat="false" ht="15" hidden="false" customHeight="false" outlineLevel="0" collapsed="false">
      <c r="AZ81" s="5" t="str">
        <f aca="false">IF($B81="","",SUMPRODUCT(($AL81:$AO81&lt;&gt;"")*(COUNTIF($AP81:$AX81,$AL81:$AO81)&gt;0)))</f>
        <v/>
      </c>
      <c r="BA81" s="5" t="str">
        <f aca="false">IF($B81="","",IF(AZ81&gt;0,1,0))</f>
        <v/>
      </c>
      <c r="BB81" s="5" t="str">
        <f aca="false">IF($AP81="","",IF((($AP81="Engineering and Technology")+($AP81="Science and Mathematics")+($AP81="Computer Science, IT and Allied Fields")+($AP81="Life Sciences /Medicine and Healthcare")+($AP81="Paramedical")+($AP81="Architecture")+($AP81="Environmental Service")+($AP81="Agriculture, Food Industry and Forestry"))&gt;0,"Science",IF((($AP81="Banking and Finance")+($AP81="Management and Administration")+($AP81="Marketing")+($AP81="Sales")+($AP81="Entrepreneurship")+($AP81="Hospitality and Tourism"))&gt;0,"Commerce",IF((($AP81="Social Sciences and Humanities")+($AP81="Law Studies")+($AP81="Education and Training")+($AP81="Art, Design")+($AP81="Entertainment and Mass Media")+($AP81="Community and Social Service")+($AP81="Personal Care and Services")+($AP81="Government and Public Administration")+($AP81="Defence/ Protective Service")+($AP81="Sports"))&gt;0,"Arts / Humanities",""))))</f>
        <v/>
      </c>
      <c r="BC81" s="5" t="str">
        <f aca="false">IF($AL81="","",IF((($AL81="Engineering and Technology")+($AL81="Science and Mathematics")+($AL81="Computer Science, IT and Allied Fields")+($AL81="Life Sciences /Medicine and Healthcare")+($AL81="Paramedical")+($AL81="Architecture")+($AL81="Environmental Service")+($AL81="Agriculture, Food Industry and Forestry"))&gt;0,"Science",IF((($AL81="Banking and Finance")+($AL81="Management and Administration")+($AL81="Marketing")+($AL81="Sales")+($AL81="Entrepreneurship")+($AL81="Hospitality and Tourism"))&gt;0,"Commerce",IF((($AL81="Social Sciences and Humanities")+($AL81="Law Studies")+($AL81="Education and Training")+($AL81="Art, Design")+($AL81="Entertainment and Mass Media")+($AL81="Community and Social Service")+($AL81="Personal Care and Services")+($AL81="Government and Public Administration")+($AL81="Defence/ Protective Service")+($AL81="Sports"))&gt;0,"Arts / Humanities",""))))</f>
        <v/>
      </c>
      <c r="BD81" s="5" t="str">
        <f aca="false">IF($B81="","",--(F81&gt;=10)+--(G81&gt;=10)+--(H81&gt;=10)+--(I81&gt;=10)+--(J81&gt;=10)+--(K81&gt;=10)+--(L81&gt;=10)+--(M81&gt;=10)+--(N81&gt;=10)+--(O81&gt;=10))</f>
        <v/>
      </c>
      <c r="BE81" s="5" t="str">
        <f aca="false">IF($B81="","",--(AND(F81&lt;&gt;"",F81&lt;=8))+--(AND(G81&lt;&gt;"",G81&lt;=8))+--(AND(H81&lt;&gt;"",H81&lt;=8))+--(AND(I81&lt;&gt;"",I81&lt;=8))+--(AND(J81&lt;&gt;"",J81&lt;=8))+--(AND(K81&lt;&gt;"",K81&lt;=8))+--(AND(L81&lt;&gt;"",L81&lt;=8))+--(AND(M81&lt;&gt;"",M81&lt;=8))+--(AND(N81&lt;&gt;"",N81&lt;=8))+--(AND(O81&lt;&gt;"",O81&lt;=8)))</f>
        <v/>
      </c>
    </row>
    <row r="82" customFormat="false" ht="15" hidden="false" customHeight="false" outlineLevel="0" collapsed="false">
      <c r="AZ82" s="5" t="str">
        <f aca="false">IF($B82="","",SUMPRODUCT(($AL82:$AO82&lt;&gt;"")*(COUNTIF($AP82:$AX82,$AL82:$AO82)&gt;0)))</f>
        <v/>
      </c>
      <c r="BA82" s="5" t="str">
        <f aca="false">IF($B82="","",IF(AZ82&gt;0,1,0))</f>
        <v/>
      </c>
      <c r="BB82" s="5" t="str">
        <f aca="false">IF($AP82="","",IF((($AP82="Engineering and Technology")+($AP82="Science and Mathematics")+($AP82="Computer Science, IT and Allied Fields")+($AP82="Life Sciences /Medicine and Healthcare")+($AP82="Paramedical")+($AP82="Architecture")+($AP82="Environmental Service")+($AP82="Agriculture, Food Industry and Forestry"))&gt;0,"Science",IF((($AP82="Banking and Finance")+($AP82="Management and Administration")+($AP82="Marketing")+($AP82="Sales")+($AP82="Entrepreneurship")+($AP82="Hospitality and Tourism"))&gt;0,"Commerce",IF((($AP82="Social Sciences and Humanities")+($AP82="Law Studies")+($AP82="Education and Training")+($AP82="Art, Design")+($AP82="Entertainment and Mass Media")+($AP82="Community and Social Service")+($AP82="Personal Care and Services")+($AP82="Government and Public Administration")+($AP82="Defence/ Protective Service")+($AP82="Sports"))&gt;0,"Arts / Humanities",""))))</f>
        <v/>
      </c>
      <c r="BC82" s="5" t="str">
        <f aca="false">IF($AL82="","",IF((($AL82="Engineering and Technology")+($AL82="Science and Mathematics")+($AL82="Computer Science, IT and Allied Fields")+($AL82="Life Sciences /Medicine and Healthcare")+($AL82="Paramedical")+($AL82="Architecture")+($AL82="Environmental Service")+($AL82="Agriculture, Food Industry and Forestry"))&gt;0,"Science",IF((($AL82="Banking and Finance")+($AL82="Management and Administration")+($AL82="Marketing")+($AL82="Sales")+($AL82="Entrepreneurship")+($AL82="Hospitality and Tourism"))&gt;0,"Commerce",IF((($AL82="Social Sciences and Humanities")+($AL82="Law Studies")+($AL82="Education and Training")+($AL82="Art, Design")+($AL82="Entertainment and Mass Media")+($AL82="Community and Social Service")+($AL82="Personal Care and Services")+($AL82="Government and Public Administration")+($AL82="Defence/ Protective Service")+($AL82="Sports"))&gt;0,"Arts / Humanities",""))))</f>
        <v/>
      </c>
      <c r="BD82" s="5" t="str">
        <f aca="false">IF($B82="","",--(F82&gt;=10)+--(G82&gt;=10)+--(H82&gt;=10)+--(I82&gt;=10)+--(J82&gt;=10)+--(K82&gt;=10)+--(L82&gt;=10)+--(M82&gt;=10)+--(N82&gt;=10)+--(O82&gt;=10))</f>
        <v/>
      </c>
      <c r="BE82" s="5" t="str">
        <f aca="false">IF($B82="","",--(AND(F82&lt;&gt;"",F82&lt;=8))+--(AND(G82&lt;&gt;"",G82&lt;=8))+--(AND(H82&lt;&gt;"",H82&lt;=8))+--(AND(I82&lt;&gt;"",I82&lt;=8))+--(AND(J82&lt;&gt;"",J82&lt;=8))+--(AND(K82&lt;&gt;"",K82&lt;=8))+--(AND(L82&lt;&gt;"",L82&lt;=8))+--(AND(M82&lt;&gt;"",M82&lt;=8))+--(AND(N82&lt;&gt;"",N82&lt;=8))+--(AND(O82&lt;&gt;"",O82&lt;=8)))</f>
        <v/>
      </c>
    </row>
    <row r="83" customFormat="false" ht="15" hidden="false" customHeight="false" outlineLevel="0" collapsed="false">
      <c r="AZ83" s="5" t="str">
        <f aca="false">IF($B83="","",SUMPRODUCT(($AL83:$AO83&lt;&gt;"")*(COUNTIF($AP83:$AX83,$AL83:$AO83)&gt;0)))</f>
        <v/>
      </c>
      <c r="BA83" s="5" t="str">
        <f aca="false">IF($B83="","",IF(AZ83&gt;0,1,0))</f>
        <v/>
      </c>
      <c r="BB83" s="5" t="str">
        <f aca="false">IF($AP83="","",IF((($AP83="Engineering and Technology")+($AP83="Science and Mathematics")+($AP83="Computer Science, IT and Allied Fields")+($AP83="Life Sciences /Medicine and Healthcare")+($AP83="Paramedical")+($AP83="Architecture")+($AP83="Environmental Service")+($AP83="Agriculture, Food Industry and Forestry"))&gt;0,"Science",IF((($AP83="Banking and Finance")+($AP83="Management and Administration")+($AP83="Marketing")+($AP83="Sales")+($AP83="Entrepreneurship")+($AP83="Hospitality and Tourism"))&gt;0,"Commerce",IF((($AP83="Social Sciences and Humanities")+($AP83="Law Studies")+($AP83="Education and Training")+($AP83="Art, Design")+($AP83="Entertainment and Mass Media")+($AP83="Community and Social Service")+($AP83="Personal Care and Services")+($AP83="Government and Public Administration")+($AP83="Defence/ Protective Service")+($AP83="Sports"))&gt;0,"Arts / Humanities",""))))</f>
        <v/>
      </c>
      <c r="BC83" s="5" t="str">
        <f aca="false">IF($AL83="","",IF((($AL83="Engineering and Technology")+($AL83="Science and Mathematics")+($AL83="Computer Science, IT and Allied Fields")+($AL83="Life Sciences /Medicine and Healthcare")+($AL83="Paramedical")+($AL83="Architecture")+($AL83="Environmental Service")+($AL83="Agriculture, Food Industry and Forestry"))&gt;0,"Science",IF((($AL83="Banking and Finance")+($AL83="Management and Administration")+($AL83="Marketing")+($AL83="Sales")+($AL83="Entrepreneurship")+($AL83="Hospitality and Tourism"))&gt;0,"Commerce",IF((($AL83="Social Sciences and Humanities")+($AL83="Law Studies")+($AL83="Education and Training")+($AL83="Art, Design")+($AL83="Entertainment and Mass Media")+($AL83="Community and Social Service")+($AL83="Personal Care and Services")+($AL83="Government and Public Administration")+($AL83="Defence/ Protective Service")+($AL83="Sports"))&gt;0,"Arts / Humanities",""))))</f>
        <v/>
      </c>
      <c r="BD83" s="5" t="str">
        <f aca="false">IF($B83="","",--(F83&gt;=10)+--(G83&gt;=10)+--(H83&gt;=10)+--(I83&gt;=10)+--(J83&gt;=10)+--(K83&gt;=10)+--(L83&gt;=10)+--(M83&gt;=10)+--(N83&gt;=10)+--(O83&gt;=10))</f>
        <v/>
      </c>
      <c r="BE83" s="5" t="str">
        <f aca="false">IF($B83="","",--(AND(F83&lt;&gt;"",F83&lt;=8))+--(AND(G83&lt;&gt;"",G83&lt;=8))+--(AND(H83&lt;&gt;"",H83&lt;=8))+--(AND(I83&lt;&gt;"",I83&lt;=8))+--(AND(J83&lt;&gt;"",J83&lt;=8))+--(AND(K83&lt;&gt;"",K83&lt;=8))+--(AND(L83&lt;&gt;"",L83&lt;=8))+--(AND(M83&lt;&gt;"",M83&lt;=8))+--(AND(N83&lt;&gt;"",N83&lt;=8))+--(AND(O83&lt;&gt;"",O83&lt;=8)))</f>
        <v/>
      </c>
    </row>
    <row r="84" customFormat="false" ht="15" hidden="false" customHeight="false" outlineLevel="0" collapsed="false">
      <c r="AZ84" s="5" t="str">
        <f aca="false">IF($B84="","",SUMPRODUCT(($AL84:$AO84&lt;&gt;"")*(COUNTIF($AP84:$AX84,$AL84:$AO84)&gt;0)))</f>
        <v/>
      </c>
      <c r="BA84" s="5" t="str">
        <f aca="false">IF($B84="","",IF(AZ84&gt;0,1,0))</f>
        <v/>
      </c>
      <c r="BB84" s="5" t="str">
        <f aca="false">IF($AP84="","",IF((($AP84="Engineering and Technology")+($AP84="Science and Mathematics")+($AP84="Computer Science, IT and Allied Fields")+($AP84="Life Sciences /Medicine and Healthcare")+($AP84="Paramedical")+($AP84="Architecture")+($AP84="Environmental Service")+($AP84="Agriculture, Food Industry and Forestry"))&gt;0,"Science",IF((($AP84="Banking and Finance")+($AP84="Management and Administration")+($AP84="Marketing")+($AP84="Sales")+($AP84="Entrepreneurship")+($AP84="Hospitality and Tourism"))&gt;0,"Commerce",IF((($AP84="Social Sciences and Humanities")+($AP84="Law Studies")+($AP84="Education and Training")+($AP84="Art, Design")+($AP84="Entertainment and Mass Media")+($AP84="Community and Social Service")+($AP84="Personal Care and Services")+($AP84="Government and Public Administration")+($AP84="Defence/ Protective Service")+($AP84="Sports"))&gt;0,"Arts / Humanities",""))))</f>
        <v/>
      </c>
      <c r="BC84" s="5" t="str">
        <f aca="false">IF($AL84="","",IF((($AL84="Engineering and Technology")+($AL84="Science and Mathematics")+($AL84="Computer Science, IT and Allied Fields")+($AL84="Life Sciences /Medicine and Healthcare")+($AL84="Paramedical")+($AL84="Architecture")+($AL84="Environmental Service")+($AL84="Agriculture, Food Industry and Forestry"))&gt;0,"Science",IF((($AL84="Banking and Finance")+($AL84="Management and Administration")+($AL84="Marketing")+($AL84="Sales")+($AL84="Entrepreneurship")+($AL84="Hospitality and Tourism"))&gt;0,"Commerce",IF((($AL84="Social Sciences and Humanities")+($AL84="Law Studies")+($AL84="Education and Training")+($AL84="Art, Design")+($AL84="Entertainment and Mass Media")+($AL84="Community and Social Service")+($AL84="Personal Care and Services")+($AL84="Government and Public Administration")+($AL84="Defence/ Protective Service")+($AL84="Sports"))&gt;0,"Arts / Humanities",""))))</f>
        <v/>
      </c>
      <c r="BD84" s="5" t="str">
        <f aca="false">IF($B84="","",--(F84&gt;=10)+--(G84&gt;=10)+--(H84&gt;=10)+--(I84&gt;=10)+--(J84&gt;=10)+--(K84&gt;=10)+--(L84&gt;=10)+--(M84&gt;=10)+--(N84&gt;=10)+--(O84&gt;=10))</f>
        <v/>
      </c>
      <c r="BE84" s="5" t="str">
        <f aca="false">IF($B84="","",--(AND(F84&lt;&gt;"",F84&lt;=8))+--(AND(G84&lt;&gt;"",G84&lt;=8))+--(AND(H84&lt;&gt;"",H84&lt;=8))+--(AND(I84&lt;&gt;"",I84&lt;=8))+--(AND(J84&lt;&gt;"",J84&lt;=8))+--(AND(K84&lt;&gt;"",K84&lt;=8))+--(AND(L84&lt;&gt;"",L84&lt;=8))+--(AND(M84&lt;&gt;"",M84&lt;=8))+--(AND(N84&lt;&gt;"",N84&lt;=8))+--(AND(O84&lt;&gt;"",O84&lt;=8)))</f>
        <v/>
      </c>
    </row>
    <row r="85" customFormat="false" ht="15" hidden="false" customHeight="false" outlineLevel="0" collapsed="false">
      <c r="AZ85" s="5" t="str">
        <f aca="false">IF($B85="","",SUMPRODUCT(($AL85:$AO85&lt;&gt;"")*(COUNTIF($AP85:$AX85,$AL85:$AO85)&gt;0)))</f>
        <v/>
      </c>
      <c r="BA85" s="5" t="str">
        <f aca="false">IF($B85="","",IF(AZ85&gt;0,1,0))</f>
        <v/>
      </c>
      <c r="BB85" s="5" t="str">
        <f aca="false">IF($AP85="","",IF((($AP85="Engineering and Technology")+($AP85="Science and Mathematics")+($AP85="Computer Science, IT and Allied Fields")+($AP85="Life Sciences /Medicine and Healthcare")+($AP85="Paramedical")+($AP85="Architecture")+($AP85="Environmental Service")+($AP85="Agriculture, Food Industry and Forestry"))&gt;0,"Science",IF((($AP85="Banking and Finance")+($AP85="Management and Administration")+($AP85="Marketing")+($AP85="Sales")+($AP85="Entrepreneurship")+($AP85="Hospitality and Tourism"))&gt;0,"Commerce",IF((($AP85="Social Sciences and Humanities")+($AP85="Law Studies")+($AP85="Education and Training")+($AP85="Art, Design")+($AP85="Entertainment and Mass Media")+($AP85="Community and Social Service")+($AP85="Personal Care and Services")+($AP85="Government and Public Administration")+($AP85="Defence/ Protective Service")+($AP85="Sports"))&gt;0,"Arts / Humanities",""))))</f>
        <v/>
      </c>
      <c r="BC85" s="5" t="str">
        <f aca="false">IF($AL85="","",IF((($AL85="Engineering and Technology")+($AL85="Science and Mathematics")+($AL85="Computer Science, IT and Allied Fields")+($AL85="Life Sciences /Medicine and Healthcare")+($AL85="Paramedical")+($AL85="Architecture")+($AL85="Environmental Service")+($AL85="Agriculture, Food Industry and Forestry"))&gt;0,"Science",IF((($AL85="Banking and Finance")+($AL85="Management and Administration")+($AL85="Marketing")+($AL85="Sales")+($AL85="Entrepreneurship")+($AL85="Hospitality and Tourism"))&gt;0,"Commerce",IF((($AL85="Social Sciences and Humanities")+($AL85="Law Studies")+($AL85="Education and Training")+($AL85="Art, Design")+($AL85="Entertainment and Mass Media")+($AL85="Community and Social Service")+($AL85="Personal Care and Services")+($AL85="Government and Public Administration")+($AL85="Defence/ Protective Service")+($AL85="Sports"))&gt;0,"Arts / Humanities",""))))</f>
        <v/>
      </c>
      <c r="BD85" s="5" t="str">
        <f aca="false">IF($B85="","",--(F85&gt;=10)+--(G85&gt;=10)+--(H85&gt;=10)+--(I85&gt;=10)+--(J85&gt;=10)+--(K85&gt;=10)+--(L85&gt;=10)+--(M85&gt;=10)+--(N85&gt;=10)+--(O85&gt;=10))</f>
        <v/>
      </c>
      <c r="BE85" s="5" t="str">
        <f aca="false">IF($B85="","",--(AND(F85&lt;&gt;"",F85&lt;=8))+--(AND(G85&lt;&gt;"",G85&lt;=8))+--(AND(H85&lt;&gt;"",H85&lt;=8))+--(AND(I85&lt;&gt;"",I85&lt;=8))+--(AND(J85&lt;&gt;"",J85&lt;=8))+--(AND(K85&lt;&gt;"",K85&lt;=8))+--(AND(L85&lt;&gt;"",L85&lt;=8))+--(AND(M85&lt;&gt;"",M85&lt;=8))+--(AND(N85&lt;&gt;"",N85&lt;=8))+--(AND(O85&lt;&gt;"",O85&lt;=8)))</f>
        <v/>
      </c>
    </row>
    <row r="86" customFormat="false" ht="15" hidden="false" customHeight="false" outlineLevel="0" collapsed="false">
      <c r="AZ86" s="5" t="str">
        <f aca="false">IF($B86="","",SUMPRODUCT(($AL86:$AO86&lt;&gt;"")*(COUNTIF($AP86:$AX86,$AL86:$AO86)&gt;0)))</f>
        <v/>
      </c>
      <c r="BA86" s="5" t="str">
        <f aca="false">IF($B86="","",IF(AZ86&gt;0,1,0))</f>
        <v/>
      </c>
      <c r="BB86" s="5" t="str">
        <f aca="false">IF($AP86="","",IF((($AP86="Engineering and Technology")+($AP86="Science and Mathematics")+($AP86="Computer Science, IT and Allied Fields")+($AP86="Life Sciences /Medicine and Healthcare")+($AP86="Paramedical")+($AP86="Architecture")+($AP86="Environmental Service")+($AP86="Agriculture, Food Industry and Forestry"))&gt;0,"Science",IF((($AP86="Banking and Finance")+($AP86="Management and Administration")+($AP86="Marketing")+($AP86="Sales")+($AP86="Entrepreneurship")+($AP86="Hospitality and Tourism"))&gt;0,"Commerce",IF((($AP86="Social Sciences and Humanities")+($AP86="Law Studies")+($AP86="Education and Training")+($AP86="Art, Design")+($AP86="Entertainment and Mass Media")+($AP86="Community and Social Service")+($AP86="Personal Care and Services")+($AP86="Government and Public Administration")+($AP86="Defence/ Protective Service")+($AP86="Sports"))&gt;0,"Arts / Humanities",""))))</f>
        <v/>
      </c>
      <c r="BC86" s="5" t="str">
        <f aca="false">IF($AL86="","",IF((($AL86="Engineering and Technology")+($AL86="Science and Mathematics")+($AL86="Computer Science, IT and Allied Fields")+($AL86="Life Sciences /Medicine and Healthcare")+($AL86="Paramedical")+($AL86="Architecture")+($AL86="Environmental Service")+($AL86="Agriculture, Food Industry and Forestry"))&gt;0,"Science",IF((($AL86="Banking and Finance")+($AL86="Management and Administration")+($AL86="Marketing")+($AL86="Sales")+($AL86="Entrepreneurship")+($AL86="Hospitality and Tourism"))&gt;0,"Commerce",IF((($AL86="Social Sciences and Humanities")+($AL86="Law Studies")+($AL86="Education and Training")+($AL86="Art, Design")+($AL86="Entertainment and Mass Media")+($AL86="Community and Social Service")+($AL86="Personal Care and Services")+($AL86="Government and Public Administration")+($AL86="Defence/ Protective Service")+($AL86="Sports"))&gt;0,"Arts / Humanities",""))))</f>
        <v/>
      </c>
      <c r="BD86" s="5" t="str">
        <f aca="false">IF($B86="","",--(F86&gt;=10)+--(G86&gt;=10)+--(H86&gt;=10)+--(I86&gt;=10)+--(J86&gt;=10)+--(K86&gt;=10)+--(L86&gt;=10)+--(M86&gt;=10)+--(N86&gt;=10)+--(O86&gt;=10))</f>
        <v/>
      </c>
      <c r="BE86" s="5" t="str">
        <f aca="false">IF($B86="","",--(AND(F86&lt;&gt;"",F86&lt;=8))+--(AND(G86&lt;&gt;"",G86&lt;=8))+--(AND(H86&lt;&gt;"",H86&lt;=8))+--(AND(I86&lt;&gt;"",I86&lt;=8))+--(AND(J86&lt;&gt;"",J86&lt;=8))+--(AND(K86&lt;&gt;"",K86&lt;=8))+--(AND(L86&lt;&gt;"",L86&lt;=8))+--(AND(M86&lt;&gt;"",M86&lt;=8))+--(AND(N86&lt;&gt;"",N86&lt;=8))+--(AND(O86&lt;&gt;"",O86&lt;=8)))</f>
        <v/>
      </c>
    </row>
    <row r="87" customFormat="false" ht="15" hidden="false" customHeight="false" outlineLevel="0" collapsed="false">
      <c r="AZ87" s="5" t="str">
        <f aca="false">IF($B87="","",SUMPRODUCT(($AL87:$AO87&lt;&gt;"")*(COUNTIF($AP87:$AX87,$AL87:$AO87)&gt;0)))</f>
        <v/>
      </c>
      <c r="BA87" s="5" t="str">
        <f aca="false">IF($B87="","",IF(AZ87&gt;0,1,0))</f>
        <v/>
      </c>
      <c r="BB87" s="5" t="str">
        <f aca="false">IF($AP87="","",IF((($AP87="Engineering and Technology")+($AP87="Science and Mathematics")+($AP87="Computer Science, IT and Allied Fields")+($AP87="Life Sciences /Medicine and Healthcare")+($AP87="Paramedical")+($AP87="Architecture")+($AP87="Environmental Service")+($AP87="Agriculture, Food Industry and Forestry"))&gt;0,"Science",IF((($AP87="Banking and Finance")+($AP87="Management and Administration")+($AP87="Marketing")+($AP87="Sales")+($AP87="Entrepreneurship")+($AP87="Hospitality and Tourism"))&gt;0,"Commerce",IF((($AP87="Social Sciences and Humanities")+($AP87="Law Studies")+($AP87="Education and Training")+($AP87="Art, Design")+($AP87="Entertainment and Mass Media")+($AP87="Community and Social Service")+($AP87="Personal Care and Services")+($AP87="Government and Public Administration")+($AP87="Defence/ Protective Service")+($AP87="Sports"))&gt;0,"Arts / Humanities",""))))</f>
        <v/>
      </c>
      <c r="BC87" s="5" t="str">
        <f aca="false">IF($AL87="","",IF((($AL87="Engineering and Technology")+($AL87="Science and Mathematics")+($AL87="Computer Science, IT and Allied Fields")+($AL87="Life Sciences /Medicine and Healthcare")+($AL87="Paramedical")+($AL87="Architecture")+($AL87="Environmental Service")+($AL87="Agriculture, Food Industry and Forestry"))&gt;0,"Science",IF((($AL87="Banking and Finance")+($AL87="Management and Administration")+($AL87="Marketing")+($AL87="Sales")+($AL87="Entrepreneurship")+($AL87="Hospitality and Tourism"))&gt;0,"Commerce",IF((($AL87="Social Sciences and Humanities")+($AL87="Law Studies")+($AL87="Education and Training")+($AL87="Art, Design")+($AL87="Entertainment and Mass Media")+($AL87="Community and Social Service")+($AL87="Personal Care and Services")+($AL87="Government and Public Administration")+($AL87="Defence/ Protective Service")+($AL87="Sports"))&gt;0,"Arts / Humanities",""))))</f>
        <v/>
      </c>
      <c r="BD87" s="5" t="str">
        <f aca="false">IF($B87="","",--(F87&gt;=10)+--(G87&gt;=10)+--(H87&gt;=10)+--(I87&gt;=10)+--(J87&gt;=10)+--(K87&gt;=10)+--(L87&gt;=10)+--(M87&gt;=10)+--(N87&gt;=10)+--(O87&gt;=10))</f>
        <v/>
      </c>
      <c r="BE87" s="5" t="str">
        <f aca="false">IF($B87="","",--(AND(F87&lt;&gt;"",F87&lt;=8))+--(AND(G87&lt;&gt;"",G87&lt;=8))+--(AND(H87&lt;&gt;"",H87&lt;=8))+--(AND(I87&lt;&gt;"",I87&lt;=8))+--(AND(J87&lt;&gt;"",J87&lt;=8))+--(AND(K87&lt;&gt;"",K87&lt;=8))+--(AND(L87&lt;&gt;"",L87&lt;=8))+--(AND(M87&lt;&gt;"",M87&lt;=8))+--(AND(N87&lt;&gt;"",N87&lt;=8))+--(AND(O87&lt;&gt;"",O87&lt;=8)))</f>
        <v/>
      </c>
    </row>
    <row r="88" customFormat="false" ht="15" hidden="false" customHeight="false" outlineLevel="0" collapsed="false">
      <c r="AZ88" s="5" t="str">
        <f aca="false">IF($B88="","",SUMPRODUCT(($AL88:$AO88&lt;&gt;"")*(COUNTIF($AP88:$AX88,$AL88:$AO88)&gt;0)))</f>
        <v/>
      </c>
      <c r="BA88" s="5" t="str">
        <f aca="false">IF($B88="","",IF(AZ88&gt;0,1,0))</f>
        <v/>
      </c>
      <c r="BB88" s="5" t="str">
        <f aca="false">IF($AP88="","",IF((($AP88="Engineering and Technology")+($AP88="Science and Mathematics")+($AP88="Computer Science, IT and Allied Fields")+($AP88="Life Sciences /Medicine and Healthcare")+($AP88="Paramedical")+($AP88="Architecture")+($AP88="Environmental Service")+($AP88="Agriculture, Food Industry and Forestry"))&gt;0,"Science",IF((($AP88="Banking and Finance")+($AP88="Management and Administration")+($AP88="Marketing")+($AP88="Sales")+($AP88="Entrepreneurship")+($AP88="Hospitality and Tourism"))&gt;0,"Commerce",IF((($AP88="Social Sciences and Humanities")+($AP88="Law Studies")+($AP88="Education and Training")+($AP88="Art, Design")+($AP88="Entertainment and Mass Media")+($AP88="Community and Social Service")+($AP88="Personal Care and Services")+($AP88="Government and Public Administration")+($AP88="Defence/ Protective Service")+($AP88="Sports"))&gt;0,"Arts / Humanities",""))))</f>
        <v/>
      </c>
      <c r="BC88" s="5" t="str">
        <f aca="false">IF($AL88="","",IF((($AL88="Engineering and Technology")+($AL88="Science and Mathematics")+($AL88="Computer Science, IT and Allied Fields")+($AL88="Life Sciences /Medicine and Healthcare")+($AL88="Paramedical")+($AL88="Architecture")+($AL88="Environmental Service")+($AL88="Agriculture, Food Industry and Forestry"))&gt;0,"Science",IF((($AL88="Banking and Finance")+($AL88="Management and Administration")+($AL88="Marketing")+($AL88="Sales")+($AL88="Entrepreneurship")+($AL88="Hospitality and Tourism"))&gt;0,"Commerce",IF((($AL88="Social Sciences and Humanities")+($AL88="Law Studies")+($AL88="Education and Training")+($AL88="Art, Design")+($AL88="Entertainment and Mass Media")+($AL88="Community and Social Service")+($AL88="Personal Care and Services")+($AL88="Government and Public Administration")+($AL88="Defence/ Protective Service")+($AL88="Sports"))&gt;0,"Arts / Humanities",""))))</f>
        <v/>
      </c>
      <c r="BD88" s="5" t="str">
        <f aca="false">IF($B88="","",--(F88&gt;=10)+--(G88&gt;=10)+--(H88&gt;=10)+--(I88&gt;=10)+--(J88&gt;=10)+--(K88&gt;=10)+--(L88&gt;=10)+--(M88&gt;=10)+--(N88&gt;=10)+--(O88&gt;=10))</f>
        <v/>
      </c>
      <c r="BE88" s="5" t="str">
        <f aca="false">IF($B88="","",--(AND(F88&lt;&gt;"",F88&lt;=8))+--(AND(G88&lt;&gt;"",G88&lt;=8))+--(AND(H88&lt;&gt;"",H88&lt;=8))+--(AND(I88&lt;&gt;"",I88&lt;=8))+--(AND(J88&lt;&gt;"",J88&lt;=8))+--(AND(K88&lt;&gt;"",K88&lt;=8))+--(AND(L88&lt;&gt;"",L88&lt;=8))+--(AND(M88&lt;&gt;"",M88&lt;=8))+--(AND(N88&lt;&gt;"",N88&lt;=8))+--(AND(O88&lt;&gt;"",O88&lt;=8)))</f>
        <v/>
      </c>
    </row>
    <row r="89" customFormat="false" ht="15" hidden="false" customHeight="false" outlineLevel="0" collapsed="false">
      <c r="AZ89" s="5" t="str">
        <f aca="false">IF($B89="","",SUMPRODUCT(($AL89:$AO89&lt;&gt;"")*(COUNTIF($AP89:$AX89,$AL89:$AO89)&gt;0)))</f>
        <v/>
      </c>
      <c r="BA89" s="5" t="str">
        <f aca="false">IF($B89="","",IF(AZ89&gt;0,1,0))</f>
        <v/>
      </c>
      <c r="BB89" s="5" t="str">
        <f aca="false">IF($AP89="","",IF((($AP89="Engineering and Technology")+($AP89="Science and Mathematics")+($AP89="Computer Science, IT and Allied Fields")+($AP89="Life Sciences /Medicine and Healthcare")+($AP89="Paramedical")+($AP89="Architecture")+($AP89="Environmental Service")+($AP89="Agriculture, Food Industry and Forestry"))&gt;0,"Science",IF((($AP89="Banking and Finance")+($AP89="Management and Administration")+($AP89="Marketing")+($AP89="Sales")+($AP89="Entrepreneurship")+($AP89="Hospitality and Tourism"))&gt;0,"Commerce",IF((($AP89="Social Sciences and Humanities")+($AP89="Law Studies")+($AP89="Education and Training")+($AP89="Art, Design")+($AP89="Entertainment and Mass Media")+($AP89="Community and Social Service")+($AP89="Personal Care and Services")+($AP89="Government and Public Administration")+($AP89="Defence/ Protective Service")+($AP89="Sports"))&gt;0,"Arts / Humanities",""))))</f>
        <v/>
      </c>
      <c r="BC89" s="5" t="str">
        <f aca="false">IF($AL89="","",IF((($AL89="Engineering and Technology")+($AL89="Science and Mathematics")+($AL89="Computer Science, IT and Allied Fields")+($AL89="Life Sciences /Medicine and Healthcare")+($AL89="Paramedical")+($AL89="Architecture")+($AL89="Environmental Service")+($AL89="Agriculture, Food Industry and Forestry"))&gt;0,"Science",IF((($AL89="Banking and Finance")+($AL89="Management and Administration")+($AL89="Marketing")+($AL89="Sales")+($AL89="Entrepreneurship")+($AL89="Hospitality and Tourism"))&gt;0,"Commerce",IF((($AL89="Social Sciences and Humanities")+($AL89="Law Studies")+($AL89="Education and Training")+($AL89="Art, Design")+($AL89="Entertainment and Mass Media")+($AL89="Community and Social Service")+($AL89="Personal Care and Services")+($AL89="Government and Public Administration")+($AL89="Defence/ Protective Service")+($AL89="Sports"))&gt;0,"Arts / Humanities",""))))</f>
        <v/>
      </c>
      <c r="BD89" s="5" t="str">
        <f aca="false">IF($B89="","",--(F89&gt;=10)+--(G89&gt;=10)+--(H89&gt;=10)+--(I89&gt;=10)+--(J89&gt;=10)+--(K89&gt;=10)+--(L89&gt;=10)+--(M89&gt;=10)+--(N89&gt;=10)+--(O89&gt;=10))</f>
        <v/>
      </c>
      <c r="BE89" s="5" t="str">
        <f aca="false">IF($B89="","",--(AND(F89&lt;&gt;"",F89&lt;=8))+--(AND(G89&lt;&gt;"",G89&lt;=8))+--(AND(H89&lt;&gt;"",H89&lt;=8))+--(AND(I89&lt;&gt;"",I89&lt;=8))+--(AND(J89&lt;&gt;"",J89&lt;=8))+--(AND(K89&lt;&gt;"",K89&lt;=8))+--(AND(L89&lt;&gt;"",L89&lt;=8))+--(AND(M89&lt;&gt;"",M89&lt;=8))+--(AND(N89&lt;&gt;"",N89&lt;=8))+--(AND(O89&lt;&gt;"",O89&lt;=8)))</f>
        <v/>
      </c>
    </row>
    <row r="90" customFormat="false" ht="15" hidden="false" customHeight="false" outlineLevel="0" collapsed="false">
      <c r="AZ90" s="5" t="str">
        <f aca="false">IF($B90="","",SUMPRODUCT(($AL90:$AO90&lt;&gt;"")*(COUNTIF($AP90:$AX90,$AL90:$AO90)&gt;0)))</f>
        <v/>
      </c>
      <c r="BA90" s="5" t="str">
        <f aca="false">IF($B90="","",IF(AZ90&gt;0,1,0))</f>
        <v/>
      </c>
      <c r="BB90" s="5" t="str">
        <f aca="false">IF($AP90="","",IF((($AP90="Engineering and Technology")+($AP90="Science and Mathematics")+($AP90="Computer Science, IT and Allied Fields")+($AP90="Life Sciences /Medicine and Healthcare")+($AP90="Paramedical")+($AP90="Architecture")+($AP90="Environmental Service")+($AP90="Agriculture, Food Industry and Forestry"))&gt;0,"Science",IF((($AP90="Banking and Finance")+($AP90="Management and Administration")+($AP90="Marketing")+($AP90="Sales")+($AP90="Entrepreneurship")+($AP90="Hospitality and Tourism"))&gt;0,"Commerce",IF((($AP90="Social Sciences and Humanities")+($AP90="Law Studies")+($AP90="Education and Training")+($AP90="Art, Design")+($AP90="Entertainment and Mass Media")+($AP90="Community and Social Service")+($AP90="Personal Care and Services")+($AP90="Government and Public Administration")+($AP90="Defence/ Protective Service")+($AP90="Sports"))&gt;0,"Arts / Humanities",""))))</f>
        <v/>
      </c>
      <c r="BC90" s="5" t="str">
        <f aca="false">IF($AL90="","",IF((($AL90="Engineering and Technology")+($AL90="Science and Mathematics")+($AL90="Computer Science, IT and Allied Fields")+($AL90="Life Sciences /Medicine and Healthcare")+($AL90="Paramedical")+($AL90="Architecture")+($AL90="Environmental Service")+($AL90="Agriculture, Food Industry and Forestry"))&gt;0,"Science",IF((($AL90="Banking and Finance")+($AL90="Management and Administration")+($AL90="Marketing")+($AL90="Sales")+($AL90="Entrepreneurship")+($AL90="Hospitality and Tourism"))&gt;0,"Commerce",IF((($AL90="Social Sciences and Humanities")+($AL90="Law Studies")+($AL90="Education and Training")+($AL90="Art, Design")+($AL90="Entertainment and Mass Media")+($AL90="Community and Social Service")+($AL90="Personal Care and Services")+($AL90="Government and Public Administration")+($AL90="Defence/ Protective Service")+($AL90="Sports"))&gt;0,"Arts / Humanities",""))))</f>
        <v/>
      </c>
      <c r="BD90" s="5" t="str">
        <f aca="false">IF($B90="","",--(F90&gt;=10)+--(G90&gt;=10)+--(H90&gt;=10)+--(I90&gt;=10)+--(J90&gt;=10)+--(K90&gt;=10)+--(L90&gt;=10)+--(M90&gt;=10)+--(N90&gt;=10)+--(O90&gt;=10))</f>
        <v/>
      </c>
      <c r="BE90" s="5" t="str">
        <f aca="false">IF($B90="","",--(AND(F90&lt;&gt;"",F90&lt;=8))+--(AND(G90&lt;&gt;"",G90&lt;=8))+--(AND(H90&lt;&gt;"",H90&lt;=8))+--(AND(I90&lt;&gt;"",I90&lt;=8))+--(AND(J90&lt;&gt;"",J90&lt;=8))+--(AND(K90&lt;&gt;"",K90&lt;=8))+--(AND(L90&lt;&gt;"",L90&lt;=8))+--(AND(M90&lt;&gt;"",M90&lt;=8))+--(AND(N90&lt;&gt;"",N90&lt;=8))+--(AND(O90&lt;&gt;"",O90&lt;=8)))</f>
        <v/>
      </c>
    </row>
    <row r="91" customFormat="false" ht="15" hidden="false" customHeight="false" outlineLevel="0" collapsed="false">
      <c r="AZ91" s="5" t="str">
        <f aca="false">IF($B91="","",SUMPRODUCT(($AL91:$AO91&lt;&gt;"")*(COUNTIF($AP91:$AX91,$AL91:$AO91)&gt;0)))</f>
        <v/>
      </c>
      <c r="BA91" s="5" t="str">
        <f aca="false">IF($B91="","",IF(AZ91&gt;0,1,0))</f>
        <v/>
      </c>
      <c r="BB91" s="5" t="str">
        <f aca="false">IF($AP91="","",IF((($AP91="Engineering and Technology")+($AP91="Science and Mathematics")+($AP91="Computer Science, IT and Allied Fields")+($AP91="Life Sciences /Medicine and Healthcare")+($AP91="Paramedical")+($AP91="Architecture")+($AP91="Environmental Service")+($AP91="Agriculture, Food Industry and Forestry"))&gt;0,"Science",IF((($AP91="Banking and Finance")+($AP91="Management and Administration")+($AP91="Marketing")+($AP91="Sales")+($AP91="Entrepreneurship")+($AP91="Hospitality and Tourism"))&gt;0,"Commerce",IF((($AP91="Social Sciences and Humanities")+($AP91="Law Studies")+($AP91="Education and Training")+($AP91="Art, Design")+($AP91="Entertainment and Mass Media")+($AP91="Community and Social Service")+($AP91="Personal Care and Services")+($AP91="Government and Public Administration")+($AP91="Defence/ Protective Service")+($AP91="Sports"))&gt;0,"Arts / Humanities",""))))</f>
        <v/>
      </c>
      <c r="BC91" s="5" t="str">
        <f aca="false">IF($AL91="","",IF((($AL91="Engineering and Technology")+($AL91="Science and Mathematics")+($AL91="Computer Science, IT and Allied Fields")+($AL91="Life Sciences /Medicine and Healthcare")+($AL91="Paramedical")+($AL91="Architecture")+($AL91="Environmental Service")+($AL91="Agriculture, Food Industry and Forestry"))&gt;0,"Science",IF((($AL91="Banking and Finance")+($AL91="Management and Administration")+($AL91="Marketing")+($AL91="Sales")+($AL91="Entrepreneurship")+($AL91="Hospitality and Tourism"))&gt;0,"Commerce",IF((($AL91="Social Sciences and Humanities")+($AL91="Law Studies")+($AL91="Education and Training")+($AL91="Art, Design")+($AL91="Entertainment and Mass Media")+($AL91="Community and Social Service")+($AL91="Personal Care and Services")+($AL91="Government and Public Administration")+($AL91="Defence/ Protective Service")+($AL91="Sports"))&gt;0,"Arts / Humanities",""))))</f>
        <v/>
      </c>
      <c r="BD91" s="5" t="str">
        <f aca="false">IF($B91="","",--(F91&gt;=10)+--(G91&gt;=10)+--(H91&gt;=10)+--(I91&gt;=10)+--(J91&gt;=10)+--(K91&gt;=10)+--(L91&gt;=10)+--(M91&gt;=10)+--(N91&gt;=10)+--(O91&gt;=10))</f>
        <v/>
      </c>
      <c r="BE91" s="5" t="str">
        <f aca="false">IF($B91="","",--(AND(F91&lt;&gt;"",F91&lt;=8))+--(AND(G91&lt;&gt;"",G91&lt;=8))+--(AND(H91&lt;&gt;"",H91&lt;=8))+--(AND(I91&lt;&gt;"",I91&lt;=8))+--(AND(J91&lt;&gt;"",J91&lt;=8))+--(AND(K91&lt;&gt;"",K91&lt;=8))+--(AND(L91&lt;&gt;"",L91&lt;=8))+--(AND(M91&lt;&gt;"",M91&lt;=8))+--(AND(N91&lt;&gt;"",N91&lt;=8))+--(AND(O91&lt;&gt;"",O91&lt;=8)))</f>
        <v/>
      </c>
    </row>
    <row r="92" customFormat="false" ht="15" hidden="false" customHeight="false" outlineLevel="0" collapsed="false">
      <c r="AZ92" s="5" t="str">
        <f aca="false">IF($B92="","",SUMPRODUCT(($AL92:$AO92&lt;&gt;"")*(COUNTIF($AP92:$AX92,$AL92:$AO92)&gt;0)))</f>
        <v/>
      </c>
      <c r="BA92" s="5" t="str">
        <f aca="false">IF($B92="","",IF(AZ92&gt;0,1,0))</f>
        <v/>
      </c>
      <c r="BB92" s="5" t="str">
        <f aca="false">IF($AP92="","",IF((($AP92="Engineering and Technology")+($AP92="Science and Mathematics")+($AP92="Computer Science, IT and Allied Fields")+($AP92="Life Sciences /Medicine and Healthcare")+($AP92="Paramedical")+($AP92="Architecture")+($AP92="Environmental Service")+($AP92="Agriculture, Food Industry and Forestry"))&gt;0,"Science",IF((($AP92="Banking and Finance")+($AP92="Management and Administration")+($AP92="Marketing")+($AP92="Sales")+($AP92="Entrepreneurship")+($AP92="Hospitality and Tourism"))&gt;0,"Commerce",IF((($AP92="Social Sciences and Humanities")+($AP92="Law Studies")+($AP92="Education and Training")+($AP92="Art, Design")+($AP92="Entertainment and Mass Media")+($AP92="Community and Social Service")+($AP92="Personal Care and Services")+($AP92="Government and Public Administration")+($AP92="Defence/ Protective Service")+($AP92="Sports"))&gt;0,"Arts / Humanities",""))))</f>
        <v/>
      </c>
      <c r="BC92" s="5" t="str">
        <f aca="false">IF($AL92="","",IF((($AL92="Engineering and Technology")+($AL92="Science and Mathematics")+($AL92="Computer Science, IT and Allied Fields")+($AL92="Life Sciences /Medicine and Healthcare")+($AL92="Paramedical")+($AL92="Architecture")+($AL92="Environmental Service")+($AL92="Agriculture, Food Industry and Forestry"))&gt;0,"Science",IF((($AL92="Banking and Finance")+($AL92="Management and Administration")+($AL92="Marketing")+($AL92="Sales")+($AL92="Entrepreneurship")+($AL92="Hospitality and Tourism"))&gt;0,"Commerce",IF((($AL92="Social Sciences and Humanities")+($AL92="Law Studies")+($AL92="Education and Training")+($AL92="Art, Design")+($AL92="Entertainment and Mass Media")+($AL92="Community and Social Service")+($AL92="Personal Care and Services")+($AL92="Government and Public Administration")+($AL92="Defence/ Protective Service")+($AL92="Sports"))&gt;0,"Arts / Humanities",""))))</f>
        <v/>
      </c>
      <c r="BD92" s="5" t="str">
        <f aca="false">IF($B92="","",--(F92&gt;=10)+--(G92&gt;=10)+--(H92&gt;=10)+--(I92&gt;=10)+--(J92&gt;=10)+--(K92&gt;=10)+--(L92&gt;=10)+--(M92&gt;=10)+--(N92&gt;=10)+--(O92&gt;=10))</f>
        <v/>
      </c>
      <c r="BE92" s="5" t="str">
        <f aca="false">IF($B92="","",--(AND(F92&lt;&gt;"",F92&lt;=8))+--(AND(G92&lt;&gt;"",G92&lt;=8))+--(AND(H92&lt;&gt;"",H92&lt;=8))+--(AND(I92&lt;&gt;"",I92&lt;=8))+--(AND(J92&lt;&gt;"",J92&lt;=8))+--(AND(K92&lt;&gt;"",K92&lt;=8))+--(AND(L92&lt;&gt;"",L92&lt;=8))+--(AND(M92&lt;&gt;"",M92&lt;=8))+--(AND(N92&lt;&gt;"",N92&lt;=8))+--(AND(O92&lt;&gt;"",O92&lt;=8)))</f>
        <v/>
      </c>
    </row>
    <row r="93" customFormat="false" ht="15" hidden="false" customHeight="false" outlineLevel="0" collapsed="false">
      <c r="AZ93" s="5" t="str">
        <f aca="false">IF($B93="","",SUMPRODUCT(($AL93:$AO93&lt;&gt;"")*(COUNTIF($AP93:$AX93,$AL93:$AO93)&gt;0)))</f>
        <v/>
      </c>
      <c r="BA93" s="5" t="str">
        <f aca="false">IF($B93="","",IF(AZ93&gt;0,1,0))</f>
        <v/>
      </c>
      <c r="BB93" s="5" t="str">
        <f aca="false">IF($AP93="","",IF((($AP93="Engineering and Technology")+($AP93="Science and Mathematics")+($AP93="Computer Science, IT and Allied Fields")+($AP93="Life Sciences /Medicine and Healthcare")+($AP93="Paramedical")+($AP93="Architecture")+($AP93="Environmental Service")+($AP93="Agriculture, Food Industry and Forestry"))&gt;0,"Science",IF((($AP93="Banking and Finance")+($AP93="Management and Administration")+($AP93="Marketing")+($AP93="Sales")+($AP93="Entrepreneurship")+($AP93="Hospitality and Tourism"))&gt;0,"Commerce",IF((($AP93="Social Sciences and Humanities")+($AP93="Law Studies")+($AP93="Education and Training")+($AP93="Art, Design")+($AP93="Entertainment and Mass Media")+($AP93="Community and Social Service")+($AP93="Personal Care and Services")+($AP93="Government and Public Administration")+($AP93="Defence/ Protective Service")+($AP93="Sports"))&gt;0,"Arts / Humanities",""))))</f>
        <v/>
      </c>
      <c r="BC93" s="5" t="str">
        <f aca="false">IF($AL93="","",IF((($AL93="Engineering and Technology")+($AL93="Science and Mathematics")+($AL93="Computer Science, IT and Allied Fields")+($AL93="Life Sciences /Medicine and Healthcare")+($AL93="Paramedical")+($AL93="Architecture")+($AL93="Environmental Service")+($AL93="Agriculture, Food Industry and Forestry"))&gt;0,"Science",IF((($AL93="Banking and Finance")+($AL93="Management and Administration")+($AL93="Marketing")+($AL93="Sales")+($AL93="Entrepreneurship")+($AL93="Hospitality and Tourism"))&gt;0,"Commerce",IF((($AL93="Social Sciences and Humanities")+($AL93="Law Studies")+($AL93="Education and Training")+($AL93="Art, Design")+($AL93="Entertainment and Mass Media")+($AL93="Community and Social Service")+($AL93="Personal Care and Services")+($AL93="Government and Public Administration")+($AL93="Defence/ Protective Service")+($AL93="Sports"))&gt;0,"Arts / Humanities",""))))</f>
        <v/>
      </c>
      <c r="BD93" s="5" t="str">
        <f aca="false">IF($B93="","",--(F93&gt;=10)+--(G93&gt;=10)+--(H93&gt;=10)+--(I93&gt;=10)+--(J93&gt;=10)+--(K93&gt;=10)+--(L93&gt;=10)+--(M93&gt;=10)+--(N93&gt;=10)+--(O93&gt;=10))</f>
        <v/>
      </c>
      <c r="BE93" s="5" t="str">
        <f aca="false">IF($B93="","",--(AND(F93&lt;&gt;"",F93&lt;=8))+--(AND(G93&lt;&gt;"",G93&lt;=8))+--(AND(H93&lt;&gt;"",H93&lt;=8))+--(AND(I93&lt;&gt;"",I93&lt;=8))+--(AND(J93&lt;&gt;"",J93&lt;=8))+--(AND(K93&lt;&gt;"",K93&lt;=8))+--(AND(L93&lt;&gt;"",L93&lt;=8))+--(AND(M93&lt;&gt;"",M93&lt;=8))+--(AND(N93&lt;&gt;"",N93&lt;=8))+--(AND(O93&lt;&gt;"",O93&lt;=8)))</f>
        <v/>
      </c>
    </row>
    <row r="94" customFormat="false" ht="15" hidden="false" customHeight="false" outlineLevel="0" collapsed="false">
      <c r="AZ94" s="5" t="str">
        <f aca="false">IF($B94="","",SUMPRODUCT(($AL94:$AO94&lt;&gt;"")*(COUNTIF($AP94:$AX94,$AL94:$AO94)&gt;0)))</f>
        <v/>
      </c>
      <c r="BA94" s="5" t="str">
        <f aca="false">IF($B94="","",IF(AZ94&gt;0,1,0))</f>
        <v/>
      </c>
      <c r="BB94" s="5" t="str">
        <f aca="false">IF($AP94="","",IF((($AP94="Engineering and Technology")+($AP94="Science and Mathematics")+($AP94="Computer Science, IT and Allied Fields")+($AP94="Life Sciences /Medicine and Healthcare")+($AP94="Paramedical")+($AP94="Architecture")+($AP94="Environmental Service")+($AP94="Agriculture, Food Industry and Forestry"))&gt;0,"Science",IF((($AP94="Banking and Finance")+($AP94="Management and Administration")+($AP94="Marketing")+($AP94="Sales")+($AP94="Entrepreneurship")+($AP94="Hospitality and Tourism"))&gt;0,"Commerce",IF((($AP94="Social Sciences and Humanities")+($AP94="Law Studies")+($AP94="Education and Training")+($AP94="Art, Design")+($AP94="Entertainment and Mass Media")+($AP94="Community and Social Service")+($AP94="Personal Care and Services")+($AP94="Government and Public Administration")+($AP94="Defence/ Protective Service")+($AP94="Sports"))&gt;0,"Arts / Humanities",""))))</f>
        <v/>
      </c>
      <c r="BC94" s="5" t="str">
        <f aca="false">IF($AL94="","",IF((($AL94="Engineering and Technology")+($AL94="Science and Mathematics")+($AL94="Computer Science, IT and Allied Fields")+($AL94="Life Sciences /Medicine and Healthcare")+($AL94="Paramedical")+($AL94="Architecture")+($AL94="Environmental Service")+($AL94="Agriculture, Food Industry and Forestry"))&gt;0,"Science",IF((($AL94="Banking and Finance")+($AL94="Management and Administration")+($AL94="Marketing")+($AL94="Sales")+($AL94="Entrepreneurship")+($AL94="Hospitality and Tourism"))&gt;0,"Commerce",IF((($AL94="Social Sciences and Humanities")+($AL94="Law Studies")+($AL94="Education and Training")+($AL94="Art, Design")+($AL94="Entertainment and Mass Media")+($AL94="Community and Social Service")+($AL94="Personal Care and Services")+($AL94="Government and Public Administration")+($AL94="Defence/ Protective Service")+($AL94="Sports"))&gt;0,"Arts / Humanities",""))))</f>
        <v/>
      </c>
      <c r="BD94" s="5" t="str">
        <f aca="false">IF($B94="","",--(F94&gt;=10)+--(G94&gt;=10)+--(H94&gt;=10)+--(I94&gt;=10)+--(J94&gt;=10)+--(K94&gt;=10)+--(L94&gt;=10)+--(M94&gt;=10)+--(N94&gt;=10)+--(O94&gt;=10))</f>
        <v/>
      </c>
      <c r="BE94" s="5" t="str">
        <f aca="false">IF($B94="","",--(AND(F94&lt;&gt;"",F94&lt;=8))+--(AND(G94&lt;&gt;"",G94&lt;=8))+--(AND(H94&lt;&gt;"",H94&lt;=8))+--(AND(I94&lt;&gt;"",I94&lt;=8))+--(AND(J94&lt;&gt;"",J94&lt;=8))+--(AND(K94&lt;&gt;"",K94&lt;=8))+--(AND(L94&lt;&gt;"",L94&lt;=8))+--(AND(M94&lt;&gt;"",M94&lt;=8))+--(AND(N94&lt;&gt;"",N94&lt;=8))+--(AND(O94&lt;&gt;"",O94&lt;=8)))</f>
        <v/>
      </c>
    </row>
    <row r="95" customFormat="false" ht="15" hidden="false" customHeight="false" outlineLevel="0" collapsed="false">
      <c r="AZ95" s="5" t="str">
        <f aca="false">IF($B95="","",SUMPRODUCT(($AL95:$AO95&lt;&gt;"")*(COUNTIF($AP95:$AX95,$AL95:$AO95)&gt;0)))</f>
        <v/>
      </c>
      <c r="BA95" s="5" t="str">
        <f aca="false">IF($B95="","",IF(AZ95&gt;0,1,0))</f>
        <v/>
      </c>
      <c r="BB95" s="5" t="str">
        <f aca="false">IF($AP95="","",IF((($AP95="Engineering and Technology")+($AP95="Science and Mathematics")+($AP95="Computer Science, IT and Allied Fields")+($AP95="Life Sciences /Medicine and Healthcare")+($AP95="Paramedical")+($AP95="Architecture")+($AP95="Environmental Service")+($AP95="Agriculture, Food Industry and Forestry"))&gt;0,"Science",IF((($AP95="Banking and Finance")+($AP95="Management and Administration")+($AP95="Marketing")+($AP95="Sales")+($AP95="Entrepreneurship")+($AP95="Hospitality and Tourism"))&gt;0,"Commerce",IF((($AP95="Social Sciences and Humanities")+($AP95="Law Studies")+($AP95="Education and Training")+($AP95="Art, Design")+($AP95="Entertainment and Mass Media")+($AP95="Community and Social Service")+($AP95="Personal Care and Services")+($AP95="Government and Public Administration")+($AP95="Defence/ Protective Service")+($AP95="Sports"))&gt;0,"Arts / Humanities",""))))</f>
        <v/>
      </c>
      <c r="BC95" s="5" t="str">
        <f aca="false">IF($AL95="","",IF((($AL95="Engineering and Technology")+($AL95="Science and Mathematics")+($AL95="Computer Science, IT and Allied Fields")+($AL95="Life Sciences /Medicine and Healthcare")+($AL95="Paramedical")+($AL95="Architecture")+($AL95="Environmental Service")+($AL95="Agriculture, Food Industry and Forestry"))&gt;0,"Science",IF((($AL95="Banking and Finance")+($AL95="Management and Administration")+($AL95="Marketing")+($AL95="Sales")+($AL95="Entrepreneurship")+($AL95="Hospitality and Tourism"))&gt;0,"Commerce",IF((($AL95="Social Sciences and Humanities")+($AL95="Law Studies")+($AL95="Education and Training")+($AL95="Art, Design")+($AL95="Entertainment and Mass Media")+($AL95="Community and Social Service")+($AL95="Personal Care and Services")+($AL95="Government and Public Administration")+($AL95="Defence/ Protective Service")+($AL95="Sports"))&gt;0,"Arts / Humanities",""))))</f>
        <v/>
      </c>
      <c r="BD95" s="5" t="str">
        <f aca="false">IF($B95="","",--(F95&gt;=10)+--(G95&gt;=10)+--(H95&gt;=10)+--(I95&gt;=10)+--(J95&gt;=10)+--(K95&gt;=10)+--(L95&gt;=10)+--(M95&gt;=10)+--(N95&gt;=10)+--(O95&gt;=10))</f>
        <v/>
      </c>
      <c r="BE95" s="5" t="str">
        <f aca="false">IF($B95="","",--(AND(F95&lt;&gt;"",F95&lt;=8))+--(AND(G95&lt;&gt;"",G95&lt;=8))+--(AND(H95&lt;&gt;"",H95&lt;=8))+--(AND(I95&lt;&gt;"",I95&lt;=8))+--(AND(J95&lt;&gt;"",J95&lt;=8))+--(AND(K95&lt;&gt;"",K95&lt;=8))+--(AND(L95&lt;&gt;"",L95&lt;=8))+--(AND(M95&lt;&gt;"",M95&lt;=8))+--(AND(N95&lt;&gt;"",N95&lt;=8))+--(AND(O95&lt;&gt;"",O95&lt;=8)))</f>
        <v/>
      </c>
    </row>
    <row r="96" customFormat="false" ht="15" hidden="false" customHeight="false" outlineLevel="0" collapsed="false">
      <c r="AZ96" s="5" t="str">
        <f aca="false">IF($B96="","",SUMPRODUCT(($AL96:$AO96&lt;&gt;"")*(COUNTIF($AP96:$AX96,$AL96:$AO96)&gt;0)))</f>
        <v/>
      </c>
      <c r="BA96" s="5" t="str">
        <f aca="false">IF($B96="","",IF(AZ96&gt;0,1,0))</f>
        <v/>
      </c>
      <c r="BB96" s="5" t="str">
        <f aca="false">IF($AP96="","",IF((($AP96="Engineering and Technology")+($AP96="Science and Mathematics")+($AP96="Computer Science, IT and Allied Fields")+($AP96="Life Sciences /Medicine and Healthcare")+($AP96="Paramedical")+($AP96="Architecture")+($AP96="Environmental Service")+($AP96="Agriculture, Food Industry and Forestry"))&gt;0,"Science",IF((($AP96="Banking and Finance")+($AP96="Management and Administration")+($AP96="Marketing")+($AP96="Sales")+($AP96="Entrepreneurship")+($AP96="Hospitality and Tourism"))&gt;0,"Commerce",IF((($AP96="Social Sciences and Humanities")+($AP96="Law Studies")+($AP96="Education and Training")+($AP96="Art, Design")+($AP96="Entertainment and Mass Media")+($AP96="Community and Social Service")+($AP96="Personal Care and Services")+($AP96="Government and Public Administration")+($AP96="Defence/ Protective Service")+($AP96="Sports"))&gt;0,"Arts / Humanities",""))))</f>
        <v/>
      </c>
      <c r="BC96" s="5" t="str">
        <f aca="false">IF($AL96="","",IF((($AL96="Engineering and Technology")+($AL96="Science and Mathematics")+($AL96="Computer Science, IT and Allied Fields")+($AL96="Life Sciences /Medicine and Healthcare")+($AL96="Paramedical")+($AL96="Architecture")+($AL96="Environmental Service")+($AL96="Agriculture, Food Industry and Forestry"))&gt;0,"Science",IF((($AL96="Banking and Finance")+($AL96="Management and Administration")+($AL96="Marketing")+($AL96="Sales")+($AL96="Entrepreneurship")+($AL96="Hospitality and Tourism"))&gt;0,"Commerce",IF((($AL96="Social Sciences and Humanities")+($AL96="Law Studies")+($AL96="Education and Training")+($AL96="Art, Design")+($AL96="Entertainment and Mass Media")+($AL96="Community and Social Service")+($AL96="Personal Care and Services")+($AL96="Government and Public Administration")+($AL96="Defence/ Protective Service")+($AL96="Sports"))&gt;0,"Arts / Humanities",""))))</f>
        <v/>
      </c>
      <c r="BD96" s="5" t="str">
        <f aca="false">IF($B96="","",--(F96&gt;=10)+--(G96&gt;=10)+--(H96&gt;=10)+--(I96&gt;=10)+--(J96&gt;=10)+--(K96&gt;=10)+--(L96&gt;=10)+--(M96&gt;=10)+--(N96&gt;=10)+--(O96&gt;=10))</f>
        <v/>
      </c>
      <c r="BE96" s="5" t="str">
        <f aca="false">IF($B96="","",--(AND(F96&lt;&gt;"",F96&lt;=8))+--(AND(G96&lt;&gt;"",G96&lt;=8))+--(AND(H96&lt;&gt;"",H96&lt;=8))+--(AND(I96&lt;&gt;"",I96&lt;=8))+--(AND(J96&lt;&gt;"",J96&lt;=8))+--(AND(K96&lt;&gt;"",K96&lt;=8))+--(AND(L96&lt;&gt;"",L96&lt;=8))+--(AND(M96&lt;&gt;"",M96&lt;=8))+--(AND(N96&lt;&gt;"",N96&lt;=8))+--(AND(O96&lt;&gt;"",O96&lt;=8)))</f>
        <v/>
      </c>
    </row>
    <row r="97" customFormat="false" ht="15" hidden="false" customHeight="false" outlineLevel="0" collapsed="false">
      <c r="AZ97" s="5" t="str">
        <f aca="false">IF($B97="","",SUMPRODUCT(($AL97:$AO97&lt;&gt;"")*(COUNTIF($AP97:$AX97,$AL97:$AO97)&gt;0)))</f>
        <v/>
      </c>
      <c r="BA97" s="5" t="str">
        <f aca="false">IF($B97="","",IF(AZ97&gt;0,1,0))</f>
        <v/>
      </c>
      <c r="BB97" s="5" t="str">
        <f aca="false">IF($AP97="","",IF((($AP97="Engineering and Technology")+($AP97="Science and Mathematics")+($AP97="Computer Science, IT and Allied Fields")+($AP97="Life Sciences /Medicine and Healthcare")+($AP97="Paramedical")+($AP97="Architecture")+($AP97="Environmental Service")+($AP97="Agriculture, Food Industry and Forestry"))&gt;0,"Science",IF((($AP97="Banking and Finance")+($AP97="Management and Administration")+($AP97="Marketing")+($AP97="Sales")+($AP97="Entrepreneurship")+($AP97="Hospitality and Tourism"))&gt;0,"Commerce",IF((($AP97="Social Sciences and Humanities")+($AP97="Law Studies")+($AP97="Education and Training")+($AP97="Art, Design")+($AP97="Entertainment and Mass Media")+($AP97="Community and Social Service")+($AP97="Personal Care and Services")+($AP97="Government and Public Administration")+($AP97="Defence/ Protective Service")+($AP97="Sports"))&gt;0,"Arts / Humanities",""))))</f>
        <v/>
      </c>
      <c r="BC97" s="5" t="str">
        <f aca="false">IF($AL97="","",IF((($AL97="Engineering and Technology")+($AL97="Science and Mathematics")+($AL97="Computer Science, IT and Allied Fields")+($AL97="Life Sciences /Medicine and Healthcare")+($AL97="Paramedical")+($AL97="Architecture")+($AL97="Environmental Service")+($AL97="Agriculture, Food Industry and Forestry"))&gt;0,"Science",IF((($AL97="Banking and Finance")+($AL97="Management and Administration")+($AL97="Marketing")+($AL97="Sales")+($AL97="Entrepreneurship")+($AL97="Hospitality and Tourism"))&gt;0,"Commerce",IF((($AL97="Social Sciences and Humanities")+($AL97="Law Studies")+($AL97="Education and Training")+($AL97="Art, Design")+($AL97="Entertainment and Mass Media")+($AL97="Community and Social Service")+($AL97="Personal Care and Services")+($AL97="Government and Public Administration")+($AL97="Defence/ Protective Service")+($AL97="Sports"))&gt;0,"Arts / Humanities",""))))</f>
        <v/>
      </c>
      <c r="BD97" s="5" t="str">
        <f aca="false">IF($B97="","",--(F97&gt;=10)+--(G97&gt;=10)+--(H97&gt;=10)+--(I97&gt;=10)+--(J97&gt;=10)+--(K97&gt;=10)+--(L97&gt;=10)+--(M97&gt;=10)+--(N97&gt;=10)+--(O97&gt;=10))</f>
        <v/>
      </c>
      <c r="BE97" s="5" t="str">
        <f aca="false">IF($B97="","",--(AND(F97&lt;&gt;"",F97&lt;=8))+--(AND(G97&lt;&gt;"",G97&lt;=8))+--(AND(H97&lt;&gt;"",H97&lt;=8))+--(AND(I97&lt;&gt;"",I97&lt;=8))+--(AND(J97&lt;&gt;"",J97&lt;=8))+--(AND(K97&lt;&gt;"",K97&lt;=8))+--(AND(L97&lt;&gt;"",L97&lt;=8))+--(AND(M97&lt;&gt;"",M97&lt;=8))+--(AND(N97&lt;&gt;"",N97&lt;=8))+--(AND(O97&lt;&gt;"",O97&lt;=8)))</f>
        <v/>
      </c>
    </row>
    <row r="98" customFormat="false" ht="15" hidden="false" customHeight="false" outlineLevel="0" collapsed="false">
      <c r="AZ98" s="5" t="str">
        <f aca="false">IF($B98="","",SUMPRODUCT(($AL98:$AO98&lt;&gt;"")*(COUNTIF($AP98:$AX98,$AL98:$AO98)&gt;0)))</f>
        <v/>
      </c>
      <c r="BA98" s="5" t="str">
        <f aca="false">IF($B98="","",IF(AZ98&gt;0,1,0))</f>
        <v/>
      </c>
      <c r="BB98" s="5" t="str">
        <f aca="false">IF($AP98="","",IF((($AP98="Engineering and Technology")+($AP98="Science and Mathematics")+($AP98="Computer Science, IT and Allied Fields")+($AP98="Life Sciences /Medicine and Healthcare")+($AP98="Paramedical")+($AP98="Architecture")+($AP98="Environmental Service")+($AP98="Agriculture, Food Industry and Forestry"))&gt;0,"Science",IF((($AP98="Banking and Finance")+($AP98="Management and Administration")+($AP98="Marketing")+($AP98="Sales")+($AP98="Entrepreneurship")+($AP98="Hospitality and Tourism"))&gt;0,"Commerce",IF((($AP98="Social Sciences and Humanities")+($AP98="Law Studies")+($AP98="Education and Training")+($AP98="Art, Design")+($AP98="Entertainment and Mass Media")+($AP98="Community and Social Service")+($AP98="Personal Care and Services")+($AP98="Government and Public Administration")+($AP98="Defence/ Protective Service")+($AP98="Sports"))&gt;0,"Arts / Humanities",""))))</f>
        <v/>
      </c>
      <c r="BC98" s="5" t="str">
        <f aca="false">IF($AL98="","",IF((($AL98="Engineering and Technology")+($AL98="Science and Mathematics")+($AL98="Computer Science, IT and Allied Fields")+($AL98="Life Sciences /Medicine and Healthcare")+($AL98="Paramedical")+($AL98="Architecture")+($AL98="Environmental Service")+($AL98="Agriculture, Food Industry and Forestry"))&gt;0,"Science",IF((($AL98="Banking and Finance")+($AL98="Management and Administration")+($AL98="Marketing")+($AL98="Sales")+($AL98="Entrepreneurship")+($AL98="Hospitality and Tourism"))&gt;0,"Commerce",IF((($AL98="Social Sciences and Humanities")+($AL98="Law Studies")+($AL98="Education and Training")+($AL98="Art, Design")+($AL98="Entertainment and Mass Media")+($AL98="Community and Social Service")+($AL98="Personal Care and Services")+($AL98="Government and Public Administration")+($AL98="Defence/ Protective Service")+($AL98="Sports"))&gt;0,"Arts / Humanities",""))))</f>
        <v/>
      </c>
      <c r="BD98" s="5" t="str">
        <f aca="false">IF($B98="","",--(F98&gt;=10)+--(G98&gt;=10)+--(H98&gt;=10)+--(I98&gt;=10)+--(J98&gt;=10)+--(K98&gt;=10)+--(L98&gt;=10)+--(M98&gt;=10)+--(N98&gt;=10)+--(O98&gt;=10))</f>
        <v/>
      </c>
      <c r="BE98" s="5" t="str">
        <f aca="false">IF($B98="","",--(AND(F98&lt;&gt;"",F98&lt;=8))+--(AND(G98&lt;&gt;"",G98&lt;=8))+--(AND(H98&lt;&gt;"",H98&lt;=8))+--(AND(I98&lt;&gt;"",I98&lt;=8))+--(AND(J98&lt;&gt;"",J98&lt;=8))+--(AND(K98&lt;&gt;"",K98&lt;=8))+--(AND(L98&lt;&gt;"",L98&lt;=8))+--(AND(M98&lt;&gt;"",M98&lt;=8))+--(AND(N98&lt;&gt;"",N98&lt;=8))+--(AND(O98&lt;&gt;"",O98&lt;=8)))</f>
        <v/>
      </c>
    </row>
    <row r="99" customFormat="false" ht="15" hidden="false" customHeight="false" outlineLevel="0" collapsed="false">
      <c r="AZ99" s="5" t="str">
        <f aca="false">IF($B99="","",SUMPRODUCT(($AL99:$AO99&lt;&gt;"")*(COUNTIF($AP99:$AX99,$AL99:$AO99)&gt;0)))</f>
        <v/>
      </c>
      <c r="BA99" s="5" t="str">
        <f aca="false">IF($B99="","",IF(AZ99&gt;0,1,0))</f>
        <v/>
      </c>
      <c r="BB99" s="5" t="str">
        <f aca="false">IF($AP99="","",IF((($AP99="Engineering and Technology")+($AP99="Science and Mathematics")+($AP99="Computer Science, IT and Allied Fields")+($AP99="Life Sciences /Medicine and Healthcare")+($AP99="Paramedical")+($AP99="Architecture")+($AP99="Environmental Service")+($AP99="Agriculture, Food Industry and Forestry"))&gt;0,"Science",IF((($AP99="Banking and Finance")+($AP99="Management and Administration")+($AP99="Marketing")+($AP99="Sales")+($AP99="Entrepreneurship")+($AP99="Hospitality and Tourism"))&gt;0,"Commerce",IF((($AP99="Social Sciences and Humanities")+($AP99="Law Studies")+($AP99="Education and Training")+($AP99="Art, Design")+($AP99="Entertainment and Mass Media")+($AP99="Community and Social Service")+($AP99="Personal Care and Services")+($AP99="Government and Public Administration")+($AP99="Defence/ Protective Service")+($AP99="Sports"))&gt;0,"Arts / Humanities",""))))</f>
        <v/>
      </c>
      <c r="BC99" s="5" t="str">
        <f aca="false">IF($AL99="","",IF((($AL99="Engineering and Technology")+($AL99="Science and Mathematics")+($AL99="Computer Science, IT and Allied Fields")+($AL99="Life Sciences /Medicine and Healthcare")+($AL99="Paramedical")+($AL99="Architecture")+($AL99="Environmental Service")+($AL99="Agriculture, Food Industry and Forestry"))&gt;0,"Science",IF((($AL99="Banking and Finance")+($AL99="Management and Administration")+($AL99="Marketing")+($AL99="Sales")+($AL99="Entrepreneurship")+($AL99="Hospitality and Tourism"))&gt;0,"Commerce",IF((($AL99="Social Sciences and Humanities")+($AL99="Law Studies")+($AL99="Education and Training")+($AL99="Art, Design")+($AL99="Entertainment and Mass Media")+($AL99="Community and Social Service")+($AL99="Personal Care and Services")+($AL99="Government and Public Administration")+($AL99="Defence/ Protective Service")+($AL99="Sports"))&gt;0,"Arts / Humanities",""))))</f>
        <v/>
      </c>
      <c r="BD99" s="5" t="str">
        <f aca="false">IF($B99="","",--(F99&gt;=10)+--(G99&gt;=10)+--(H99&gt;=10)+--(I99&gt;=10)+--(J99&gt;=10)+--(K99&gt;=10)+--(L99&gt;=10)+--(M99&gt;=10)+--(N99&gt;=10)+--(O99&gt;=10))</f>
        <v/>
      </c>
      <c r="BE99" s="5" t="str">
        <f aca="false">IF($B99="","",--(AND(F99&lt;&gt;"",F99&lt;=8))+--(AND(G99&lt;&gt;"",G99&lt;=8))+--(AND(H99&lt;&gt;"",H99&lt;=8))+--(AND(I99&lt;&gt;"",I99&lt;=8))+--(AND(J99&lt;&gt;"",J99&lt;=8))+--(AND(K99&lt;&gt;"",K99&lt;=8))+--(AND(L99&lt;&gt;"",L99&lt;=8))+--(AND(M99&lt;&gt;"",M99&lt;=8))+--(AND(N99&lt;&gt;"",N99&lt;=8))+--(AND(O99&lt;&gt;"",O99&lt;=8)))</f>
        <v/>
      </c>
    </row>
    <row r="100" customFormat="false" ht="15" hidden="false" customHeight="false" outlineLevel="0" collapsed="false">
      <c r="AZ100" s="5" t="str">
        <f aca="false">IF($B100="","",SUMPRODUCT(($AL100:$AO100&lt;&gt;"")*(COUNTIF($AP100:$AX100,$AL100:$AO100)&gt;0)))</f>
        <v/>
      </c>
      <c r="BA100" s="5" t="str">
        <f aca="false">IF($B100="","",IF(AZ100&gt;0,1,0))</f>
        <v/>
      </c>
      <c r="BB100" s="5" t="str">
        <f aca="false">IF($AP100="","",IF((($AP100="Engineering and Technology")+($AP100="Science and Mathematics")+($AP100="Computer Science, IT and Allied Fields")+($AP100="Life Sciences /Medicine and Healthcare")+($AP100="Paramedical")+($AP100="Architecture")+($AP100="Environmental Service")+($AP100="Agriculture, Food Industry and Forestry"))&gt;0,"Science",IF((($AP100="Banking and Finance")+($AP100="Management and Administration")+($AP100="Marketing")+($AP100="Sales")+($AP100="Entrepreneurship")+($AP100="Hospitality and Tourism"))&gt;0,"Commerce",IF((($AP100="Social Sciences and Humanities")+($AP100="Law Studies")+($AP100="Education and Training")+($AP100="Art, Design")+($AP100="Entertainment and Mass Media")+($AP100="Community and Social Service")+($AP100="Personal Care and Services")+($AP100="Government and Public Administration")+($AP100="Defence/ Protective Service")+($AP100="Sports"))&gt;0,"Arts / Humanities",""))))</f>
        <v/>
      </c>
      <c r="BC100" s="5" t="str">
        <f aca="false">IF($AL100="","",IF((($AL100="Engineering and Technology")+($AL100="Science and Mathematics")+($AL100="Computer Science, IT and Allied Fields")+($AL100="Life Sciences /Medicine and Healthcare")+($AL100="Paramedical")+($AL100="Architecture")+($AL100="Environmental Service")+($AL100="Agriculture, Food Industry and Forestry"))&gt;0,"Science",IF((($AL100="Banking and Finance")+($AL100="Management and Administration")+($AL100="Marketing")+($AL100="Sales")+($AL100="Entrepreneurship")+($AL100="Hospitality and Tourism"))&gt;0,"Commerce",IF((($AL100="Social Sciences and Humanities")+($AL100="Law Studies")+($AL100="Education and Training")+($AL100="Art, Design")+($AL100="Entertainment and Mass Media")+($AL100="Community and Social Service")+($AL100="Personal Care and Services")+($AL100="Government and Public Administration")+($AL100="Defence/ Protective Service")+($AL100="Sports"))&gt;0,"Arts / Humanities",""))))</f>
        <v/>
      </c>
      <c r="BD100" s="5" t="str">
        <f aca="false">IF($B100="","",--(F100&gt;=10)+--(G100&gt;=10)+--(H100&gt;=10)+--(I100&gt;=10)+--(J100&gt;=10)+--(K100&gt;=10)+--(L100&gt;=10)+--(M100&gt;=10)+--(N100&gt;=10)+--(O100&gt;=10))</f>
        <v/>
      </c>
      <c r="BE100" s="5" t="str">
        <f aca="false">IF($B100="","",--(AND(F100&lt;&gt;"",F100&lt;=8))+--(AND(G100&lt;&gt;"",G100&lt;=8))+--(AND(H100&lt;&gt;"",H100&lt;=8))+--(AND(I100&lt;&gt;"",I100&lt;=8))+--(AND(J100&lt;&gt;"",J100&lt;=8))+--(AND(K100&lt;&gt;"",K100&lt;=8))+--(AND(L100&lt;&gt;"",L100&lt;=8))+--(AND(M100&lt;&gt;"",M100&lt;=8))+--(AND(N100&lt;&gt;"",N100&lt;=8))+--(AND(O100&lt;&gt;"",O100&lt;=8)))</f>
        <v/>
      </c>
    </row>
    <row r="101" customFormat="false" ht="15" hidden="false" customHeight="false" outlineLevel="0" collapsed="false">
      <c r="AZ101" s="5" t="str">
        <f aca="false">IF($B101="","",SUMPRODUCT(($AL101:$AO101&lt;&gt;"")*(COUNTIF($AP101:$AX101,$AL101:$AO101)&gt;0)))</f>
        <v/>
      </c>
      <c r="BA101" s="5" t="str">
        <f aca="false">IF($B101="","",IF(AZ101&gt;0,1,0))</f>
        <v/>
      </c>
      <c r="BB101" s="5" t="str">
        <f aca="false">IF($AP101="","",IF((($AP101="Engineering and Technology")+($AP101="Science and Mathematics")+($AP101="Computer Science, IT and Allied Fields")+($AP101="Life Sciences /Medicine and Healthcare")+($AP101="Paramedical")+($AP101="Architecture")+($AP101="Environmental Service")+($AP101="Agriculture, Food Industry and Forestry"))&gt;0,"Science",IF((($AP101="Banking and Finance")+($AP101="Management and Administration")+($AP101="Marketing")+($AP101="Sales")+($AP101="Entrepreneurship")+($AP101="Hospitality and Tourism"))&gt;0,"Commerce",IF((($AP101="Social Sciences and Humanities")+($AP101="Law Studies")+($AP101="Education and Training")+($AP101="Art, Design")+($AP101="Entertainment and Mass Media")+($AP101="Community and Social Service")+($AP101="Personal Care and Services")+($AP101="Government and Public Administration")+($AP101="Defence/ Protective Service")+($AP101="Sports"))&gt;0,"Arts / Humanities",""))))</f>
        <v/>
      </c>
      <c r="BC101" s="5" t="str">
        <f aca="false">IF($AL101="","",IF((($AL101="Engineering and Technology")+($AL101="Science and Mathematics")+($AL101="Computer Science, IT and Allied Fields")+($AL101="Life Sciences /Medicine and Healthcare")+($AL101="Paramedical")+($AL101="Architecture")+($AL101="Environmental Service")+($AL101="Agriculture, Food Industry and Forestry"))&gt;0,"Science",IF((($AL101="Banking and Finance")+($AL101="Management and Administration")+($AL101="Marketing")+($AL101="Sales")+($AL101="Entrepreneurship")+($AL101="Hospitality and Tourism"))&gt;0,"Commerce",IF((($AL101="Social Sciences and Humanities")+($AL101="Law Studies")+($AL101="Education and Training")+($AL101="Art, Design")+($AL101="Entertainment and Mass Media")+($AL101="Community and Social Service")+($AL101="Personal Care and Services")+($AL101="Government and Public Administration")+($AL101="Defence/ Protective Service")+($AL101="Sports"))&gt;0,"Arts / Humanities",""))))</f>
        <v/>
      </c>
      <c r="BD101" s="5" t="str">
        <f aca="false">IF($B101="","",--(F101&gt;=10)+--(G101&gt;=10)+--(H101&gt;=10)+--(I101&gt;=10)+--(J101&gt;=10)+--(K101&gt;=10)+--(L101&gt;=10)+--(M101&gt;=10)+--(N101&gt;=10)+--(O101&gt;=10))</f>
        <v/>
      </c>
      <c r="BE101" s="5" t="str">
        <f aca="false">IF($B101="","",--(AND(F101&lt;&gt;"",F101&lt;=8))+--(AND(G101&lt;&gt;"",G101&lt;=8))+--(AND(H101&lt;&gt;"",H101&lt;=8))+--(AND(I101&lt;&gt;"",I101&lt;=8))+--(AND(J101&lt;&gt;"",J101&lt;=8))+--(AND(K101&lt;&gt;"",K101&lt;=8))+--(AND(L101&lt;&gt;"",L101&lt;=8))+--(AND(M101&lt;&gt;"",M101&lt;=8))+--(AND(N101&lt;&gt;"",N101&lt;=8))+--(AND(O101&lt;&gt;"",O101&lt;=8)))</f>
        <v/>
      </c>
    </row>
    <row r="102" customFormat="false" ht="15" hidden="false" customHeight="false" outlineLevel="0" collapsed="false">
      <c r="AZ102" s="5" t="str">
        <f aca="false">IF($B102="","",SUMPRODUCT(($AL102:$AO102&lt;&gt;"")*(COUNTIF($AP102:$AX102,$AL102:$AO102)&gt;0)))</f>
        <v/>
      </c>
      <c r="BA102" s="5" t="str">
        <f aca="false">IF($B102="","",IF(AZ102&gt;0,1,0))</f>
        <v/>
      </c>
      <c r="BB102" s="5" t="str">
        <f aca="false">IF($AP102="","",IF((($AP102="Engineering and Technology")+($AP102="Science and Mathematics")+($AP102="Computer Science, IT and Allied Fields")+($AP102="Life Sciences /Medicine and Healthcare")+($AP102="Paramedical")+($AP102="Architecture")+($AP102="Environmental Service")+($AP102="Agriculture, Food Industry and Forestry"))&gt;0,"Science",IF((($AP102="Banking and Finance")+($AP102="Management and Administration")+($AP102="Marketing")+($AP102="Sales")+($AP102="Entrepreneurship")+($AP102="Hospitality and Tourism"))&gt;0,"Commerce",IF((($AP102="Social Sciences and Humanities")+($AP102="Law Studies")+($AP102="Education and Training")+($AP102="Art, Design")+($AP102="Entertainment and Mass Media")+($AP102="Community and Social Service")+($AP102="Personal Care and Services")+($AP102="Government and Public Administration")+($AP102="Defence/ Protective Service")+($AP102="Sports"))&gt;0,"Arts / Humanities",""))))</f>
        <v/>
      </c>
      <c r="BC102" s="5" t="str">
        <f aca="false">IF($AL102="","",IF((($AL102="Engineering and Technology")+($AL102="Science and Mathematics")+($AL102="Computer Science, IT and Allied Fields")+($AL102="Life Sciences /Medicine and Healthcare")+($AL102="Paramedical")+($AL102="Architecture")+($AL102="Environmental Service")+($AL102="Agriculture, Food Industry and Forestry"))&gt;0,"Science",IF((($AL102="Banking and Finance")+($AL102="Management and Administration")+($AL102="Marketing")+($AL102="Sales")+($AL102="Entrepreneurship")+($AL102="Hospitality and Tourism"))&gt;0,"Commerce",IF((($AL102="Social Sciences and Humanities")+($AL102="Law Studies")+($AL102="Education and Training")+($AL102="Art, Design")+($AL102="Entertainment and Mass Media")+($AL102="Community and Social Service")+($AL102="Personal Care and Services")+($AL102="Government and Public Administration")+($AL102="Defence/ Protective Service")+($AL102="Sports"))&gt;0,"Arts / Humanities",""))))</f>
        <v/>
      </c>
      <c r="BD102" s="5" t="str">
        <f aca="false">IF($B102="","",--(F102&gt;=10)+--(G102&gt;=10)+--(H102&gt;=10)+--(I102&gt;=10)+--(J102&gt;=10)+--(K102&gt;=10)+--(L102&gt;=10)+--(M102&gt;=10)+--(N102&gt;=10)+--(O102&gt;=10))</f>
        <v/>
      </c>
      <c r="BE102" s="5" t="str">
        <f aca="false">IF($B102="","",--(AND(F102&lt;&gt;"",F102&lt;=8))+--(AND(G102&lt;&gt;"",G102&lt;=8))+--(AND(H102&lt;&gt;"",H102&lt;=8))+--(AND(I102&lt;&gt;"",I102&lt;=8))+--(AND(J102&lt;&gt;"",J102&lt;=8))+--(AND(K102&lt;&gt;"",K102&lt;=8))+--(AND(L102&lt;&gt;"",L102&lt;=8))+--(AND(M102&lt;&gt;"",M102&lt;=8))+--(AND(N102&lt;&gt;"",N102&lt;=8))+--(AND(O102&lt;&gt;"",O102&lt;=8)))</f>
        <v/>
      </c>
    </row>
    <row r="103" customFormat="false" ht="15" hidden="false" customHeight="false" outlineLevel="0" collapsed="false">
      <c r="AZ103" s="5" t="str">
        <f aca="false">IF($B103="","",SUMPRODUCT(($AL103:$AO103&lt;&gt;"")*(COUNTIF($AP103:$AX103,$AL103:$AO103)&gt;0)))</f>
        <v/>
      </c>
      <c r="BA103" s="5" t="str">
        <f aca="false">IF($B103="","",IF(AZ103&gt;0,1,0))</f>
        <v/>
      </c>
      <c r="BB103" s="5" t="str">
        <f aca="false">IF($AP103="","",IF((($AP103="Engineering and Technology")+($AP103="Science and Mathematics")+($AP103="Computer Science, IT and Allied Fields")+($AP103="Life Sciences /Medicine and Healthcare")+($AP103="Paramedical")+($AP103="Architecture")+($AP103="Environmental Service")+($AP103="Agriculture, Food Industry and Forestry"))&gt;0,"Science",IF((($AP103="Banking and Finance")+($AP103="Management and Administration")+($AP103="Marketing")+($AP103="Sales")+($AP103="Entrepreneurship")+($AP103="Hospitality and Tourism"))&gt;0,"Commerce",IF((($AP103="Social Sciences and Humanities")+($AP103="Law Studies")+($AP103="Education and Training")+($AP103="Art, Design")+($AP103="Entertainment and Mass Media")+($AP103="Community and Social Service")+($AP103="Personal Care and Services")+($AP103="Government and Public Administration")+($AP103="Defence/ Protective Service")+($AP103="Sports"))&gt;0,"Arts / Humanities",""))))</f>
        <v/>
      </c>
      <c r="BC103" s="5" t="str">
        <f aca="false">IF($AL103="","",IF((($AL103="Engineering and Technology")+($AL103="Science and Mathematics")+($AL103="Computer Science, IT and Allied Fields")+($AL103="Life Sciences /Medicine and Healthcare")+($AL103="Paramedical")+($AL103="Architecture")+($AL103="Environmental Service")+($AL103="Agriculture, Food Industry and Forestry"))&gt;0,"Science",IF((($AL103="Banking and Finance")+($AL103="Management and Administration")+($AL103="Marketing")+($AL103="Sales")+($AL103="Entrepreneurship")+($AL103="Hospitality and Tourism"))&gt;0,"Commerce",IF((($AL103="Social Sciences and Humanities")+($AL103="Law Studies")+($AL103="Education and Training")+($AL103="Art, Design")+($AL103="Entertainment and Mass Media")+($AL103="Community and Social Service")+($AL103="Personal Care and Services")+($AL103="Government and Public Administration")+($AL103="Defence/ Protective Service")+($AL103="Sports"))&gt;0,"Arts / Humanities",""))))</f>
        <v/>
      </c>
      <c r="BD103" s="5" t="str">
        <f aca="false">IF($B103="","",--(F103&gt;=10)+--(G103&gt;=10)+--(H103&gt;=10)+--(I103&gt;=10)+--(J103&gt;=10)+--(K103&gt;=10)+--(L103&gt;=10)+--(M103&gt;=10)+--(N103&gt;=10)+--(O103&gt;=10))</f>
        <v/>
      </c>
      <c r="BE103" s="5" t="str">
        <f aca="false">IF($B103="","",--(AND(F103&lt;&gt;"",F103&lt;=8))+--(AND(G103&lt;&gt;"",G103&lt;=8))+--(AND(H103&lt;&gt;"",H103&lt;=8))+--(AND(I103&lt;&gt;"",I103&lt;=8))+--(AND(J103&lt;&gt;"",J103&lt;=8))+--(AND(K103&lt;&gt;"",K103&lt;=8))+--(AND(L103&lt;&gt;"",L103&lt;=8))+--(AND(M103&lt;&gt;"",M103&lt;=8))+--(AND(N103&lt;&gt;"",N103&lt;=8))+--(AND(O103&lt;&gt;"",O103&lt;=8)))</f>
        <v/>
      </c>
    </row>
    <row r="104" customFormat="false" ht="15" hidden="false" customHeight="false" outlineLevel="0" collapsed="false">
      <c r="AZ104" s="5" t="str">
        <f aca="false">IF($B104="","",SUMPRODUCT(($AL104:$AO104&lt;&gt;"")*(COUNTIF($AP104:$AX104,$AL104:$AO104)&gt;0)))</f>
        <v/>
      </c>
      <c r="BA104" s="5" t="str">
        <f aca="false">IF($B104="","",IF(AZ104&gt;0,1,0))</f>
        <v/>
      </c>
      <c r="BB104" s="5" t="str">
        <f aca="false">IF($AP104="","",IF((($AP104="Engineering and Technology")+($AP104="Science and Mathematics")+($AP104="Computer Science, IT and Allied Fields")+($AP104="Life Sciences /Medicine and Healthcare")+($AP104="Paramedical")+($AP104="Architecture")+($AP104="Environmental Service")+($AP104="Agriculture, Food Industry and Forestry"))&gt;0,"Science",IF((($AP104="Banking and Finance")+($AP104="Management and Administration")+($AP104="Marketing")+($AP104="Sales")+($AP104="Entrepreneurship")+($AP104="Hospitality and Tourism"))&gt;0,"Commerce",IF((($AP104="Social Sciences and Humanities")+($AP104="Law Studies")+($AP104="Education and Training")+($AP104="Art, Design")+($AP104="Entertainment and Mass Media")+($AP104="Community and Social Service")+($AP104="Personal Care and Services")+($AP104="Government and Public Administration")+($AP104="Defence/ Protective Service")+($AP104="Sports"))&gt;0,"Arts / Humanities",""))))</f>
        <v/>
      </c>
      <c r="BC104" s="5" t="str">
        <f aca="false">IF($AL104="","",IF((($AL104="Engineering and Technology")+($AL104="Science and Mathematics")+($AL104="Computer Science, IT and Allied Fields")+($AL104="Life Sciences /Medicine and Healthcare")+($AL104="Paramedical")+($AL104="Architecture")+($AL104="Environmental Service")+($AL104="Agriculture, Food Industry and Forestry"))&gt;0,"Science",IF((($AL104="Banking and Finance")+($AL104="Management and Administration")+($AL104="Marketing")+($AL104="Sales")+($AL104="Entrepreneurship")+($AL104="Hospitality and Tourism"))&gt;0,"Commerce",IF((($AL104="Social Sciences and Humanities")+($AL104="Law Studies")+($AL104="Education and Training")+($AL104="Art, Design")+($AL104="Entertainment and Mass Media")+($AL104="Community and Social Service")+($AL104="Personal Care and Services")+($AL104="Government and Public Administration")+($AL104="Defence/ Protective Service")+($AL104="Sports"))&gt;0,"Arts / Humanities",""))))</f>
        <v/>
      </c>
      <c r="BD104" s="5" t="str">
        <f aca="false">IF($B104="","",--(F104&gt;=10)+--(G104&gt;=10)+--(H104&gt;=10)+--(I104&gt;=10)+--(J104&gt;=10)+--(K104&gt;=10)+--(L104&gt;=10)+--(M104&gt;=10)+--(N104&gt;=10)+--(O104&gt;=10))</f>
        <v/>
      </c>
      <c r="BE104" s="5" t="str">
        <f aca="false">IF($B104="","",--(AND(F104&lt;&gt;"",F104&lt;=8))+--(AND(G104&lt;&gt;"",G104&lt;=8))+--(AND(H104&lt;&gt;"",H104&lt;=8))+--(AND(I104&lt;&gt;"",I104&lt;=8))+--(AND(J104&lt;&gt;"",J104&lt;=8))+--(AND(K104&lt;&gt;"",K104&lt;=8))+--(AND(L104&lt;&gt;"",L104&lt;=8))+--(AND(M104&lt;&gt;"",M104&lt;=8))+--(AND(N104&lt;&gt;"",N104&lt;=8))+--(AND(O104&lt;&gt;"",O104&lt;=8)))</f>
        <v/>
      </c>
    </row>
    <row r="105" customFormat="false" ht="15" hidden="false" customHeight="false" outlineLevel="0" collapsed="false">
      <c r="AZ105" s="5" t="str">
        <f aca="false">IF($B105="","",SUMPRODUCT(($AL105:$AO105&lt;&gt;"")*(COUNTIF($AP105:$AX105,$AL105:$AO105)&gt;0)))</f>
        <v/>
      </c>
      <c r="BA105" s="5" t="str">
        <f aca="false">IF($B105="","",IF(AZ105&gt;0,1,0))</f>
        <v/>
      </c>
      <c r="BB105" s="5" t="str">
        <f aca="false">IF($AP105="","",IF((($AP105="Engineering and Technology")+($AP105="Science and Mathematics")+($AP105="Computer Science, IT and Allied Fields")+($AP105="Life Sciences /Medicine and Healthcare")+($AP105="Paramedical")+($AP105="Architecture")+($AP105="Environmental Service")+($AP105="Agriculture, Food Industry and Forestry"))&gt;0,"Science",IF((($AP105="Banking and Finance")+($AP105="Management and Administration")+($AP105="Marketing")+($AP105="Sales")+($AP105="Entrepreneurship")+($AP105="Hospitality and Tourism"))&gt;0,"Commerce",IF((($AP105="Social Sciences and Humanities")+($AP105="Law Studies")+($AP105="Education and Training")+($AP105="Art, Design")+($AP105="Entertainment and Mass Media")+($AP105="Community and Social Service")+($AP105="Personal Care and Services")+($AP105="Government and Public Administration")+($AP105="Defence/ Protective Service")+($AP105="Sports"))&gt;0,"Arts / Humanities",""))))</f>
        <v/>
      </c>
      <c r="BC105" s="5" t="str">
        <f aca="false">IF($AL105="","",IF((($AL105="Engineering and Technology")+($AL105="Science and Mathematics")+($AL105="Computer Science, IT and Allied Fields")+($AL105="Life Sciences /Medicine and Healthcare")+($AL105="Paramedical")+($AL105="Architecture")+($AL105="Environmental Service")+($AL105="Agriculture, Food Industry and Forestry"))&gt;0,"Science",IF((($AL105="Banking and Finance")+($AL105="Management and Administration")+($AL105="Marketing")+($AL105="Sales")+($AL105="Entrepreneurship")+($AL105="Hospitality and Tourism"))&gt;0,"Commerce",IF((($AL105="Social Sciences and Humanities")+($AL105="Law Studies")+($AL105="Education and Training")+($AL105="Art, Design")+($AL105="Entertainment and Mass Media")+($AL105="Community and Social Service")+($AL105="Personal Care and Services")+($AL105="Government and Public Administration")+($AL105="Defence/ Protective Service")+($AL105="Sports"))&gt;0,"Arts / Humanities",""))))</f>
        <v/>
      </c>
      <c r="BD105" s="5" t="str">
        <f aca="false">IF($B105="","",--(F105&gt;=10)+--(G105&gt;=10)+--(H105&gt;=10)+--(I105&gt;=10)+--(J105&gt;=10)+--(K105&gt;=10)+--(L105&gt;=10)+--(M105&gt;=10)+--(N105&gt;=10)+--(O105&gt;=10))</f>
        <v/>
      </c>
      <c r="BE105" s="5" t="str">
        <f aca="false">IF($B105="","",--(AND(F105&lt;&gt;"",F105&lt;=8))+--(AND(G105&lt;&gt;"",G105&lt;=8))+--(AND(H105&lt;&gt;"",H105&lt;=8))+--(AND(I105&lt;&gt;"",I105&lt;=8))+--(AND(J105&lt;&gt;"",J105&lt;=8))+--(AND(K105&lt;&gt;"",K105&lt;=8))+--(AND(L105&lt;&gt;"",L105&lt;=8))+--(AND(M105&lt;&gt;"",M105&lt;=8))+--(AND(N105&lt;&gt;"",N105&lt;=8))+--(AND(O105&lt;&gt;"",O105&lt;=8)))</f>
        <v/>
      </c>
    </row>
    <row r="106" customFormat="false" ht="15" hidden="false" customHeight="false" outlineLevel="0" collapsed="false">
      <c r="AZ106" s="5" t="str">
        <f aca="false">IF($B106="","",SUMPRODUCT(($AL106:$AO106&lt;&gt;"")*(COUNTIF($AP106:$AX106,$AL106:$AO106)&gt;0)))</f>
        <v/>
      </c>
      <c r="BA106" s="5" t="str">
        <f aca="false">IF($B106="","",IF(AZ106&gt;0,1,0))</f>
        <v/>
      </c>
      <c r="BB106" s="5" t="str">
        <f aca="false">IF($AP106="","",IF((($AP106="Engineering and Technology")+($AP106="Science and Mathematics")+($AP106="Computer Science, IT and Allied Fields")+($AP106="Life Sciences /Medicine and Healthcare")+($AP106="Paramedical")+($AP106="Architecture")+($AP106="Environmental Service")+($AP106="Agriculture, Food Industry and Forestry"))&gt;0,"Science",IF((($AP106="Banking and Finance")+($AP106="Management and Administration")+($AP106="Marketing")+($AP106="Sales")+($AP106="Entrepreneurship")+($AP106="Hospitality and Tourism"))&gt;0,"Commerce",IF((($AP106="Social Sciences and Humanities")+($AP106="Law Studies")+($AP106="Education and Training")+($AP106="Art, Design")+($AP106="Entertainment and Mass Media")+($AP106="Community and Social Service")+($AP106="Personal Care and Services")+($AP106="Government and Public Administration")+($AP106="Defence/ Protective Service")+($AP106="Sports"))&gt;0,"Arts / Humanities",""))))</f>
        <v/>
      </c>
      <c r="BC106" s="5" t="str">
        <f aca="false">IF($AL106="","",IF((($AL106="Engineering and Technology")+($AL106="Science and Mathematics")+($AL106="Computer Science, IT and Allied Fields")+($AL106="Life Sciences /Medicine and Healthcare")+($AL106="Paramedical")+($AL106="Architecture")+($AL106="Environmental Service")+($AL106="Agriculture, Food Industry and Forestry"))&gt;0,"Science",IF((($AL106="Banking and Finance")+($AL106="Management and Administration")+($AL106="Marketing")+($AL106="Sales")+($AL106="Entrepreneurship")+($AL106="Hospitality and Tourism"))&gt;0,"Commerce",IF((($AL106="Social Sciences and Humanities")+($AL106="Law Studies")+($AL106="Education and Training")+($AL106="Art, Design")+($AL106="Entertainment and Mass Media")+($AL106="Community and Social Service")+($AL106="Personal Care and Services")+($AL106="Government and Public Administration")+($AL106="Defence/ Protective Service")+($AL106="Sports"))&gt;0,"Arts / Humanities",""))))</f>
        <v/>
      </c>
      <c r="BD106" s="5" t="str">
        <f aca="false">IF($B106="","",--(F106&gt;=10)+--(G106&gt;=10)+--(H106&gt;=10)+--(I106&gt;=10)+--(J106&gt;=10)+--(K106&gt;=10)+--(L106&gt;=10)+--(M106&gt;=10)+--(N106&gt;=10)+--(O106&gt;=10))</f>
        <v/>
      </c>
      <c r="BE106" s="5" t="str">
        <f aca="false">IF($B106="","",--(AND(F106&lt;&gt;"",F106&lt;=8))+--(AND(G106&lt;&gt;"",G106&lt;=8))+--(AND(H106&lt;&gt;"",H106&lt;=8))+--(AND(I106&lt;&gt;"",I106&lt;=8))+--(AND(J106&lt;&gt;"",J106&lt;=8))+--(AND(K106&lt;&gt;"",K106&lt;=8))+--(AND(L106&lt;&gt;"",L106&lt;=8))+--(AND(M106&lt;&gt;"",M106&lt;=8))+--(AND(N106&lt;&gt;"",N106&lt;=8))+--(AND(O106&lt;&gt;"",O106&lt;=8)))</f>
        <v/>
      </c>
    </row>
    <row r="107" customFormat="false" ht="15" hidden="false" customHeight="false" outlineLevel="0" collapsed="false">
      <c r="AZ107" s="5" t="str">
        <f aca="false">IF($B107="","",SUMPRODUCT(($AL107:$AO107&lt;&gt;"")*(COUNTIF($AP107:$AX107,$AL107:$AO107)&gt;0)))</f>
        <v/>
      </c>
      <c r="BA107" s="5" t="str">
        <f aca="false">IF($B107="","",IF(AZ107&gt;0,1,0))</f>
        <v/>
      </c>
      <c r="BB107" s="5" t="str">
        <f aca="false">IF($AP107="","",IF((($AP107="Engineering and Technology")+($AP107="Science and Mathematics")+($AP107="Computer Science, IT and Allied Fields")+($AP107="Life Sciences /Medicine and Healthcare")+($AP107="Paramedical")+($AP107="Architecture")+($AP107="Environmental Service")+($AP107="Agriculture, Food Industry and Forestry"))&gt;0,"Science",IF((($AP107="Banking and Finance")+($AP107="Management and Administration")+($AP107="Marketing")+($AP107="Sales")+($AP107="Entrepreneurship")+($AP107="Hospitality and Tourism"))&gt;0,"Commerce",IF((($AP107="Social Sciences and Humanities")+($AP107="Law Studies")+($AP107="Education and Training")+($AP107="Art, Design")+($AP107="Entertainment and Mass Media")+($AP107="Community and Social Service")+($AP107="Personal Care and Services")+($AP107="Government and Public Administration")+($AP107="Defence/ Protective Service")+($AP107="Sports"))&gt;0,"Arts / Humanities",""))))</f>
        <v/>
      </c>
      <c r="BC107" s="5" t="str">
        <f aca="false">IF($AL107="","",IF((($AL107="Engineering and Technology")+($AL107="Science and Mathematics")+($AL107="Computer Science, IT and Allied Fields")+($AL107="Life Sciences /Medicine and Healthcare")+($AL107="Paramedical")+($AL107="Architecture")+($AL107="Environmental Service")+($AL107="Agriculture, Food Industry and Forestry"))&gt;0,"Science",IF((($AL107="Banking and Finance")+($AL107="Management and Administration")+($AL107="Marketing")+($AL107="Sales")+($AL107="Entrepreneurship")+($AL107="Hospitality and Tourism"))&gt;0,"Commerce",IF((($AL107="Social Sciences and Humanities")+($AL107="Law Studies")+($AL107="Education and Training")+($AL107="Art, Design")+($AL107="Entertainment and Mass Media")+($AL107="Community and Social Service")+($AL107="Personal Care and Services")+($AL107="Government and Public Administration")+($AL107="Defence/ Protective Service")+($AL107="Sports"))&gt;0,"Arts / Humanities",""))))</f>
        <v/>
      </c>
      <c r="BD107" s="5" t="str">
        <f aca="false">IF($B107="","",--(F107&gt;=10)+--(G107&gt;=10)+--(H107&gt;=10)+--(I107&gt;=10)+--(J107&gt;=10)+--(K107&gt;=10)+--(L107&gt;=10)+--(M107&gt;=10)+--(N107&gt;=10)+--(O107&gt;=10))</f>
        <v/>
      </c>
      <c r="BE107" s="5" t="str">
        <f aca="false">IF($B107="","",--(AND(F107&lt;&gt;"",F107&lt;=8))+--(AND(G107&lt;&gt;"",G107&lt;=8))+--(AND(H107&lt;&gt;"",H107&lt;=8))+--(AND(I107&lt;&gt;"",I107&lt;=8))+--(AND(J107&lt;&gt;"",J107&lt;=8))+--(AND(K107&lt;&gt;"",K107&lt;=8))+--(AND(L107&lt;&gt;"",L107&lt;=8))+--(AND(M107&lt;&gt;"",M107&lt;=8))+--(AND(N107&lt;&gt;"",N107&lt;=8))+--(AND(O107&lt;&gt;"",O107&lt;=8)))</f>
        <v/>
      </c>
    </row>
    <row r="108" customFormat="false" ht="15" hidden="false" customHeight="false" outlineLevel="0" collapsed="false">
      <c r="AZ108" s="5" t="str">
        <f aca="false">IF($B108="","",SUMPRODUCT(($AL108:$AO108&lt;&gt;"")*(COUNTIF($AP108:$AX108,$AL108:$AO108)&gt;0)))</f>
        <v/>
      </c>
      <c r="BA108" s="5" t="str">
        <f aca="false">IF($B108="","",IF(AZ108&gt;0,1,0))</f>
        <v/>
      </c>
      <c r="BB108" s="5" t="str">
        <f aca="false">IF($AP108="","",IF((($AP108="Engineering and Technology")+($AP108="Science and Mathematics")+($AP108="Computer Science, IT and Allied Fields")+($AP108="Life Sciences /Medicine and Healthcare")+($AP108="Paramedical")+($AP108="Architecture")+($AP108="Environmental Service")+($AP108="Agriculture, Food Industry and Forestry"))&gt;0,"Science",IF((($AP108="Banking and Finance")+($AP108="Management and Administration")+($AP108="Marketing")+($AP108="Sales")+($AP108="Entrepreneurship")+($AP108="Hospitality and Tourism"))&gt;0,"Commerce",IF((($AP108="Social Sciences and Humanities")+($AP108="Law Studies")+($AP108="Education and Training")+($AP108="Art, Design")+($AP108="Entertainment and Mass Media")+($AP108="Community and Social Service")+($AP108="Personal Care and Services")+($AP108="Government and Public Administration")+($AP108="Defence/ Protective Service")+($AP108="Sports"))&gt;0,"Arts / Humanities",""))))</f>
        <v/>
      </c>
      <c r="BC108" s="5" t="str">
        <f aca="false">IF($AL108="","",IF((($AL108="Engineering and Technology")+($AL108="Science and Mathematics")+($AL108="Computer Science, IT and Allied Fields")+($AL108="Life Sciences /Medicine and Healthcare")+($AL108="Paramedical")+($AL108="Architecture")+($AL108="Environmental Service")+($AL108="Agriculture, Food Industry and Forestry"))&gt;0,"Science",IF((($AL108="Banking and Finance")+($AL108="Management and Administration")+($AL108="Marketing")+($AL108="Sales")+($AL108="Entrepreneurship")+($AL108="Hospitality and Tourism"))&gt;0,"Commerce",IF((($AL108="Social Sciences and Humanities")+($AL108="Law Studies")+($AL108="Education and Training")+($AL108="Art, Design")+($AL108="Entertainment and Mass Media")+($AL108="Community and Social Service")+($AL108="Personal Care and Services")+($AL108="Government and Public Administration")+($AL108="Defence/ Protective Service")+($AL108="Sports"))&gt;0,"Arts / Humanities",""))))</f>
        <v/>
      </c>
      <c r="BD108" s="5" t="str">
        <f aca="false">IF($B108="","",--(F108&gt;=10)+--(G108&gt;=10)+--(H108&gt;=10)+--(I108&gt;=10)+--(J108&gt;=10)+--(K108&gt;=10)+--(L108&gt;=10)+--(M108&gt;=10)+--(N108&gt;=10)+--(O108&gt;=10))</f>
        <v/>
      </c>
      <c r="BE108" s="5" t="str">
        <f aca="false">IF($B108="","",--(AND(F108&lt;&gt;"",F108&lt;=8))+--(AND(G108&lt;&gt;"",G108&lt;=8))+--(AND(H108&lt;&gt;"",H108&lt;=8))+--(AND(I108&lt;&gt;"",I108&lt;=8))+--(AND(J108&lt;&gt;"",J108&lt;=8))+--(AND(K108&lt;&gt;"",K108&lt;=8))+--(AND(L108&lt;&gt;"",L108&lt;=8))+--(AND(M108&lt;&gt;"",M108&lt;=8))+--(AND(N108&lt;&gt;"",N108&lt;=8))+--(AND(O108&lt;&gt;"",O108&lt;=8)))</f>
        <v/>
      </c>
    </row>
    <row r="109" customFormat="false" ht="15" hidden="false" customHeight="false" outlineLevel="0" collapsed="false">
      <c r="AZ109" s="5" t="str">
        <f aca="false">IF($B109="","",SUMPRODUCT(($AL109:$AO109&lt;&gt;"")*(COUNTIF($AP109:$AX109,$AL109:$AO109)&gt;0)))</f>
        <v/>
      </c>
      <c r="BA109" s="5" t="str">
        <f aca="false">IF($B109="","",IF(AZ109&gt;0,1,0))</f>
        <v/>
      </c>
      <c r="BB109" s="5" t="str">
        <f aca="false">IF($AP109="","",IF((($AP109="Engineering and Technology")+($AP109="Science and Mathematics")+($AP109="Computer Science, IT and Allied Fields")+($AP109="Life Sciences /Medicine and Healthcare")+($AP109="Paramedical")+($AP109="Architecture")+($AP109="Environmental Service")+($AP109="Agriculture, Food Industry and Forestry"))&gt;0,"Science",IF((($AP109="Banking and Finance")+($AP109="Management and Administration")+($AP109="Marketing")+($AP109="Sales")+($AP109="Entrepreneurship")+($AP109="Hospitality and Tourism"))&gt;0,"Commerce",IF((($AP109="Social Sciences and Humanities")+($AP109="Law Studies")+($AP109="Education and Training")+($AP109="Art, Design")+($AP109="Entertainment and Mass Media")+($AP109="Community and Social Service")+($AP109="Personal Care and Services")+($AP109="Government and Public Administration")+($AP109="Defence/ Protective Service")+($AP109="Sports"))&gt;0,"Arts / Humanities",""))))</f>
        <v/>
      </c>
      <c r="BC109" s="5" t="str">
        <f aca="false">IF($AL109="","",IF((($AL109="Engineering and Technology")+($AL109="Science and Mathematics")+($AL109="Computer Science, IT and Allied Fields")+($AL109="Life Sciences /Medicine and Healthcare")+($AL109="Paramedical")+($AL109="Architecture")+($AL109="Environmental Service")+($AL109="Agriculture, Food Industry and Forestry"))&gt;0,"Science",IF((($AL109="Banking and Finance")+($AL109="Management and Administration")+($AL109="Marketing")+($AL109="Sales")+($AL109="Entrepreneurship")+($AL109="Hospitality and Tourism"))&gt;0,"Commerce",IF((($AL109="Social Sciences and Humanities")+($AL109="Law Studies")+($AL109="Education and Training")+($AL109="Art, Design")+($AL109="Entertainment and Mass Media")+($AL109="Community and Social Service")+($AL109="Personal Care and Services")+($AL109="Government and Public Administration")+($AL109="Defence/ Protective Service")+($AL109="Sports"))&gt;0,"Arts / Humanities",""))))</f>
        <v/>
      </c>
      <c r="BD109" s="5" t="str">
        <f aca="false">IF($B109="","",--(F109&gt;=10)+--(G109&gt;=10)+--(H109&gt;=10)+--(I109&gt;=10)+--(J109&gt;=10)+--(K109&gt;=10)+--(L109&gt;=10)+--(M109&gt;=10)+--(N109&gt;=10)+--(O109&gt;=10))</f>
        <v/>
      </c>
      <c r="BE109" s="5" t="str">
        <f aca="false">IF($B109="","",--(AND(F109&lt;&gt;"",F109&lt;=8))+--(AND(G109&lt;&gt;"",G109&lt;=8))+--(AND(H109&lt;&gt;"",H109&lt;=8))+--(AND(I109&lt;&gt;"",I109&lt;=8))+--(AND(J109&lt;&gt;"",J109&lt;=8))+--(AND(K109&lt;&gt;"",K109&lt;=8))+--(AND(L109&lt;&gt;"",L109&lt;=8))+--(AND(M109&lt;&gt;"",M109&lt;=8))+--(AND(N109&lt;&gt;"",N109&lt;=8))+--(AND(O109&lt;&gt;"",O109&lt;=8)))</f>
        <v/>
      </c>
    </row>
    <row r="110" customFormat="false" ht="15" hidden="false" customHeight="false" outlineLevel="0" collapsed="false">
      <c r="AZ110" s="5" t="str">
        <f aca="false">IF($B110="","",SUMPRODUCT(($AL110:$AO110&lt;&gt;"")*(COUNTIF($AP110:$AX110,$AL110:$AO110)&gt;0)))</f>
        <v/>
      </c>
      <c r="BA110" s="5" t="str">
        <f aca="false">IF($B110="","",IF(AZ110&gt;0,1,0))</f>
        <v/>
      </c>
      <c r="BB110" s="5" t="str">
        <f aca="false">IF($AP110="","",IF((($AP110="Engineering and Technology")+($AP110="Science and Mathematics")+($AP110="Computer Science, IT and Allied Fields")+($AP110="Life Sciences /Medicine and Healthcare")+($AP110="Paramedical")+($AP110="Architecture")+($AP110="Environmental Service")+($AP110="Agriculture, Food Industry and Forestry"))&gt;0,"Science",IF((($AP110="Banking and Finance")+($AP110="Management and Administration")+($AP110="Marketing")+($AP110="Sales")+($AP110="Entrepreneurship")+($AP110="Hospitality and Tourism"))&gt;0,"Commerce",IF((($AP110="Social Sciences and Humanities")+($AP110="Law Studies")+($AP110="Education and Training")+($AP110="Art, Design")+($AP110="Entertainment and Mass Media")+($AP110="Community and Social Service")+($AP110="Personal Care and Services")+($AP110="Government and Public Administration")+($AP110="Defence/ Protective Service")+($AP110="Sports"))&gt;0,"Arts / Humanities",""))))</f>
        <v/>
      </c>
      <c r="BC110" s="5" t="str">
        <f aca="false">IF($AL110="","",IF((($AL110="Engineering and Technology")+($AL110="Science and Mathematics")+($AL110="Computer Science, IT and Allied Fields")+($AL110="Life Sciences /Medicine and Healthcare")+($AL110="Paramedical")+($AL110="Architecture")+($AL110="Environmental Service")+($AL110="Agriculture, Food Industry and Forestry"))&gt;0,"Science",IF((($AL110="Banking and Finance")+($AL110="Management and Administration")+($AL110="Marketing")+($AL110="Sales")+($AL110="Entrepreneurship")+($AL110="Hospitality and Tourism"))&gt;0,"Commerce",IF((($AL110="Social Sciences and Humanities")+($AL110="Law Studies")+($AL110="Education and Training")+($AL110="Art, Design")+($AL110="Entertainment and Mass Media")+($AL110="Community and Social Service")+($AL110="Personal Care and Services")+($AL110="Government and Public Administration")+($AL110="Defence/ Protective Service")+($AL110="Sports"))&gt;0,"Arts / Humanities",""))))</f>
        <v/>
      </c>
      <c r="BD110" s="5" t="str">
        <f aca="false">IF($B110="","",--(F110&gt;=10)+--(G110&gt;=10)+--(H110&gt;=10)+--(I110&gt;=10)+--(J110&gt;=10)+--(K110&gt;=10)+--(L110&gt;=10)+--(M110&gt;=10)+--(N110&gt;=10)+--(O110&gt;=10))</f>
        <v/>
      </c>
      <c r="BE110" s="5" t="str">
        <f aca="false">IF($B110="","",--(AND(F110&lt;&gt;"",F110&lt;=8))+--(AND(G110&lt;&gt;"",G110&lt;=8))+--(AND(H110&lt;&gt;"",H110&lt;=8))+--(AND(I110&lt;&gt;"",I110&lt;=8))+--(AND(J110&lt;&gt;"",J110&lt;=8))+--(AND(K110&lt;&gt;"",K110&lt;=8))+--(AND(L110&lt;&gt;"",L110&lt;=8))+--(AND(M110&lt;&gt;"",M110&lt;=8))+--(AND(N110&lt;&gt;"",N110&lt;=8))+--(AND(O110&lt;&gt;"",O110&lt;=8)))</f>
        <v/>
      </c>
    </row>
    <row r="111" customFormat="false" ht="15" hidden="false" customHeight="false" outlineLevel="0" collapsed="false">
      <c r="AZ111" s="5" t="str">
        <f aca="false">IF($B111="","",SUMPRODUCT(($AL111:$AO111&lt;&gt;"")*(COUNTIF($AP111:$AX111,$AL111:$AO111)&gt;0)))</f>
        <v/>
      </c>
      <c r="BA111" s="5" t="str">
        <f aca="false">IF($B111="","",IF(AZ111&gt;0,1,0))</f>
        <v/>
      </c>
      <c r="BB111" s="5" t="str">
        <f aca="false">IF($AP111="","",IF((($AP111="Engineering and Technology")+($AP111="Science and Mathematics")+($AP111="Computer Science, IT and Allied Fields")+($AP111="Life Sciences /Medicine and Healthcare")+($AP111="Paramedical")+($AP111="Architecture")+($AP111="Environmental Service")+($AP111="Agriculture, Food Industry and Forestry"))&gt;0,"Science",IF((($AP111="Banking and Finance")+($AP111="Management and Administration")+($AP111="Marketing")+($AP111="Sales")+($AP111="Entrepreneurship")+($AP111="Hospitality and Tourism"))&gt;0,"Commerce",IF((($AP111="Social Sciences and Humanities")+($AP111="Law Studies")+($AP111="Education and Training")+($AP111="Art, Design")+($AP111="Entertainment and Mass Media")+($AP111="Community and Social Service")+($AP111="Personal Care and Services")+($AP111="Government and Public Administration")+($AP111="Defence/ Protective Service")+($AP111="Sports"))&gt;0,"Arts / Humanities",""))))</f>
        <v/>
      </c>
      <c r="BC111" s="5" t="str">
        <f aca="false">IF($AL111="","",IF((($AL111="Engineering and Technology")+($AL111="Science and Mathematics")+($AL111="Computer Science, IT and Allied Fields")+($AL111="Life Sciences /Medicine and Healthcare")+($AL111="Paramedical")+($AL111="Architecture")+($AL111="Environmental Service")+($AL111="Agriculture, Food Industry and Forestry"))&gt;0,"Science",IF((($AL111="Banking and Finance")+($AL111="Management and Administration")+($AL111="Marketing")+($AL111="Sales")+($AL111="Entrepreneurship")+($AL111="Hospitality and Tourism"))&gt;0,"Commerce",IF((($AL111="Social Sciences and Humanities")+($AL111="Law Studies")+($AL111="Education and Training")+($AL111="Art, Design")+($AL111="Entertainment and Mass Media")+($AL111="Community and Social Service")+($AL111="Personal Care and Services")+($AL111="Government and Public Administration")+($AL111="Defence/ Protective Service")+($AL111="Sports"))&gt;0,"Arts / Humanities",""))))</f>
        <v/>
      </c>
      <c r="BD111" s="5" t="str">
        <f aca="false">IF($B111="","",--(F111&gt;=10)+--(G111&gt;=10)+--(H111&gt;=10)+--(I111&gt;=10)+--(J111&gt;=10)+--(K111&gt;=10)+--(L111&gt;=10)+--(M111&gt;=10)+--(N111&gt;=10)+--(O111&gt;=10))</f>
        <v/>
      </c>
      <c r="BE111" s="5" t="str">
        <f aca="false">IF($B111="","",--(AND(F111&lt;&gt;"",F111&lt;=8))+--(AND(G111&lt;&gt;"",G111&lt;=8))+--(AND(H111&lt;&gt;"",H111&lt;=8))+--(AND(I111&lt;&gt;"",I111&lt;=8))+--(AND(J111&lt;&gt;"",J111&lt;=8))+--(AND(K111&lt;&gt;"",K111&lt;=8))+--(AND(L111&lt;&gt;"",L111&lt;=8))+--(AND(M111&lt;&gt;"",M111&lt;=8))+--(AND(N111&lt;&gt;"",N111&lt;=8))+--(AND(O111&lt;&gt;"",O111&lt;=8)))</f>
        <v/>
      </c>
    </row>
    <row r="112" customFormat="false" ht="15" hidden="false" customHeight="false" outlineLevel="0" collapsed="false">
      <c r="AZ112" s="5" t="str">
        <f aca="false">IF($B112="","",SUMPRODUCT(($AL112:$AO112&lt;&gt;"")*(COUNTIF($AP112:$AX112,$AL112:$AO112)&gt;0)))</f>
        <v/>
      </c>
      <c r="BA112" s="5" t="str">
        <f aca="false">IF($B112="","",IF(AZ112&gt;0,1,0))</f>
        <v/>
      </c>
      <c r="BB112" s="5" t="str">
        <f aca="false">IF($AP112="","",IF((($AP112="Engineering and Technology")+($AP112="Science and Mathematics")+($AP112="Computer Science, IT and Allied Fields")+($AP112="Life Sciences /Medicine and Healthcare")+($AP112="Paramedical")+($AP112="Architecture")+($AP112="Environmental Service")+($AP112="Agriculture, Food Industry and Forestry"))&gt;0,"Science",IF((($AP112="Banking and Finance")+($AP112="Management and Administration")+($AP112="Marketing")+($AP112="Sales")+($AP112="Entrepreneurship")+($AP112="Hospitality and Tourism"))&gt;0,"Commerce",IF((($AP112="Social Sciences and Humanities")+($AP112="Law Studies")+($AP112="Education and Training")+($AP112="Art, Design")+($AP112="Entertainment and Mass Media")+($AP112="Community and Social Service")+($AP112="Personal Care and Services")+($AP112="Government and Public Administration")+($AP112="Defence/ Protective Service")+($AP112="Sports"))&gt;0,"Arts / Humanities",""))))</f>
        <v/>
      </c>
      <c r="BC112" s="5" t="str">
        <f aca="false">IF($AL112="","",IF((($AL112="Engineering and Technology")+($AL112="Science and Mathematics")+($AL112="Computer Science, IT and Allied Fields")+($AL112="Life Sciences /Medicine and Healthcare")+($AL112="Paramedical")+($AL112="Architecture")+($AL112="Environmental Service")+($AL112="Agriculture, Food Industry and Forestry"))&gt;0,"Science",IF((($AL112="Banking and Finance")+($AL112="Management and Administration")+($AL112="Marketing")+($AL112="Sales")+($AL112="Entrepreneurship")+($AL112="Hospitality and Tourism"))&gt;0,"Commerce",IF((($AL112="Social Sciences and Humanities")+($AL112="Law Studies")+($AL112="Education and Training")+($AL112="Art, Design")+($AL112="Entertainment and Mass Media")+($AL112="Community and Social Service")+($AL112="Personal Care and Services")+($AL112="Government and Public Administration")+($AL112="Defence/ Protective Service")+($AL112="Sports"))&gt;0,"Arts / Humanities",""))))</f>
        <v/>
      </c>
      <c r="BD112" s="5" t="str">
        <f aca="false">IF($B112="","",--(F112&gt;=10)+--(G112&gt;=10)+--(H112&gt;=10)+--(I112&gt;=10)+--(J112&gt;=10)+--(K112&gt;=10)+--(L112&gt;=10)+--(M112&gt;=10)+--(N112&gt;=10)+--(O112&gt;=10))</f>
        <v/>
      </c>
      <c r="BE112" s="5" t="str">
        <f aca="false">IF($B112="","",--(AND(F112&lt;&gt;"",F112&lt;=8))+--(AND(G112&lt;&gt;"",G112&lt;=8))+--(AND(H112&lt;&gt;"",H112&lt;=8))+--(AND(I112&lt;&gt;"",I112&lt;=8))+--(AND(J112&lt;&gt;"",J112&lt;=8))+--(AND(K112&lt;&gt;"",K112&lt;=8))+--(AND(L112&lt;&gt;"",L112&lt;=8))+--(AND(M112&lt;&gt;"",M112&lt;=8))+--(AND(N112&lt;&gt;"",N112&lt;=8))+--(AND(O112&lt;&gt;"",O112&lt;=8)))</f>
        <v/>
      </c>
    </row>
    <row r="113" customFormat="false" ht="15" hidden="false" customHeight="false" outlineLevel="0" collapsed="false">
      <c r="AZ113" s="5" t="str">
        <f aca="false">IF($B113="","",SUMPRODUCT(($AL113:$AO113&lt;&gt;"")*(COUNTIF($AP113:$AX113,$AL113:$AO113)&gt;0)))</f>
        <v/>
      </c>
      <c r="BA113" s="5" t="str">
        <f aca="false">IF($B113="","",IF(AZ113&gt;0,1,0))</f>
        <v/>
      </c>
      <c r="BB113" s="5" t="str">
        <f aca="false">IF($AP113="","",IF((($AP113="Engineering and Technology")+($AP113="Science and Mathematics")+($AP113="Computer Science, IT and Allied Fields")+($AP113="Life Sciences /Medicine and Healthcare")+($AP113="Paramedical")+($AP113="Architecture")+($AP113="Environmental Service")+($AP113="Agriculture, Food Industry and Forestry"))&gt;0,"Science",IF((($AP113="Banking and Finance")+($AP113="Management and Administration")+($AP113="Marketing")+($AP113="Sales")+($AP113="Entrepreneurship")+($AP113="Hospitality and Tourism"))&gt;0,"Commerce",IF((($AP113="Social Sciences and Humanities")+($AP113="Law Studies")+($AP113="Education and Training")+($AP113="Art, Design")+($AP113="Entertainment and Mass Media")+($AP113="Community and Social Service")+($AP113="Personal Care and Services")+($AP113="Government and Public Administration")+($AP113="Defence/ Protective Service")+($AP113="Sports"))&gt;0,"Arts / Humanities",""))))</f>
        <v/>
      </c>
      <c r="BC113" s="5" t="str">
        <f aca="false">IF($AL113="","",IF((($AL113="Engineering and Technology")+($AL113="Science and Mathematics")+($AL113="Computer Science, IT and Allied Fields")+($AL113="Life Sciences /Medicine and Healthcare")+($AL113="Paramedical")+($AL113="Architecture")+($AL113="Environmental Service")+($AL113="Agriculture, Food Industry and Forestry"))&gt;0,"Science",IF((($AL113="Banking and Finance")+($AL113="Management and Administration")+($AL113="Marketing")+($AL113="Sales")+($AL113="Entrepreneurship")+($AL113="Hospitality and Tourism"))&gt;0,"Commerce",IF((($AL113="Social Sciences and Humanities")+($AL113="Law Studies")+($AL113="Education and Training")+($AL113="Art, Design")+($AL113="Entertainment and Mass Media")+($AL113="Community and Social Service")+($AL113="Personal Care and Services")+($AL113="Government and Public Administration")+($AL113="Defence/ Protective Service")+($AL113="Sports"))&gt;0,"Arts / Humanities",""))))</f>
        <v/>
      </c>
      <c r="BD113" s="5" t="str">
        <f aca="false">IF($B113="","",--(F113&gt;=10)+--(G113&gt;=10)+--(H113&gt;=10)+--(I113&gt;=10)+--(J113&gt;=10)+--(K113&gt;=10)+--(L113&gt;=10)+--(M113&gt;=10)+--(N113&gt;=10)+--(O113&gt;=10))</f>
        <v/>
      </c>
      <c r="BE113" s="5" t="str">
        <f aca="false">IF($B113="","",--(AND(F113&lt;&gt;"",F113&lt;=8))+--(AND(G113&lt;&gt;"",G113&lt;=8))+--(AND(H113&lt;&gt;"",H113&lt;=8))+--(AND(I113&lt;&gt;"",I113&lt;=8))+--(AND(J113&lt;&gt;"",J113&lt;=8))+--(AND(K113&lt;&gt;"",K113&lt;=8))+--(AND(L113&lt;&gt;"",L113&lt;=8))+--(AND(M113&lt;&gt;"",M113&lt;=8))+--(AND(N113&lt;&gt;"",N113&lt;=8))+--(AND(O113&lt;&gt;"",O113&lt;=8)))</f>
        <v/>
      </c>
    </row>
    <row r="114" customFormat="false" ht="15" hidden="false" customHeight="false" outlineLevel="0" collapsed="false">
      <c r="AZ114" s="5" t="str">
        <f aca="false">IF($B114="","",SUMPRODUCT(($AL114:$AO114&lt;&gt;"")*(COUNTIF($AP114:$AX114,$AL114:$AO114)&gt;0)))</f>
        <v/>
      </c>
      <c r="BA114" s="5" t="str">
        <f aca="false">IF($B114="","",IF(AZ114&gt;0,1,0))</f>
        <v/>
      </c>
      <c r="BB114" s="5" t="str">
        <f aca="false">IF($AP114="","",IF((($AP114="Engineering and Technology")+($AP114="Science and Mathematics")+($AP114="Computer Science, IT and Allied Fields")+($AP114="Life Sciences /Medicine and Healthcare")+($AP114="Paramedical")+($AP114="Architecture")+($AP114="Environmental Service")+($AP114="Agriculture, Food Industry and Forestry"))&gt;0,"Science",IF((($AP114="Banking and Finance")+($AP114="Management and Administration")+($AP114="Marketing")+($AP114="Sales")+($AP114="Entrepreneurship")+($AP114="Hospitality and Tourism"))&gt;0,"Commerce",IF((($AP114="Social Sciences and Humanities")+($AP114="Law Studies")+($AP114="Education and Training")+($AP114="Art, Design")+($AP114="Entertainment and Mass Media")+($AP114="Community and Social Service")+($AP114="Personal Care and Services")+($AP114="Government and Public Administration")+($AP114="Defence/ Protective Service")+($AP114="Sports"))&gt;0,"Arts / Humanities",""))))</f>
        <v/>
      </c>
      <c r="BC114" s="5" t="str">
        <f aca="false">IF($AL114="","",IF((($AL114="Engineering and Technology")+($AL114="Science and Mathematics")+($AL114="Computer Science, IT and Allied Fields")+($AL114="Life Sciences /Medicine and Healthcare")+($AL114="Paramedical")+($AL114="Architecture")+($AL114="Environmental Service")+($AL114="Agriculture, Food Industry and Forestry"))&gt;0,"Science",IF((($AL114="Banking and Finance")+($AL114="Management and Administration")+($AL114="Marketing")+($AL114="Sales")+($AL114="Entrepreneurship")+($AL114="Hospitality and Tourism"))&gt;0,"Commerce",IF((($AL114="Social Sciences and Humanities")+($AL114="Law Studies")+($AL114="Education and Training")+($AL114="Art, Design")+($AL114="Entertainment and Mass Media")+($AL114="Community and Social Service")+($AL114="Personal Care and Services")+($AL114="Government and Public Administration")+($AL114="Defence/ Protective Service")+($AL114="Sports"))&gt;0,"Arts / Humanities",""))))</f>
        <v/>
      </c>
      <c r="BD114" s="5" t="str">
        <f aca="false">IF($B114="","",--(F114&gt;=10)+--(G114&gt;=10)+--(H114&gt;=10)+--(I114&gt;=10)+--(J114&gt;=10)+--(K114&gt;=10)+--(L114&gt;=10)+--(M114&gt;=10)+--(N114&gt;=10)+--(O114&gt;=10))</f>
        <v/>
      </c>
      <c r="BE114" s="5" t="str">
        <f aca="false">IF($B114="","",--(AND(F114&lt;&gt;"",F114&lt;=8))+--(AND(G114&lt;&gt;"",G114&lt;=8))+--(AND(H114&lt;&gt;"",H114&lt;=8))+--(AND(I114&lt;&gt;"",I114&lt;=8))+--(AND(J114&lt;&gt;"",J114&lt;=8))+--(AND(K114&lt;&gt;"",K114&lt;=8))+--(AND(L114&lt;&gt;"",L114&lt;=8))+--(AND(M114&lt;&gt;"",M114&lt;=8))+--(AND(N114&lt;&gt;"",N114&lt;=8))+--(AND(O114&lt;&gt;"",O114&lt;=8)))</f>
        <v/>
      </c>
    </row>
    <row r="115" customFormat="false" ht="15" hidden="false" customHeight="false" outlineLevel="0" collapsed="false">
      <c r="AZ115" s="5" t="str">
        <f aca="false">IF($B115="","",SUMPRODUCT(($AL115:$AO115&lt;&gt;"")*(COUNTIF($AP115:$AX115,$AL115:$AO115)&gt;0)))</f>
        <v/>
      </c>
      <c r="BA115" s="5" t="str">
        <f aca="false">IF($B115="","",IF(AZ115&gt;0,1,0))</f>
        <v/>
      </c>
      <c r="BB115" s="5" t="str">
        <f aca="false">IF($AP115="","",IF((($AP115="Engineering and Technology")+($AP115="Science and Mathematics")+($AP115="Computer Science, IT and Allied Fields")+($AP115="Life Sciences /Medicine and Healthcare")+($AP115="Paramedical")+($AP115="Architecture")+($AP115="Environmental Service")+($AP115="Agriculture, Food Industry and Forestry"))&gt;0,"Science",IF((($AP115="Banking and Finance")+($AP115="Management and Administration")+($AP115="Marketing")+($AP115="Sales")+($AP115="Entrepreneurship")+($AP115="Hospitality and Tourism"))&gt;0,"Commerce",IF((($AP115="Social Sciences and Humanities")+($AP115="Law Studies")+($AP115="Education and Training")+($AP115="Art, Design")+($AP115="Entertainment and Mass Media")+($AP115="Community and Social Service")+($AP115="Personal Care and Services")+($AP115="Government and Public Administration")+($AP115="Defence/ Protective Service")+($AP115="Sports"))&gt;0,"Arts / Humanities",""))))</f>
        <v/>
      </c>
      <c r="BC115" s="5" t="str">
        <f aca="false">IF($AL115="","",IF((($AL115="Engineering and Technology")+($AL115="Science and Mathematics")+($AL115="Computer Science, IT and Allied Fields")+($AL115="Life Sciences /Medicine and Healthcare")+($AL115="Paramedical")+($AL115="Architecture")+($AL115="Environmental Service")+($AL115="Agriculture, Food Industry and Forestry"))&gt;0,"Science",IF((($AL115="Banking and Finance")+($AL115="Management and Administration")+($AL115="Marketing")+($AL115="Sales")+($AL115="Entrepreneurship")+($AL115="Hospitality and Tourism"))&gt;0,"Commerce",IF((($AL115="Social Sciences and Humanities")+($AL115="Law Studies")+($AL115="Education and Training")+($AL115="Art, Design")+($AL115="Entertainment and Mass Media")+($AL115="Community and Social Service")+($AL115="Personal Care and Services")+($AL115="Government and Public Administration")+($AL115="Defence/ Protective Service")+($AL115="Sports"))&gt;0,"Arts / Humanities",""))))</f>
        <v/>
      </c>
      <c r="BD115" s="5" t="str">
        <f aca="false">IF($B115="","",--(F115&gt;=10)+--(G115&gt;=10)+--(H115&gt;=10)+--(I115&gt;=10)+--(J115&gt;=10)+--(K115&gt;=10)+--(L115&gt;=10)+--(M115&gt;=10)+--(N115&gt;=10)+--(O115&gt;=10))</f>
        <v/>
      </c>
      <c r="BE115" s="5" t="str">
        <f aca="false">IF($B115="","",--(AND(F115&lt;&gt;"",F115&lt;=8))+--(AND(G115&lt;&gt;"",G115&lt;=8))+--(AND(H115&lt;&gt;"",H115&lt;=8))+--(AND(I115&lt;&gt;"",I115&lt;=8))+--(AND(J115&lt;&gt;"",J115&lt;=8))+--(AND(K115&lt;&gt;"",K115&lt;=8))+--(AND(L115&lt;&gt;"",L115&lt;=8))+--(AND(M115&lt;&gt;"",M115&lt;=8))+--(AND(N115&lt;&gt;"",N115&lt;=8))+--(AND(O115&lt;&gt;"",O115&lt;=8)))</f>
        <v/>
      </c>
    </row>
    <row r="116" customFormat="false" ht="15" hidden="false" customHeight="false" outlineLevel="0" collapsed="false">
      <c r="AZ116" s="5" t="str">
        <f aca="false">IF($B116="","",SUMPRODUCT(($AL116:$AO116&lt;&gt;"")*(COUNTIF($AP116:$AX116,$AL116:$AO116)&gt;0)))</f>
        <v/>
      </c>
      <c r="BA116" s="5" t="str">
        <f aca="false">IF($B116="","",IF(AZ116&gt;0,1,0))</f>
        <v/>
      </c>
      <c r="BB116" s="5" t="str">
        <f aca="false">IF($AP116="","",IF((($AP116="Engineering and Technology")+($AP116="Science and Mathematics")+($AP116="Computer Science, IT and Allied Fields")+($AP116="Life Sciences /Medicine and Healthcare")+($AP116="Paramedical")+($AP116="Architecture")+($AP116="Environmental Service")+($AP116="Agriculture, Food Industry and Forestry"))&gt;0,"Science",IF((($AP116="Banking and Finance")+($AP116="Management and Administration")+($AP116="Marketing")+($AP116="Sales")+($AP116="Entrepreneurship")+($AP116="Hospitality and Tourism"))&gt;0,"Commerce",IF((($AP116="Social Sciences and Humanities")+($AP116="Law Studies")+($AP116="Education and Training")+($AP116="Art, Design")+($AP116="Entertainment and Mass Media")+($AP116="Community and Social Service")+($AP116="Personal Care and Services")+($AP116="Government and Public Administration")+($AP116="Defence/ Protective Service")+($AP116="Sports"))&gt;0,"Arts / Humanities",""))))</f>
        <v/>
      </c>
      <c r="BC116" s="5" t="str">
        <f aca="false">IF($AL116="","",IF((($AL116="Engineering and Technology")+($AL116="Science and Mathematics")+($AL116="Computer Science, IT and Allied Fields")+($AL116="Life Sciences /Medicine and Healthcare")+($AL116="Paramedical")+($AL116="Architecture")+($AL116="Environmental Service")+($AL116="Agriculture, Food Industry and Forestry"))&gt;0,"Science",IF((($AL116="Banking and Finance")+($AL116="Management and Administration")+($AL116="Marketing")+($AL116="Sales")+($AL116="Entrepreneurship")+($AL116="Hospitality and Tourism"))&gt;0,"Commerce",IF((($AL116="Social Sciences and Humanities")+($AL116="Law Studies")+($AL116="Education and Training")+($AL116="Art, Design")+($AL116="Entertainment and Mass Media")+($AL116="Community and Social Service")+($AL116="Personal Care and Services")+($AL116="Government and Public Administration")+($AL116="Defence/ Protective Service")+($AL116="Sports"))&gt;0,"Arts / Humanities",""))))</f>
        <v/>
      </c>
      <c r="BD116" s="5" t="str">
        <f aca="false">IF($B116="","",--(F116&gt;=10)+--(G116&gt;=10)+--(H116&gt;=10)+--(I116&gt;=10)+--(J116&gt;=10)+--(K116&gt;=10)+--(L116&gt;=10)+--(M116&gt;=10)+--(N116&gt;=10)+--(O116&gt;=10))</f>
        <v/>
      </c>
      <c r="BE116" s="5" t="str">
        <f aca="false">IF($B116="","",--(AND(F116&lt;&gt;"",F116&lt;=8))+--(AND(G116&lt;&gt;"",G116&lt;=8))+--(AND(H116&lt;&gt;"",H116&lt;=8))+--(AND(I116&lt;&gt;"",I116&lt;=8))+--(AND(J116&lt;&gt;"",J116&lt;=8))+--(AND(K116&lt;&gt;"",K116&lt;=8))+--(AND(L116&lt;&gt;"",L116&lt;=8))+--(AND(M116&lt;&gt;"",M116&lt;=8))+--(AND(N116&lt;&gt;"",N116&lt;=8))+--(AND(O116&lt;&gt;"",O116&lt;=8)))</f>
        <v/>
      </c>
    </row>
    <row r="117" customFormat="false" ht="15" hidden="false" customHeight="false" outlineLevel="0" collapsed="false">
      <c r="AZ117" s="5" t="str">
        <f aca="false">IF($B117="","",SUMPRODUCT(($AL117:$AO117&lt;&gt;"")*(COUNTIF($AP117:$AX117,$AL117:$AO117)&gt;0)))</f>
        <v/>
      </c>
      <c r="BA117" s="5" t="str">
        <f aca="false">IF($B117="","",IF(AZ117&gt;0,1,0))</f>
        <v/>
      </c>
      <c r="BB117" s="5" t="str">
        <f aca="false">IF($AP117="","",IF((($AP117="Engineering and Technology")+($AP117="Science and Mathematics")+($AP117="Computer Science, IT and Allied Fields")+($AP117="Life Sciences /Medicine and Healthcare")+($AP117="Paramedical")+($AP117="Architecture")+($AP117="Environmental Service")+($AP117="Agriculture, Food Industry and Forestry"))&gt;0,"Science",IF((($AP117="Banking and Finance")+($AP117="Management and Administration")+($AP117="Marketing")+($AP117="Sales")+($AP117="Entrepreneurship")+($AP117="Hospitality and Tourism"))&gt;0,"Commerce",IF((($AP117="Social Sciences and Humanities")+($AP117="Law Studies")+($AP117="Education and Training")+($AP117="Art, Design")+($AP117="Entertainment and Mass Media")+($AP117="Community and Social Service")+($AP117="Personal Care and Services")+($AP117="Government and Public Administration")+($AP117="Defence/ Protective Service")+($AP117="Sports"))&gt;0,"Arts / Humanities",""))))</f>
        <v/>
      </c>
      <c r="BC117" s="5" t="str">
        <f aca="false">IF($AL117="","",IF((($AL117="Engineering and Technology")+($AL117="Science and Mathematics")+($AL117="Computer Science, IT and Allied Fields")+($AL117="Life Sciences /Medicine and Healthcare")+($AL117="Paramedical")+($AL117="Architecture")+($AL117="Environmental Service")+($AL117="Agriculture, Food Industry and Forestry"))&gt;0,"Science",IF((($AL117="Banking and Finance")+($AL117="Management and Administration")+($AL117="Marketing")+($AL117="Sales")+($AL117="Entrepreneurship")+($AL117="Hospitality and Tourism"))&gt;0,"Commerce",IF((($AL117="Social Sciences and Humanities")+($AL117="Law Studies")+($AL117="Education and Training")+($AL117="Art, Design")+($AL117="Entertainment and Mass Media")+($AL117="Community and Social Service")+($AL117="Personal Care and Services")+($AL117="Government and Public Administration")+($AL117="Defence/ Protective Service")+($AL117="Sports"))&gt;0,"Arts / Humanities",""))))</f>
        <v/>
      </c>
      <c r="BD117" s="5" t="str">
        <f aca="false">IF($B117="","",--(F117&gt;=10)+--(G117&gt;=10)+--(H117&gt;=10)+--(I117&gt;=10)+--(J117&gt;=10)+--(K117&gt;=10)+--(L117&gt;=10)+--(M117&gt;=10)+--(N117&gt;=10)+--(O117&gt;=10))</f>
        <v/>
      </c>
      <c r="BE117" s="5" t="str">
        <f aca="false">IF($B117="","",--(AND(F117&lt;&gt;"",F117&lt;=8))+--(AND(G117&lt;&gt;"",G117&lt;=8))+--(AND(H117&lt;&gt;"",H117&lt;=8))+--(AND(I117&lt;&gt;"",I117&lt;=8))+--(AND(J117&lt;&gt;"",J117&lt;=8))+--(AND(K117&lt;&gt;"",K117&lt;=8))+--(AND(L117&lt;&gt;"",L117&lt;=8))+--(AND(M117&lt;&gt;"",M117&lt;=8))+--(AND(N117&lt;&gt;"",N117&lt;=8))+--(AND(O117&lt;&gt;"",O117&lt;=8)))</f>
        <v/>
      </c>
    </row>
    <row r="118" customFormat="false" ht="15" hidden="false" customHeight="false" outlineLevel="0" collapsed="false">
      <c r="AZ118" s="5" t="str">
        <f aca="false">IF($B118="","",SUMPRODUCT(($AL118:$AO118&lt;&gt;"")*(COUNTIF($AP118:$AX118,$AL118:$AO118)&gt;0)))</f>
        <v/>
      </c>
      <c r="BA118" s="5" t="str">
        <f aca="false">IF($B118="","",IF(AZ118&gt;0,1,0))</f>
        <v/>
      </c>
      <c r="BB118" s="5" t="str">
        <f aca="false">IF($AP118="","",IF((($AP118="Engineering and Technology")+($AP118="Science and Mathematics")+($AP118="Computer Science, IT and Allied Fields")+($AP118="Life Sciences /Medicine and Healthcare")+($AP118="Paramedical")+($AP118="Architecture")+($AP118="Environmental Service")+($AP118="Agriculture, Food Industry and Forestry"))&gt;0,"Science",IF((($AP118="Banking and Finance")+($AP118="Management and Administration")+($AP118="Marketing")+($AP118="Sales")+($AP118="Entrepreneurship")+($AP118="Hospitality and Tourism"))&gt;0,"Commerce",IF((($AP118="Social Sciences and Humanities")+($AP118="Law Studies")+($AP118="Education and Training")+($AP118="Art, Design")+($AP118="Entertainment and Mass Media")+($AP118="Community and Social Service")+($AP118="Personal Care and Services")+($AP118="Government and Public Administration")+($AP118="Defence/ Protective Service")+($AP118="Sports"))&gt;0,"Arts / Humanities",""))))</f>
        <v/>
      </c>
      <c r="BC118" s="5" t="str">
        <f aca="false">IF($AL118="","",IF((($AL118="Engineering and Technology")+($AL118="Science and Mathematics")+($AL118="Computer Science, IT and Allied Fields")+($AL118="Life Sciences /Medicine and Healthcare")+($AL118="Paramedical")+($AL118="Architecture")+($AL118="Environmental Service")+($AL118="Agriculture, Food Industry and Forestry"))&gt;0,"Science",IF((($AL118="Banking and Finance")+($AL118="Management and Administration")+($AL118="Marketing")+($AL118="Sales")+($AL118="Entrepreneurship")+($AL118="Hospitality and Tourism"))&gt;0,"Commerce",IF((($AL118="Social Sciences and Humanities")+($AL118="Law Studies")+($AL118="Education and Training")+($AL118="Art, Design")+($AL118="Entertainment and Mass Media")+($AL118="Community and Social Service")+($AL118="Personal Care and Services")+($AL118="Government and Public Administration")+($AL118="Defence/ Protective Service")+($AL118="Sports"))&gt;0,"Arts / Humanities",""))))</f>
        <v/>
      </c>
      <c r="BD118" s="5" t="str">
        <f aca="false">IF($B118="","",--(F118&gt;=10)+--(G118&gt;=10)+--(H118&gt;=10)+--(I118&gt;=10)+--(J118&gt;=10)+--(K118&gt;=10)+--(L118&gt;=10)+--(M118&gt;=10)+--(N118&gt;=10)+--(O118&gt;=10))</f>
        <v/>
      </c>
      <c r="BE118" s="5" t="str">
        <f aca="false">IF($B118="","",--(AND(F118&lt;&gt;"",F118&lt;=8))+--(AND(G118&lt;&gt;"",G118&lt;=8))+--(AND(H118&lt;&gt;"",H118&lt;=8))+--(AND(I118&lt;&gt;"",I118&lt;=8))+--(AND(J118&lt;&gt;"",J118&lt;=8))+--(AND(K118&lt;&gt;"",K118&lt;=8))+--(AND(L118&lt;&gt;"",L118&lt;=8))+--(AND(M118&lt;&gt;"",M118&lt;=8))+--(AND(N118&lt;&gt;"",N118&lt;=8))+--(AND(O118&lt;&gt;"",O118&lt;=8)))</f>
        <v/>
      </c>
    </row>
    <row r="119" customFormat="false" ht="15" hidden="false" customHeight="false" outlineLevel="0" collapsed="false">
      <c r="AZ119" s="5" t="str">
        <f aca="false">IF($B119="","",SUMPRODUCT(($AL119:$AO119&lt;&gt;"")*(COUNTIF($AP119:$AX119,$AL119:$AO119)&gt;0)))</f>
        <v/>
      </c>
      <c r="BA119" s="5" t="str">
        <f aca="false">IF($B119="","",IF(AZ119&gt;0,1,0))</f>
        <v/>
      </c>
      <c r="BB119" s="5" t="str">
        <f aca="false">IF($AP119="","",IF((($AP119="Engineering and Technology")+($AP119="Science and Mathematics")+($AP119="Computer Science, IT and Allied Fields")+($AP119="Life Sciences /Medicine and Healthcare")+($AP119="Paramedical")+($AP119="Architecture")+($AP119="Environmental Service")+($AP119="Agriculture, Food Industry and Forestry"))&gt;0,"Science",IF((($AP119="Banking and Finance")+($AP119="Management and Administration")+($AP119="Marketing")+($AP119="Sales")+($AP119="Entrepreneurship")+($AP119="Hospitality and Tourism"))&gt;0,"Commerce",IF((($AP119="Social Sciences and Humanities")+($AP119="Law Studies")+($AP119="Education and Training")+($AP119="Art, Design")+($AP119="Entertainment and Mass Media")+($AP119="Community and Social Service")+($AP119="Personal Care and Services")+($AP119="Government and Public Administration")+($AP119="Defence/ Protective Service")+($AP119="Sports"))&gt;0,"Arts / Humanities",""))))</f>
        <v/>
      </c>
      <c r="BC119" s="5" t="str">
        <f aca="false">IF($AL119="","",IF((($AL119="Engineering and Technology")+($AL119="Science and Mathematics")+($AL119="Computer Science, IT and Allied Fields")+($AL119="Life Sciences /Medicine and Healthcare")+($AL119="Paramedical")+($AL119="Architecture")+($AL119="Environmental Service")+($AL119="Agriculture, Food Industry and Forestry"))&gt;0,"Science",IF((($AL119="Banking and Finance")+($AL119="Management and Administration")+($AL119="Marketing")+($AL119="Sales")+($AL119="Entrepreneurship")+($AL119="Hospitality and Tourism"))&gt;0,"Commerce",IF((($AL119="Social Sciences and Humanities")+($AL119="Law Studies")+($AL119="Education and Training")+($AL119="Art, Design")+($AL119="Entertainment and Mass Media")+($AL119="Community and Social Service")+($AL119="Personal Care and Services")+($AL119="Government and Public Administration")+($AL119="Defence/ Protective Service")+($AL119="Sports"))&gt;0,"Arts / Humanities",""))))</f>
        <v/>
      </c>
      <c r="BD119" s="5" t="str">
        <f aca="false">IF($B119="","",--(F119&gt;=10)+--(G119&gt;=10)+--(H119&gt;=10)+--(I119&gt;=10)+--(J119&gt;=10)+--(K119&gt;=10)+--(L119&gt;=10)+--(M119&gt;=10)+--(N119&gt;=10)+--(O119&gt;=10))</f>
        <v/>
      </c>
      <c r="BE119" s="5" t="str">
        <f aca="false">IF($B119="","",--(AND(F119&lt;&gt;"",F119&lt;=8))+--(AND(G119&lt;&gt;"",G119&lt;=8))+--(AND(H119&lt;&gt;"",H119&lt;=8))+--(AND(I119&lt;&gt;"",I119&lt;=8))+--(AND(J119&lt;&gt;"",J119&lt;=8))+--(AND(K119&lt;&gt;"",K119&lt;=8))+--(AND(L119&lt;&gt;"",L119&lt;=8))+--(AND(M119&lt;&gt;"",M119&lt;=8))+--(AND(N119&lt;&gt;"",N119&lt;=8))+--(AND(O119&lt;&gt;"",O119&lt;=8)))</f>
        <v/>
      </c>
    </row>
    <row r="120" customFormat="false" ht="15" hidden="false" customHeight="false" outlineLevel="0" collapsed="false">
      <c r="AZ120" s="5" t="str">
        <f aca="false">IF($B120="","",SUMPRODUCT(($AL120:$AO120&lt;&gt;"")*(COUNTIF($AP120:$AX120,$AL120:$AO120)&gt;0)))</f>
        <v/>
      </c>
      <c r="BA120" s="5" t="str">
        <f aca="false">IF($B120="","",IF(AZ120&gt;0,1,0))</f>
        <v/>
      </c>
      <c r="BB120" s="5" t="str">
        <f aca="false">IF($AP120="","",IF((($AP120="Engineering and Technology")+($AP120="Science and Mathematics")+($AP120="Computer Science, IT and Allied Fields")+($AP120="Life Sciences /Medicine and Healthcare")+($AP120="Paramedical")+($AP120="Architecture")+($AP120="Environmental Service")+($AP120="Agriculture, Food Industry and Forestry"))&gt;0,"Science",IF((($AP120="Banking and Finance")+($AP120="Management and Administration")+($AP120="Marketing")+($AP120="Sales")+($AP120="Entrepreneurship")+($AP120="Hospitality and Tourism"))&gt;0,"Commerce",IF((($AP120="Social Sciences and Humanities")+($AP120="Law Studies")+($AP120="Education and Training")+($AP120="Art, Design")+($AP120="Entertainment and Mass Media")+($AP120="Community and Social Service")+($AP120="Personal Care and Services")+($AP120="Government and Public Administration")+($AP120="Defence/ Protective Service")+($AP120="Sports"))&gt;0,"Arts / Humanities",""))))</f>
        <v/>
      </c>
      <c r="BC120" s="5" t="str">
        <f aca="false">IF($AL120="","",IF((($AL120="Engineering and Technology")+($AL120="Science and Mathematics")+($AL120="Computer Science, IT and Allied Fields")+($AL120="Life Sciences /Medicine and Healthcare")+($AL120="Paramedical")+($AL120="Architecture")+($AL120="Environmental Service")+($AL120="Agriculture, Food Industry and Forestry"))&gt;0,"Science",IF((($AL120="Banking and Finance")+($AL120="Management and Administration")+($AL120="Marketing")+($AL120="Sales")+($AL120="Entrepreneurship")+($AL120="Hospitality and Tourism"))&gt;0,"Commerce",IF((($AL120="Social Sciences and Humanities")+($AL120="Law Studies")+($AL120="Education and Training")+($AL120="Art, Design")+($AL120="Entertainment and Mass Media")+($AL120="Community and Social Service")+($AL120="Personal Care and Services")+($AL120="Government and Public Administration")+($AL120="Defence/ Protective Service")+($AL120="Sports"))&gt;0,"Arts / Humanities",""))))</f>
        <v/>
      </c>
      <c r="BD120" s="5" t="str">
        <f aca="false">IF($B120="","",--(F120&gt;=10)+--(G120&gt;=10)+--(H120&gt;=10)+--(I120&gt;=10)+--(J120&gt;=10)+--(K120&gt;=10)+--(L120&gt;=10)+--(M120&gt;=10)+--(N120&gt;=10)+--(O120&gt;=10))</f>
        <v/>
      </c>
      <c r="BE120" s="5" t="str">
        <f aca="false">IF($B120="","",--(AND(F120&lt;&gt;"",F120&lt;=8))+--(AND(G120&lt;&gt;"",G120&lt;=8))+--(AND(H120&lt;&gt;"",H120&lt;=8))+--(AND(I120&lt;&gt;"",I120&lt;=8))+--(AND(J120&lt;&gt;"",J120&lt;=8))+--(AND(K120&lt;&gt;"",K120&lt;=8))+--(AND(L120&lt;&gt;"",L120&lt;=8))+--(AND(M120&lt;&gt;"",M120&lt;=8))+--(AND(N120&lt;&gt;"",N120&lt;=8))+--(AND(O120&lt;&gt;"",O120&lt;=8)))</f>
        <v/>
      </c>
    </row>
    <row r="121" customFormat="false" ht="15" hidden="false" customHeight="false" outlineLevel="0" collapsed="false">
      <c r="AZ121" s="5" t="str">
        <f aca="false">IF($B121="","",SUMPRODUCT(($AL121:$AO121&lt;&gt;"")*(COUNTIF($AP121:$AX121,$AL121:$AO121)&gt;0)))</f>
        <v/>
      </c>
      <c r="BA121" s="5" t="str">
        <f aca="false">IF($B121="","",IF(AZ121&gt;0,1,0))</f>
        <v/>
      </c>
      <c r="BB121" s="5" t="str">
        <f aca="false">IF($AP121="","",IF((($AP121="Engineering and Technology")+($AP121="Science and Mathematics")+($AP121="Computer Science, IT and Allied Fields")+($AP121="Life Sciences /Medicine and Healthcare")+($AP121="Paramedical")+($AP121="Architecture")+($AP121="Environmental Service")+($AP121="Agriculture, Food Industry and Forestry"))&gt;0,"Science",IF((($AP121="Banking and Finance")+($AP121="Management and Administration")+($AP121="Marketing")+($AP121="Sales")+($AP121="Entrepreneurship")+($AP121="Hospitality and Tourism"))&gt;0,"Commerce",IF((($AP121="Social Sciences and Humanities")+($AP121="Law Studies")+($AP121="Education and Training")+($AP121="Art, Design")+($AP121="Entertainment and Mass Media")+($AP121="Community and Social Service")+($AP121="Personal Care and Services")+($AP121="Government and Public Administration")+($AP121="Defence/ Protective Service")+($AP121="Sports"))&gt;0,"Arts / Humanities",""))))</f>
        <v/>
      </c>
      <c r="BC121" s="5" t="str">
        <f aca="false">IF($AL121="","",IF((($AL121="Engineering and Technology")+($AL121="Science and Mathematics")+($AL121="Computer Science, IT and Allied Fields")+($AL121="Life Sciences /Medicine and Healthcare")+($AL121="Paramedical")+($AL121="Architecture")+($AL121="Environmental Service")+($AL121="Agriculture, Food Industry and Forestry"))&gt;0,"Science",IF((($AL121="Banking and Finance")+($AL121="Management and Administration")+($AL121="Marketing")+($AL121="Sales")+($AL121="Entrepreneurship")+($AL121="Hospitality and Tourism"))&gt;0,"Commerce",IF((($AL121="Social Sciences and Humanities")+($AL121="Law Studies")+($AL121="Education and Training")+($AL121="Art, Design")+($AL121="Entertainment and Mass Media")+($AL121="Community and Social Service")+($AL121="Personal Care and Services")+($AL121="Government and Public Administration")+($AL121="Defence/ Protective Service")+($AL121="Sports"))&gt;0,"Arts / Humanities",""))))</f>
        <v/>
      </c>
      <c r="BD121" s="5" t="str">
        <f aca="false">IF($B121="","",--(F121&gt;=10)+--(G121&gt;=10)+--(H121&gt;=10)+--(I121&gt;=10)+--(J121&gt;=10)+--(K121&gt;=10)+--(L121&gt;=10)+--(M121&gt;=10)+--(N121&gt;=10)+--(O121&gt;=10))</f>
        <v/>
      </c>
      <c r="BE121" s="5" t="str">
        <f aca="false">IF($B121="","",--(AND(F121&lt;&gt;"",F121&lt;=8))+--(AND(G121&lt;&gt;"",G121&lt;=8))+--(AND(H121&lt;&gt;"",H121&lt;=8))+--(AND(I121&lt;&gt;"",I121&lt;=8))+--(AND(J121&lt;&gt;"",J121&lt;=8))+--(AND(K121&lt;&gt;"",K121&lt;=8))+--(AND(L121&lt;&gt;"",L121&lt;=8))+--(AND(M121&lt;&gt;"",M121&lt;=8))+--(AND(N121&lt;&gt;"",N121&lt;=8))+--(AND(O121&lt;&gt;"",O121&lt;=8)))</f>
        <v/>
      </c>
    </row>
    <row r="122" customFormat="false" ht="15" hidden="false" customHeight="false" outlineLevel="0" collapsed="false">
      <c r="AZ122" s="5" t="str">
        <f aca="false">IF($B122="","",SUMPRODUCT(($AL122:$AO122&lt;&gt;"")*(COUNTIF($AP122:$AX122,$AL122:$AO122)&gt;0)))</f>
        <v/>
      </c>
      <c r="BA122" s="5" t="str">
        <f aca="false">IF($B122="","",IF(AZ122&gt;0,1,0))</f>
        <v/>
      </c>
      <c r="BB122" s="5" t="str">
        <f aca="false">IF($AP122="","",IF((($AP122="Engineering and Technology")+($AP122="Science and Mathematics")+($AP122="Computer Science, IT and Allied Fields")+($AP122="Life Sciences /Medicine and Healthcare")+($AP122="Paramedical")+($AP122="Architecture")+($AP122="Environmental Service")+($AP122="Agriculture, Food Industry and Forestry"))&gt;0,"Science",IF((($AP122="Banking and Finance")+($AP122="Management and Administration")+($AP122="Marketing")+($AP122="Sales")+($AP122="Entrepreneurship")+($AP122="Hospitality and Tourism"))&gt;0,"Commerce",IF((($AP122="Social Sciences and Humanities")+($AP122="Law Studies")+($AP122="Education and Training")+($AP122="Art, Design")+($AP122="Entertainment and Mass Media")+($AP122="Community and Social Service")+($AP122="Personal Care and Services")+($AP122="Government and Public Administration")+($AP122="Defence/ Protective Service")+($AP122="Sports"))&gt;0,"Arts / Humanities",""))))</f>
        <v/>
      </c>
      <c r="BC122" s="5" t="str">
        <f aca="false">IF($AL122="","",IF((($AL122="Engineering and Technology")+($AL122="Science and Mathematics")+($AL122="Computer Science, IT and Allied Fields")+($AL122="Life Sciences /Medicine and Healthcare")+($AL122="Paramedical")+($AL122="Architecture")+($AL122="Environmental Service")+($AL122="Agriculture, Food Industry and Forestry"))&gt;0,"Science",IF((($AL122="Banking and Finance")+($AL122="Management and Administration")+($AL122="Marketing")+($AL122="Sales")+($AL122="Entrepreneurship")+($AL122="Hospitality and Tourism"))&gt;0,"Commerce",IF((($AL122="Social Sciences and Humanities")+($AL122="Law Studies")+($AL122="Education and Training")+($AL122="Art, Design")+($AL122="Entertainment and Mass Media")+($AL122="Community and Social Service")+($AL122="Personal Care and Services")+($AL122="Government and Public Administration")+($AL122="Defence/ Protective Service")+($AL122="Sports"))&gt;0,"Arts / Humanities",""))))</f>
        <v/>
      </c>
      <c r="BD122" s="5" t="str">
        <f aca="false">IF($B122="","",--(F122&gt;=10)+--(G122&gt;=10)+--(H122&gt;=10)+--(I122&gt;=10)+--(J122&gt;=10)+--(K122&gt;=10)+--(L122&gt;=10)+--(M122&gt;=10)+--(N122&gt;=10)+--(O122&gt;=10))</f>
        <v/>
      </c>
      <c r="BE122" s="5" t="str">
        <f aca="false">IF($B122="","",--(AND(F122&lt;&gt;"",F122&lt;=8))+--(AND(G122&lt;&gt;"",G122&lt;=8))+--(AND(H122&lt;&gt;"",H122&lt;=8))+--(AND(I122&lt;&gt;"",I122&lt;=8))+--(AND(J122&lt;&gt;"",J122&lt;=8))+--(AND(K122&lt;&gt;"",K122&lt;=8))+--(AND(L122&lt;&gt;"",L122&lt;=8))+--(AND(M122&lt;&gt;"",M122&lt;=8))+--(AND(N122&lt;&gt;"",N122&lt;=8))+--(AND(O122&lt;&gt;"",O122&lt;=8)))</f>
        <v/>
      </c>
    </row>
    <row r="123" customFormat="false" ht="15" hidden="false" customHeight="false" outlineLevel="0" collapsed="false">
      <c r="AZ123" s="5" t="str">
        <f aca="false">IF($B123="","",SUMPRODUCT(($AL123:$AO123&lt;&gt;"")*(COUNTIF($AP123:$AX123,$AL123:$AO123)&gt;0)))</f>
        <v/>
      </c>
      <c r="BA123" s="5" t="str">
        <f aca="false">IF($B123="","",IF(AZ123&gt;0,1,0))</f>
        <v/>
      </c>
      <c r="BB123" s="5" t="str">
        <f aca="false">IF($AP123="","",IF((($AP123="Engineering and Technology")+($AP123="Science and Mathematics")+($AP123="Computer Science, IT and Allied Fields")+($AP123="Life Sciences /Medicine and Healthcare")+($AP123="Paramedical")+($AP123="Architecture")+($AP123="Environmental Service")+($AP123="Agriculture, Food Industry and Forestry"))&gt;0,"Science",IF((($AP123="Banking and Finance")+($AP123="Management and Administration")+($AP123="Marketing")+($AP123="Sales")+($AP123="Entrepreneurship")+($AP123="Hospitality and Tourism"))&gt;0,"Commerce",IF((($AP123="Social Sciences and Humanities")+($AP123="Law Studies")+($AP123="Education and Training")+($AP123="Art, Design")+($AP123="Entertainment and Mass Media")+($AP123="Community and Social Service")+($AP123="Personal Care and Services")+($AP123="Government and Public Administration")+($AP123="Defence/ Protective Service")+($AP123="Sports"))&gt;0,"Arts / Humanities",""))))</f>
        <v/>
      </c>
      <c r="BC123" s="5" t="str">
        <f aca="false">IF($AL123="","",IF((($AL123="Engineering and Technology")+($AL123="Science and Mathematics")+($AL123="Computer Science, IT and Allied Fields")+($AL123="Life Sciences /Medicine and Healthcare")+($AL123="Paramedical")+($AL123="Architecture")+($AL123="Environmental Service")+($AL123="Agriculture, Food Industry and Forestry"))&gt;0,"Science",IF((($AL123="Banking and Finance")+($AL123="Management and Administration")+($AL123="Marketing")+($AL123="Sales")+($AL123="Entrepreneurship")+($AL123="Hospitality and Tourism"))&gt;0,"Commerce",IF((($AL123="Social Sciences and Humanities")+($AL123="Law Studies")+($AL123="Education and Training")+($AL123="Art, Design")+($AL123="Entertainment and Mass Media")+($AL123="Community and Social Service")+($AL123="Personal Care and Services")+($AL123="Government and Public Administration")+($AL123="Defence/ Protective Service")+($AL123="Sports"))&gt;0,"Arts / Humanities",""))))</f>
        <v/>
      </c>
      <c r="BD123" s="5" t="str">
        <f aca="false">IF($B123="","",--(F123&gt;=10)+--(G123&gt;=10)+--(H123&gt;=10)+--(I123&gt;=10)+--(J123&gt;=10)+--(K123&gt;=10)+--(L123&gt;=10)+--(M123&gt;=10)+--(N123&gt;=10)+--(O123&gt;=10))</f>
        <v/>
      </c>
      <c r="BE123" s="5" t="str">
        <f aca="false">IF($B123="","",--(AND(F123&lt;&gt;"",F123&lt;=8))+--(AND(G123&lt;&gt;"",G123&lt;=8))+--(AND(H123&lt;&gt;"",H123&lt;=8))+--(AND(I123&lt;&gt;"",I123&lt;=8))+--(AND(J123&lt;&gt;"",J123&lt;=8))+--(AND(K123&lt;&gt;"",K123&lt;=8))+--(AND(L123&lt;&gt;"",L123&lt;=8))+--(AND(M123&lt;&gt;"",M123&lt;=8))+--(AND(N123&lt;&gt;"",N123&lt;=8))+--(AND(O123&lt;&gt;"",O123&lt;=8)))</f>
        <v/>
      </c>
    </row>
    <row r="124" customFormat="false" ht="15" hidden="false" customHeight="false" outlineLevel="0" collapsed="false">
      <c r="AZ124" s="5" t="str">
        <f aca="false">IF($B124="","",SUMPRODUCT(($AL124:$AO124&lt;&gt;"")*(COUNTIF($AP124:$AX124,$AL124:$AO124)&gt;0)))</f>
        <v/>
      </c>
      <c r="BA124" s="5" t="str">
        <f aca="false">IF($B124="","",IF(AZ124&gt;0,1,0))</f>
        <v/>
      </c>
      <c r="BB124" s="5" t="str">
        <f aca="false">IF($AP124="","",IF((($AP124="Engineering and Technology")+($AP124="Science and Mathematics")+($AP124="Computer Science, IT and Allied Fields")+($AP124="Life Sciences /Medicine and Healthcare")+($AP124="Paramedical")+($AP124="Architecture")+($AP124="Environmental Service")+($AP124="Agriculture, Food Industry and Forestry"))&gt;0,"Science",IF((($AP124="Banking and Finance")+($AP124="Management and Administration")+($AP124="Marketing")+($AP124="Sales")+($AP124="Entrepreneurship")+($AP124="Hospitality and Tourism"))&gt;0,"Commerce",IF((($AP124="Social Sciences and Humanities")+($AP124="Law Studies")+($AP124="Education and Training")+($AP124="Art, Design")+($AP124="Entertainment and Mass Media")+($AP124="Community and Social Service")+($AP124="Personal Care and Services")+($AP124="Government and Public Administration")+($AP124="Defence/ Protective Service")+($AP124="Sports"))&gt;0,"Arts / Humanities",""))))</f>
        <v/>
      </c>
      <c r="BC124" s="5" t="str">
        <f aca="false">IF($AL124="","",IF((($AL124="Engineering and Technology")+($AL124="Science and Mathematics")+($AL124="Computer Science, IT and Allied Fields")+($AL124="Life Sciences /Medicine and Healthcare")+($AL124="Paramedical")+($AL124="Architecture")+($AL124="Environmental Service")+($AL124="Agriculture, Food Industry and Forestry"))&gt;0,"Science",IF((($AL124="Banking and Finance")+($AL124="Management and Administration")+($AL124="Marketing")+($AL124="Sales")+($AL124="Entrepreneurship")+($AL124="Hospitality and Tourism"))&gt;0,"Commerce",IF((($AL124="Social Sciences and Humanities")+($AL124="Law Studies")+($AL124="Education and Training")+($AL124="Art, Design")+($AL124="Entertainment and Mass Media")+($AL124="Community and Social Service")+($AL124="Personal Care and Services")+($AL124="Government and Public Administration")+($AL124="Defence/ Protective Service")+($AL124="Sports"))&gt;0,"Arts / Humanities",""))))</f>
        <v/>
      </c>
      <c r="BD124" s="5" t="str">
        <f aca="false">IF($B124="","",--(F124&gt;=10)+--(G124&gt;=10)+--(H124&gt;=10)+--(I124&gt;=10)+--(J124&gt;=10)+--(K124&gt;=10)+--(L124&gt;=10)+--(M124&gt;=10)+--(N124&gt;=10)+--(O124&gt;=10))</f>
        <v/>
      </c>
      <c r="BE124" s="5" t="str">
        <f aca="false">IF($B124="","",--(AND(F124&lt;&gt;"",F124&lt;=8))+--(AND(G124&lt;&gt;"",G124&lt;=8))+--(AND(H124&lt;&gt;"",H124&lt;=8))+--(AND(I124&lt;&gt;"",I124&lt;=8))+--(AND(J124&lt;&gt;"",J124&lt;=8))+--(AND(K124&lt;&gt;"",K124&lt;=8))+--(AND(L124&lt;&gt;"",L124&lt;=8))+--(AND(M124&lt;&gt;"",M124&lt;=8))+--(AND(N124&lt;&gt;"",N124&lt;=8))+--(AND(O124&lt;&gt;"",O124&lt;=8)))</f>
        <v/>
      </c>
    </row>
    <row r="125" customFormat="false" ht="15" hidden="false" customHeight="false" outlineLevel="0" collapsed="false">
      <c r="AZ125" s="5" t="str">
        <f aca="false">IF($B125="","",SUMPRODUCT(($AL125:$AO125&lt;&gt;"")*(COUNTIF($AP125:$AX125,$AL125:$AO125)&gt;0)))</f>
        <v/>
      </c>
      <c r="BA125" s="5" t="str">
        <f aca="false">IF($B125="","",IF(AZ125&gt;0,1,0))</f>
        <v/>
      </c>
      <c r="BB125" s="5" t="str">
        <f aca="false">IF($AP125="","",IF((($AP125="Engineering and Technology")+($AP125="Science and Mathematics")+($AP125="Computer Science, IT and Allied Fields")+($AP125="Life Sciences /Medicine and Healthcare")+($AP125="Paramedical")+($AP125="Architecture")+($AP125="Environmental Service")+($AP125="Agriculture, Food Industry and Forestry"))&gt;0,"Science",IF((($AP125="Banking and Finance")+($AP125="Management and Administration")+($AP125="Marketing")+($AP125="Sales")+($AP125="Entrepreneurship")+($AP125="Hospitality and Tourism"))&gt;0,"Commerce",IF((($AP125="Social Sciences and Humanities")+($AP125="Law Studies")+($AP125="Education and Training")+($AP125="Art, Design")+($AP125="Entertainment and Mass Media")+($AP125="Community and Social Service")+($AP125="Personal Care and Services")+($AP125="Government and Public Administration")+($AP125="Defence/ Protective Service")+($AP125="Sports"))&gt;0,"Arts / Humanities",""))))</f>
        <v/>
      </c>
      <c r="BC125" s="5" t="str">
        <f aca="false">IF($AL125="","",IF((($AL125="Engineering and Technology")+($AL125="Science and Mathematics")+($AL125="Computer Science, IT and Allied Fields")+($AL125="Life Sciences /Medicine and Healthcare")+($AL125="Paramedical")+($AL125="Architecture")+($AL125="Environmental Service")+($AL125="Agriculture, Food Industry and Forestry"))&gt;0,"Science",IF((($AL125="Banking and Finance")+($AL125="Management and Administration")+($AL125="Marketing")+($AL125="Sales")+($AL125="Entrepreneurship")+($AL125="Hospitality and Tourism"))&gt;0,"Commerce",IF((($AL125="Social Sciences and Humanities")+($AL125="Law Studies")+($AL125="Education and Training")+($AL125="Art, Design")+($AL125="Entertainment and Mass Media")+($AL125="Community and Social Service")+($AL125="Personal Care and Services")+($AL125="Government and Public Administration")+($AL125="Defence/ Protective Service")+($AL125="Sports"))&gt;0,"Arts / Humanities",""))))</f>
        <v/>
      </c>
      <c r="BD125" s="5" t="str">
        <f aca="false">IF($B125="","",--(F125&gt;=10)+--(G125&gt;=10)+--(H125&gt;=10)+--(I125&gt;=10)+--(J125&gt;=10)+--(K125&gt;=10)+--(L125&gt;=10)+--(M125&gt;=10)+--(N125&gt;=10)+--(O125&gt;=10))</f>
        <v/>
      </c>
      <c r="BE125" s="5" t="str">
        <f aca="false">IF($B125="","",--(AND(F125&lt;&gt;"",F125&lt;=8))+--(AND(G125&lt;&gt;"",G125&lt;=8))+--(AND(H125&lt;&gt;"",H125&lt;=8))+--(AND(I125&lt;&gt;"",I125&lt;=8))+--(AND(J125&lt;&gt;"",J125&lt;=8))+--(AND(K125&lt;&gt;"",K125&lt;=8))+--(AND(L125&lt;&gt;"",L125&lt;=8))+--(AND(M125&lt;&gt;"",M125&lt;=8))+--(AND(N125&lt;&gt;"",N125&lt;=8))+--(AND(O125&lt;&gt;"",O125&lt;=8)))</f>
        <v/>
      </c>
    </row>
    <row r="126" customFormat="false" ht="15" hidden="false" customHeight="false" outlineLevel="0" collapsed="false">
      <c r="AZ126" s="5" t="str">
        <f aca="false">IF($B126="","",SUMPRODUCT(($AL126:$AO126&lt;&gt;"")*(COUNTIF($AP126:$AX126,$AL126:$AO126)&gt;0)))</f>
        <v/>
      </c>
      <c r="BA126" s="5" t="str">
        <f aca="false">IF($B126="","",IF(AZ126&gt;0,1,0))</f>
        <v/>
      </c>
      <c r="BB126" s="5" t="str">
        <f aca="false">IF($AP126="","",IF((($AP126="Engineering and Technology")+($AP126="Science and Mathematics")+($AP126="Computer Science, IT and Allied Fields")+($AP126="Life Sciences /Medicine and Healthcare")+($AP126="Paramedical")+($AP126="Architecture")+($AP126="Environmental Service")+($AP126="Agriculture, Food Industry and Forestry"))&gt;0,"Science",IF((($AP126="Banking and Finance")+($AP126="Management and Administration")+($AP126="Marketing")+($AP126="Sales")+($AP126="Entrepreneurship")+($AP126="Hospitality and Tourism"))&gt;0,"Commerce",IF((($AP126="Social Sciences and Humanities")+($AP126="Law Studies")+($AP126="Education and Training")+($AP126="Art, Design")+($AP126="Entertainment and Mass Media")+($AP126="Community and Social Service")+($AP126="Personal Care and Services")+($AP126="Government and Public Administration")+($AP126="Defence/ Protective Service")+($AP126="Sports"))&gt;0,"Arts / Humanities",""))))</f>
        <v/>
      </c>
      <c r="BC126" s="5" t="str">
        <f aca="false">IF($AL126="","",IF((($AL126="Engineering and Technology")+($AL126="Science and Mathematics")+($AL126="Computer Science, IT and Allied Fields")+($AL126="Life Sciences /Medicine and Healthcare")+($AL126="Paramedical")+($AL126="Architecture")+($AL126="Environmental Service")+($AL126="Agriculture, Food Industry and Forestry"))&gt;0,"Science",IF((($AL126="Banking and Finance")+($AL126="Management and Administration")+($AL126="Marketing")+($AL126="Sales")+($AL126="Entrepreneurship")+($AL126="Hospitality and Tourism"))&gt;0,"Commerce",IF((($AL126="Social Sciences and Humanities")+($AL126="Law Studies")+($AL126="Education and Training")+($AL126="Art, Design")+($AL126="Entertainment and Mass Media")+($AL126="Community and Social Service")+($AL126="Personal Care and Services")+($AL126="Government and Public Administration")+($AL126="Defence/ Protective Service")+($AL126="Sports"))&gt;0,"Arts / Humanities",""))))</f>
        <v/>
      </c>
      <c r="BD126" s="5" t="str">
        <f aca="false">IF($B126="","",--(F126&gt;=10)+--(G126&gt;=10)+--(H126&gt;=10)+--(I126&gt;=10)+--(J126&gt;=10)+--(K126&gt;=10)+--(L126&gt;=10)+--(M126&gt;=10)+--(N126&gt;=10)+--(O126&gt;=10))</f>
        <v/>
      </c>
      <c r="BE126" s="5" t="str">
        <f aca="false">IF($B126="","",--(AND(F126&lt;&gt;"",F126&lt;=8))+--(AND(G126&lt;&gt;"",G126&lt;=8))+--(AND(H126&lt;&gt;"",H126&lt;=8))+--(AND(I126&lt;&gt;"",I126&lt;=8))+--(AND(J126&lt;&gt;"",J126&lt;=8))+--(AND(K126&lt;&gt;"",K126&lt;=8))+--(AND(L126&lt;&gt;"",L126&lt;=8))+--(AND(M126&lt;&gt;"",M126&lt;=8))+--(AND(N126&lt;&gt;"",N126&lt;=8))+--(AND(O126&lt;&gt;"",O126&lt;=8)))</f>
        <v/>
      </c>
    </row>
    <row r="127" customFormat="false" ht="15" hidden="false" customHeight="false" outlineLevel="0" collapsed="false">
      <c r="AZ127" s="5" t="str">
        <f aca="false">IF($B127="","",SUMPRODUCT(($AL127:$AO127&lt;&gt;"")*(COUNTIF($AP127:$AX127,$AL127:$AO127)&gt;0)))</f>
        <v/>
      </c>
      <c r="BA127" s="5" t="str">
        <f aca="false">IF($B127="","",IF(AZ127&gt;0,1,0))</f>
        <v/>
      </c>
      <c r="BB127" s="5" t="str">
        <f aca="false">IF($AP127="","",IF((($AP127="Engineering and Technology")+($AP127="Science and Mathematics")+($AP127="Computer Science, IT and Allied Fields")+($AP127="Life Sciences /Medicine and Healthcare")+($AP127="Paramedical")+($AP127="Architecture")+($AP127="Environmental Service")+($AP127="Agriculture, Food Industry and Forestry"))&gt;0,"Science",IF((($AP127="Banking and Finance")+($AP127="Management and Administration")+($AP127="Marketing")+($AP127="Sales")+($AP127="Entrepreneurship")+($AP127="Hospitality and Tourism"))&gt;0,"Commerce",IF((($AP127="Social Sciences and Humanities")+($AP127="Law Studies")+($AP127="Education and Training")+($AP127="Art, Design")+($AP127="Entertainment and Mass Media")+($AP127="Community and Social Service")+($AP127="Personal Care and Services")+($AP127="Government and Public Administration")+($AP127="Defence/ Protective Service")+($AP127="Sports"))&gt;0,"Arts / Humanities",""))))</f>
        <v/>
      </c>
      <c r="BC127" s="5" t="str">
        <f aca="false">IF($AL127="","",IF((($AL127="Engineering and Technology")+($AL127="Science and Mathematics")+($AL127="Computer Science, IT and Allied Fields")+($AL127="Life Sciences /Medicine and Healthcare")+($AL127="Paramedical")+($AL127="Architecture")+($AL127="Environmental Service")+($AL127="Agriculture, Food Industry and Forestry"))&gt;0,"Science",IF((($AL127="Banking and Finance")+($AL127="Management and Administration")+($AL127="Marketing")+($AL127="Sales")+($AL127="Entrepreneurship")+($AL127="Hospitality and Tourism"))&gt;0,"Commerce",IF((($AL127="Social Sciences and Humanities")+($AL127="Law Studies")+($AL127="Education and Training")+($AL127="Art, Design")+($AL127="Entertainment and Mass Media")+($AL127="Community and Social Service")+($AL127="Personal Care and Services")+($AL127="Government and Public Administration")+($AL127="Defence/ Protective Service")+($AL127="Sports"))&gt;0,"Arts / Humanities",""))))</f>
        <v/>
      </c>
      <c r="BD127" s="5" t="str">
        <f aca="false">IF($B127="","",--(F127&gt;=10)+--(G127&gt;=10)+--(H127&gt;=10)+--(I127&gt;=10)+--(J127&gt;=10)+--(K127&gt;=10)+--(L127&gt;=10)+--(M127&gt;=10)+--(N127&gt;=10)+--(O127&gt;=10))</f>
        <v/>
      </c>
      <c r="BE127" s="5" t="str">
        <f aca="false">IF($B127="","",--(AND(F127&lt;&gt;"",F127&lt;=8))+--(AND(G127&lt;&gt;"",G127&lt;=8))+--(AND(H127&lt;&gt;"",H127&lt;=8))+--(AND(I127&lt;&gt;"",I127&lt;=8))+--(AND(J127&lt;&gt;"",J127&lt;=8))+--(AND(K127&lt;&gt;"",K127&lt;=8))+--(AND(L127&lt;&gt;"",L127&lt;=8))+--(AND(M127&lt;&gt;"",M127&lt;=8))+--(AND(N127&lt;&gt;"",N127&lt;=8))+--(AND(O127&lt;&gt;"",O127&lt;=8)))</f>
        <v/>
      </c>
    </row>
    <row r="128" customFormat="false" ht="15" hidden="false" customHeight="false" outlineLevel="0" collapsed="false">
      <c r="AZ128" s="5" t="str">
        <f aca="false">IF($B128="","",SUMPRODUCT(($AL128:$AO128&lt;&gt;"")*(COUNTIF($AP128:$AX128,$AL128:$AO128)&gt;0)))</f>
        <v/>
      </c>
      <c r="BA128" s="5" t="str">
        <f aca="false">IF($B128="","",IF(AZ128&gt;0,1,0))</f>
        <v/>
      </c>
      <c r="BB128" s="5" t="str">
        <f aca="false">IF($AP128="","",IF((($AP128="Engineering and Technology")+($AP128="Science and Mathematics")+($AP128="Computer Science, IT and Allied Fields")+($AP128="Life Sciences /Medicine and Healthcare")+($AP128="Paramedical")+($AP128="Architecture")+($AP128="Environmental Service")+($AP128="Agriculture, Food Industry and Forestry"))&gt;0,"Science",IF((($AP128="Banking and Finance")+($AP128="Management and Administration")+($AP128="Marketing")+($AP128="Sales")+($AP128="Entrepreneurship")+($AP128="Hospitality and Tourism"))&gt;0,"Commerce",IF((($AP128="Social Sciences and Humanities")+($AP128="Law Studies")+($AP128="Education and Training")+($AP128="Art, Design")+($AP128="Entertainment and Mass Media")+($AP128="Community and Social Service")+($AP128="Personal Care and Services")+($AP128="Government and Public Administration")+($AP128="Defence/ Protective Service")+($AP128="Sports"))&gt;0,"Arts / Humanities",""))))</f>
        <v/>
      </c>
      <c r="BC128" s="5" t="str">
        <f aca="false">IF($AL128="","",IF((($AL128="Engineering and Technology")+($AL128="Science and Mathematics")+($AL128="Computer Science, IT and Allied Fields")+($AL128="Life Sciences /Medicine and Healthcare")+($AL128="Paramedical")+($AL128="Architecture")+($AL128="Environmental Service")+($AL128="Agriculture, Food Industry and Forestry"))&gt;0,"Science",IF((($AL128="Banking and Finance")+($AL128="Management and Administration")+($AL128="Marketing")+($AL128="Sales")+($AL128="Entrepreneurship")+($AL128="Hospitality and Tourism"))&gt;0,"Commerce",IF((($AL128="Social Sciences and Humanities")+($AL128="Law Studies")+($AL128="Education and Training")+($AL128="Art, Design")+($AL128="Entertainment and Mass Media")+($AL128="Community and Social Service")+($AL128="Personal Care and Services")+($AL128="Government and Public Administration")+($AL128="Defence/ Protective Service")+($AL128="Sports"))&gt;0,"Arts / Humanities",""))))</f>
        <v/>
      </c>
      <c r="BD128" s="5" t="str">
        <f aca="false">IF($B128="","",--(F128&gt;=10)+--(G128&gt;=10)+--(H128&gt;=10)+--(I128&gt;=10)+--(J128&gt;=10)+--(K128&gt;=10)+--(L128&gt;=10)+--(M128&gt;=10)+--(N128&gt;=10)+--(O128&gt;=10))</f>
        <v/>
      </c>
      <c r="BE128" s="5" t="str">
        <f aca="false">IF($B128="","",--(AND(F128&lt;&gt;"",F128&lt;=8))+--(AND(G128&lt;&gt;"",G128&lt;=8))+--(AND(H128&lt;&gt;"",H128&lt;=8))+--(AND(I128&lt;&gt;"",I128&lt;=8))+--(AND(J128&lt;&gt;"",J128&lt;=8))+--(AND(K128&lt;&gt;"",K128&lt;=8))+--(AND(L128&lt;&gt;"",L128&lt;=8))+--(AND(M128&lt;&gt;"",M128&lt;=8))+--(AND(N128&lt;&gt;"",N128&lt;=8))+--(AND(O128&lt;&gt;"",O128&lt;=8)))</f>
        <v/>
      </c>
    </row>
    <row r="129" customFormat="false" ht="15" hidden="false" customHeight="false" outlineLevel="0" collapsed="false">
      <c r="AZ129" s="5" t="str">
        <f aca="false">IF($B129="","",SUMPRODUCT(($AL129:$AO129&lt;&gt;"")*(COUNTIF($AP129:$AX129,$AL129:$AO129)&gt;0)))</f>
        <v/>
      </c>
      <c r="BA129" s="5" t="str">
        <f aca="false">IF($B129="","",IF(AZ129&gt;0,1,0))</f>
        <v/>
      </c>
      <c r="BB129" s="5" t="str">
        <f aca="false">IF($AP129="","",IF((($AP129="Engineering and Technology")+($AP129="Science and Mathematics")+($AP129="Computer Science, IT and Allied Fields")+($AP129="Life Sciences /Medicine and Healthcare")+($AP129="Paramedical")+($AP129="Architecture")+($AP129="Environmental Service")+($AP129="Agriculture, Food Industry and Forestry"))&gt;0,"Science",IF((($AP129="Banking and Finance")+($AP129="Management and Administration")+($AP129="Marketing")+($AP129="Sales")+($AP129="Entrepreneurship")+($AP129="Hospitality and Tourism"))&gt;0,"Commerce",IF((($AP129="Social Sciences and Humanities")+($AP129="Law Studies")+($AP129="Education and Training")+($AP129="Art, Design")+($AP129="Entertainment and Mass Media")+($AP129="Community and Social Service")+($AP129="Personal Care and Services")+($AP129="Government and Public Administration")+($AP129="Defence/ Protective Service")+($AP129="Sports"))&gt;0,"Arts / Humanities",""))))</f>
        <v/>
      </c>
      <c r="BC129" s="5" t="str">
        <f aca="false">IF($AL129="","",IF((($AL129="Engineering and Technology")+($AL129="Science and Mathematics")+($AL129="Computer Science, IT and Allied Fields")+($AL129="Life Sciences /Medicine and Healthcare")+($AL129="Paramedical")+($AL129="Architecture")+($AL129="Environmental Service")+($AL129="Agriculture, Food Industry and Forestry"))&gt;0,"Science",IF((($AL129="Banking and Finance")+($AL129="Management and Administration")+($AL129="Marketing")+($AL129="Sales")+($AL129="Entrepreneurship")+($AL129="Hospitality and Tourism"))&gt;0,"Commerce",IF((($AL129="Social Sciences and Humanities")+($AL129="Law Studies")+($AL129="Education and Training")+($AL129="Art, Design")+($AL129="Entertainment and Mass Media")+($AL129="Community and Social Service")+($AL129="Personal Care and Services")+($AL129="Government and Public Administration")+($AL129="Defence/ Protective Service")+($AL129="Sports"))&gt;0,"Arts / Humanities",""))))</f>
        <v/>
      </c>
      <c r="BD129" s="5" t="str">
        <f aca="false">IF($B129="","",--(F129&gt;=10)+--(G129&gt;=10)+--(H129&gt;=10)+--(I129&gt;=10)+--(J129&gt;=10)+--(K129&gt;=10)+--(L129&gt;=10)+--(M129&gt;=10)+--(N129&gt;=10)+--(O129&gt;=10))</f>
        <v/>
      </c>
      <c r="BE129" s="5" t="str">
        <f aca="false">IF($B129="","",--(AND(F129&lt;&gt;"",F129&lt;=8))+--(AND(G129&lt;&gt;"",G129&lt;=8))+--(AND(H129&lt;&gt;"",H129&lt;=8))+--(AND(I129&lt;&gt;"",I129&lt;=8))+--(AND(J129&lt;&gt;"",J129&lt;=8))+--(AND(K129&lt;&gt;"",K129&lt;=8))+--(AND(L129&lt;&gt;"",L129&lt;=8))+--(AND(M129&lt;&gt;"",M129&lt;=8))+--(AND(N129&lt;&gt;"",N129&lt;=8))+--(AND(O129&lt;&gt;"",O129&lt;=8)))</f>
        <v/>
      </c>
    </row>
    <row r="130" customFormat="false" ht="15" hidden="false" customHeight="false" outlineLevel="0" collapsed="false">
      <c r="AZ130" s="5" t="str">
        <f aca="false">IF($B130="","",SUMPRODUCT(($AL130:$AO130&lt;&gt;"")*(COUNTIF($AP130:$AX130,$AL130:$AO130)&gt;0)))</f>
        <v/>
      </c>
      <c r="BA130" s="5" t="str">
        <f aca="false">IF($B130="","",IF(AZ130&gt;0,1,0))</f>
        <v/>
      </c>
      <c r="BB130" s="5" t="str">
        <f aca="false">IF($AP130="","",IF((($AP130="Engineering and Technology")+($AP130="Science and Mathematics")+($AP130="Computer Science, IT and Allied Fields")+($AP130="Life Sciences /Medicine and Healthcare")+($AP130="Paramedical")+($AP130="Architecture")+($AP130="Environmental Service")+($AP130="Agriculture, Food Industry and Forestry"))&gt;0,"Science",IF((($AP130="Banking and Finance")+($AP130="Management and Administration")+($AP130="Marketing")+($AP130="Sales")+($AP130="Entrepreneurship")+($AP130="Hospitality and Tourism"))&gt;0,"Commerce",IF((($AP130="Social Sciences and Humanities")+($AP130="Law Studies")+($AP130="Education and Training")+($AP130="Art, Design")+($AP130="Entertainment and Mass Media")+($AP130="Community and Social Service")+($AP130="Personal Care and Services")+($AP130="Government and Public Administration")+($AP130="Defence/ Protective Service")+($AP130="Sports"))&gt;0,"Arts / Humanities",""))))</f>
        <v/>
      </c>
      <c r="BC130" s="5" t="str">
        <f aca="false">IF($AL130="","",IF((($AL130="Engineering and Technology")+($AL130="Science and Mathematics")+($AL130="Computer Science, IT and Allied Fields")+($AL130="Life Sciences /Medicine and Healthcare")+($AL130="Paramedical")+($AL130="Architecture")+($AL130="Environmental Service")+($AL130="Agriculture, Food Industry and Forestry"))&gt;0,"Science",IF((($AL130="Banking and Finance")+($AL130="Management and Administration")+($AL130="Marketing")+($AL130="Sales")+($AL130="Entrepreneurship")+($AL130="Hospitality and Tourism"))&gt;0,"Commerce",IF((($AL130="Social Sciences and Humanities")+($AL130="Law Studies")+($AL130="Education and Training")+($AL130="Art, Design")+($AL130="Entertainment and Mass Media")+($AL130="Community and Social Service")+($AL130="Personal Care and Services")+($AL130="Government and Public Administration")+($AL130="Defence/ Protective Service")+($AL130="Sports"))&gt;0,"Arts / Humanities",""))))</f>
        <v/>
      </c>
      <c r="BD130" s="5" t="str">
        <f aca="false">IF($B130="","",--(F130&gt;=10)+--(G130&gt;=10)+--(H130&gt;=10)+--(I130&gt;=10)+--(J130&gt;=10)+--(K130&gt;=10)+--(L130&gt;=10)+--(M130&gt;=10)+--(N130&gt;=10)+--(O130&gt;=10))</f>
        <v/>
      </c>
      <c r="BE130" s="5" t="str">
        <f aca="false">IF($B130="","",--(AND(F130&lt;&gt;"",F130&lt;=8))+--(AND(G130&lt;&gt;"",G130&lt;=8))+--(AND(H130&lt;&gt;"",H130&lt;=8))+--(AND(I130&lt;&gt;"",I130&lt;=8))+--(AND(J130&lt;&gt;"",J130&lt;=8))+--(AND(K130&lt;&gt;"",K130&lt;=8))+--(AND(L130&lt;&gt;"",L130&lt;=8))+--(AND(M130&lt;&gt;"",M130&lt;=8))+--(AND(N130&lt;&gt;"",N130&lt;=8))+--(AND(O130&lt;&gt;"",O130&lt;=8)))</f>
        <v/>
      </c>
    </row>
    <row r="131" customFormat="false" ht="15" hidden="false" customHeight="false" outlineLevel="0" collapsed="false">
      <c r="AZ131" s="5" t="str">
        <f aca="false">IF($B131="","",SUMPRODUCT(($AL131:$AO131&lt;&gt;"")*(COUNTIF($AP131:$AX131,$AL131:$AO131)&gt;0)))</f>
        <v/>
      </c>
      <c r="BA131" s="5" t="str">
        <f aca="false">IF($B131="","",IF(AZ131&gt;0,1,0))</f>
        <v/>
      </c>
      <c r="BB131" s="5" t="str">
        <f aca="false">IF($AP131="","",IF((($AP131="Engineering and Technology")+($AP131="Science and Mathematics")+($AP131="Computer Science, IT and Allied Fields")+($AP131="Life Sciences /Medicine and Healthcare")+($AP131="Paramedical")+($AP131="Architecture")+($AP131="Environmental Service")+($AP131="Agriculture, Food Industry and Forestry"))&gt;0,"Science",IF((($AP131="Banking and Finance")+($AP131="Management and Administration")+($AP131="Marketing")+($AP131="Sales")+($AP131="Entrepreneurship")+($AP131="Hospitality and Tourism"))&gt;0,"Commerce",IF((($AP131="Social Sciences and Humanities")+($AP131="Law Studies")+($AP131="Education and Training")+($AP131="Art, Design")+($AP131="Entertainment and Mass Media")+($AP131="Community and Social Service")+($AP131="Personal Care and Services")+($AP131="Government and Public Administration")+($AP131="Defence/ Protective Service")+($AP131="Sports"))&gt;0,"Arts / Humanities",""))))</f>
        <v/>
      </c>
      <c r="BC131" s="5" t="str">
        <f aca="false">IF($AL131="","",IF((($AL131="Engineering and Technology")+($AL131="Science and Mathematics")+($AL131="Computer Science, IT and Allied Fields")+($AL131="Life Sciences /Medicine and Healthcare")+($AL131="Paramedical")+($AL131="Architecture")+($AL131="Environmental Service")+($AL131="Agriculture, Food Industry and Forestry"))&gt;0,"Science",IF((($AL131="Banking and Finance")+($AL131="Management and Administration")+($AL131="Marketing")+($AL131="Sales")+($AL131="Entrepreneurship")+($AL131="Hospitality and Tourism"))&gt;0,"Commerce",IF((($AL131="Social Sciences and Humanities")+($AL131="Law Studies")+($AL131="Education and Training")+($AL131="Art, Design")+($AL131="Entertainment and Mass Media")+($AL131="Community and Social Service")+($AL131="Personal Care and Services")+($AL131="Government and Public Administration")+($AL131="Defence/ Protective Service")+($AL131="Sports"))&gt;0,"Arts / Humanities",""))))</f>
        <v/>
      </c>
      <c r="BD131" s="5" t="str">
        <f aca="false">IF($B131="","",--(F131&gt;=10)+--(G131&gt;=10)+--(H131&gt;=10)+--(I131&gt;=10)+--(J131&gt;=10)+--(K131&gt;=10)+--(L131&gt;=10)+--(M131&gt;=10)+--(N131&gt;=10)+--(O131&gt;=10))</f>
        <v/>
      </c>
      <c r="BE131" s="5" t="str">
        <f aca="false">IF($B131="","",--(AND(F131&lt;&gt;"",F131&lt;=8))+--(AND(G131&lt;&gt;"",G131&lt;=8))+--(AND(H131&lt;&gt;"",H131&lt;=8))+--(AND(I131&lt;&gt;"",I131&lt;=8))+--(AND(J131&lt;&gt;"",J131&lt;=8))+--(AND(K131&lt;&gt;"",K131&lt;=8))+--(AND(L131&lt;&gt;"",L131&lt;=8))+--(AND(M131&lt;&gt;"",M131&lt;=8))+--(AND(N131&lt;&gt;"",N131&lt;=8))+--(AND(O131&lt;&gt;"",O131&lt;=8)))</f>
        <v/>
      </c>
    </row>
    <row r="132" customFormat="false" ht="15" hidden="false" customHeight="false" outlineLevel="0" collapsed="false">
      <c r="AZ132" s="5" t="str">
        <f aca="false">IF($B132="","",SUMPRODUCT(($AL132:$AO132&lt;&gt;"")*(COUNTIF($AP132:$AX132,$AL132:$AO132)&gt;0)))</f>
        <v/>
      </c>
      <c r="BA132" s="5" t="str">
        <f aca="false">IF($B132="","",IF(AZ132&gt;0,1,0))</f>
        <v/>
      </c>
      <c r="BB132" s="5" t="str">
        <f aca="false">IF($AP132="","",IF((($AP132="Engineering and Technology")+($AP132="Science and Mathematics")+($AP132="Computer Science, IT and Allied Fields")+($AP132="Life Sciences /Medicine and Healthcare")+($AP132="Paramedical")+($AP132="Architecture")+($AP132="Environmental Service")+($AP132="Agriculture, Food Industry and Forestry"))&gt;0,"Science",IF((($AP132="Banking and Finance")+($AP132="Management and Administration")+($AP132="Marketing")+($AP132="Sales")+($AP132="Entrepreneurship")+($AP132="Hospitality and Tourism"))&gt;0,"Commerce",IF((($AP132="Social Sciences and Humanities")+($AP132="Law Studies")+($AP132="Education and Training")+($AP132="Art, Design")+($AP132="Entertainment and Mass Media")+($AP132="Community and Social Service")+($AP132="Personal Care and Services")+($AP132="Government and Public Administration")+($AP132="Defence/ Protective Service")+($AP132="Sports"))&gt;0,"Arts / Humanities",""))))</f>
        <v/>
      </c>
      <c r="BC132" s="5" t="str">
        <f aca="false">IF($AL132="","",IF((($AL132="Engineering and Technology")+($AL132="Science and Mathematics")+($AL132="Computer Science, IT and Allied Fields")+($AL132="Life Sciences /Medicine and Healthcare")+($AL132="Paramedical")+($AL132="Architecture")+($AL132="Environmental Service")+($AL132="Agriculture, Food Industry and Forestry"))&gt;0,"Science",IF((($AL132="Banking and Finance")+($AL132="Management and Administration")+($AL132="Marketing")+($AL132="Sales")+($AL132="Entrepreneurship")+($AL132="Hospitality and Tourism"))&gt;0,"Commerce",IF((($AL132="Social Sciences and Humanities")+($AL132="Law Studies")+($AL132="Education and Training")+($AL132="Art, Design")+($AL132="Entertainment and Mass Media")+($AL132="Community and Social Service")+($AL132="Personal Care and Services")+($AL132="Government and Public Administration")+($AL132="Defence/ Protective Service")+($AL132="Sports"))&gt;0,"Arts / Humanities",""))))</f>
        <v/>
      </c>
      <c r="BD132" s="5" t="str">
        <f aca="false">IF($B132="","",--(F132&gt;=10)+--(G132&gt;=10)+--(H132&gt;=10)+--(I132&gt;=10)+--(J132&gt;=10)+--(K132&gt;=10)+--(L132&gt;=10)+--(M132&gt;=10)+--(N132&gt;=10)+--(O132&gt;=10))</f>
        <v/>
      </c>
      <c r="BE132" s="5" t="str">
        <f aca="false">IF($B132="","",--(AND(F132&lt;&gt;"",F132&lt;=8))+--(AND(G132&lt;&gt;"",G132&lt;=8))+--(AND(H132&lt;&gt;"",H132&lt;=8))+--(AND(I132&lt;&gt;"",I132&lt;=8))+--(AND(J132&lt;&gt;"",J132&lt;=8))+--(AND(K132&lt;&gt;"",K132&lt;=8))+--(AND(L132&lt;&gt;"",L132&lt;=8))+--(AND(M132&lt;&gt;"",M132&lt;=8))+--(AND(N132&lt;&gt;"",N132&lt;=8))+--(AND(O132&lt;&gt;"",O132&lt;=8)))</f>
        <v/>
      </c>
    </row>
    <row r="133" customFormat="false" ht="15" hidden="false" customHeight="false" outlineLevel="0" collapsed="false">
      <c r="AZ133" s="5" t="str">
        <f aca="false">IF($B133="","",SUMPRODUCT(($AL133:$AO133&lt;&gt;"")*(COUNTIF($AP133:$AX133,$AL133:$AO133)&gt;0)))</f>
        <v/>
      </c>
      <c r="BA133" s="5" t="str">
        <f aca="false">IF($B133="","",IF(AZ133&gt;0,1,0))</f>
        <v/>
      </c>
      <c r="BB133" s="5" t="str">
        <f aca="false">IF($AP133="","",IF((($AP133="Engineering and Technology")+($AP133="Science and Mathematics")+($AP133="Computer Science, IT and Allied Fields")+($AP133="Life Sciences /Medicine and Healthcare")+($AP133="Paramedical")+($AP133="Architecture")+($AP133="Environmental Service")+($AP133="Agriculture, Food Industry and Forestry"))&gt;0,"Science",IF((($AP133="Banking and Finance")+($AP133="Management and Administration")+($AP133="Marketing")+($AP133="Sales")+($AP133="Entrepreneurship")+($AP133="Hospitality and Tourism"))&gt;0,"Commerce",IF((($AP133="Social Sciences and Humanities")+($AP133="Law Studies")+($AP133="Education and Training")+($AP133="Art, Design")+($AP133="Entertainment and Mass Media")+($AP133="Community and Social Service")+($AP133="Personal Care and Services")+($AP133="Government and Public Administration")+($AP133="Defence/ Protective Service")+($AP133="Sports"))&gt;0,"Arts / Humanities",""))))</f>
        <v/>
      </c>
      <c r="BC133" s="5" t="str">
        <f aca="false">IF($AL133="","",IF((($AL133="Engineering and Technology")+($AL133="Science and Mathematics")+($AL133="Computer Science, IT and Allied Fields")+($AL133="Life Sciences /Medicine and Healthcare")+($AL133="Paramedical")+($AL133="Architecture")+($AL133="Environmental Service")+($AL133="Agriculture, Food Industry and Forestry"))&gt;0,"Science",IF((($AL133="Banking and Finance")+($AL133="Management and Administration")+($AL133="Marketing")+($AL133="Sales")+($AL133="Entrepreneurship")+($AL133="Hospitality and Tourism"))&gt;0,"Commerce",IF((($AL133="Social Sciences and Humanities")+($AL133="Law Studies")+($AL133="Education and Training")+($AL133="Art, Design")+($AL133="Entertainment and Mass Media")+($AL133="Community and Social Service")+($AL133="Personal Care and Services")+($AL133="Government and Public Administration")+($AL133="Defence/ Protective Service")+($AL133="Sports"))&gt;0,"Arts / Humanities",""))))</f>
        <v/>
      </c>
      <c r="BD133" s="5" t="str">
        <f aca="false">IF($B133="","",--(F133&gt;=10)+--(G133&gt;=10)+--(H133&gt;=10)+--(I133&gt;=10)+--(J133&gt;=10)+--(K133&gt;=10)+--(L133&gt;=10)+--(M133&gt;=10)+--(N133&gt;=10)+--(O133&gt;=10))</f>
        <v/>
      </c>
      <c r="BE133" s="5" t="str">
        <f aca="false">IF($B133="","",--(AND(F133&lt;&gt;"",F133&lt;=8))+--(AND(G133&lt;&gt;"",G133&lt;=8))+--(AND(H133&lt;&gt;"",H133&lt;=8))+--(AND(I133&lt;&gt;"",I133&lt;=8))+--(AND(J133&lt;&gt;"",J133&lt;=8))+--(AND(K133&lt;&gt;"",K133&lt;=8))+--(AND(L133&lt;&gt;"",L133&lt;=8))+--(AND(M133&lt;&gt;"",M133&lt;=8))+--(AND(N133&lt;&gt;"",N133&lt;=8))+--(AND(O133&lt;&gt;"",O133&lt;=8)))</f>
        <v/>
      </c>
    </row>
    <row r="134" customFormat="false" ht="15" hidden="false" customHeight="false" outlineLevel="0" collapsed="false">
      <c r="AZ134" s="5" t="str">
        <f aca="false">IF($B134="","",SUMPRODUCT(($AL134:$AO134&lt;&gt;"")*(COUNTIF($AP134:$AX134,$AL134:$AO134)&gt;0)))</f>
        <v/>
      </c>
      <c r="BA134" s="5" t="str">
        <f aca="false">IF($B134="","",IF(AZ134&gt;0,1,0))</f>
        <v/>
      </c>
      <c r="BB134" s="5" t="str">
        <f aca="false">IF($AP134="","",IF((($AP134="Engineering and Technology")+($AP134="Science and Mathematics")+($AP134="Computer Science, IT and Allied Fields")+($AP134="Life Sciences /Medicine and Healthcare")+($AP134="Paramedical")+($AP134="Architecture")+($AP134="Environmental Service")+($AP134="Agriculture, Food Industry and Forestry"))&gt;0,"Science",IF((($AP134="Banking and Finance")+($AP134="Management and Administration")+($AP134="Marketing")+($AP134="Sales")+($AP134="Entrepreneurship")+($AP134="Hospitality and Tourism"))&gt;0,"Commerce",IF((($AP134="Social Sciences and Humanities")+($AP134="Law Studies")+($AP134="Education and Training")+($AP134="Art, Design")+($AP134="Entertainment and Mass Media")+($AP134="Community and Social Service")+($AP134="Personal Care and Services")+($AP134="Government and Public Administration")+($AP134="Defence/ Protective Service")+($AP134="Sports"))&gt;0,"Arts / Humanities",""))))</f>
        <v/>
      </c>
      <c r="BC134" s="5" t="str">
        <f aca="false">IF($AL134="","",IF((($AL134="Engineering and Technology")+($AL134="Science and Mathematics")+($AL134="Computer Science, IT and Allied Fields")+($AL134="Life Sciences /Medicine and Healthcare")+($AL134="Paramedical")+($AL134="Architecture")+($AL134="Environmental Service")+($AL134="Agriculture, Food Industry and Forestry"))&gt;0,"Science",IF((($AL134="Banking and Finance")+($AL134="Management and Administration")+($AL134="Marketing")+($AL134="Sales")+($AL134="Entrepreneurship")+($AL134="Hospitality and Tourism"))&gt;0,"Commerce",IF((($AL134="Social Sciences and Humanities")+($AL134="Law Studies")+($AL134="Education and Training")+($AL134="Art, Design")+($AL134="Entertainment and Mass Media")+($AL134="Community and Social Service")+($AL134="Personal Care and Services")+($AL134="Government and Public Administration")+($AL134="Defence/ Protective Service")+($AL134="Sports"))&gt;0,"Arts / Humanities",""))))</f>
        <v/>
      </c>
      <c r="BD134" s="5" t="str">
        <f aca="false">IF($B134="","",--(F134&gt;=10)+--(G134&gt;=10)+--(H134&gt;=10)+--(I134&gt;=10)+--(J134&gt;=10)+--(K134&gt;=10)+--(L134&gt;=10)+--(M134&gt;=10)+--(N134&gt;=10)+--(O134&gt;=10))</f>
        <v/>
      </c>
      <c r="BE134" s="5" t="str">
        <f aca="false">IF($B134="","",--(AND(F134&lt;&gt;"",F134&lt;=8))+--(AND(G134&lt;&gt;"",G134&lt;=8))+--(AND(H134&lt;&gt;"",H134&lt;=8))+--(AND(I134&lt;&gt;"",I134&lt;=8))+--(AND(J134&lt;&gt;"",J134&lt;=8))+--(AND(K134&lt;&gt;"",K134&lt;=8))+--(AND(L134&lt;&gt;"",L134&lt;=8))+--(AND(M134&lt;&gt;"",M134&lt;=8))+--(AND(N134&lt;&gt;"",N134&lt;=8))+--(AND(O134&lt;&gt;"",O134&lt;=8)))</f>
        <v/>
      </c>
    </row>
    <row r="135" customFormat="false" ht="15" hidden="false" customHeight="false" outlineLevel="0" collapsed="false">
      <c r="AZ135" s="5" t="str">
        <f aca="false">IF($B135="","",SUMPRODUCT(($AL135:$AO135&lt;&gt;"")*(COUNTIF($AP135:$AX135,$AL135:$AO135)&gt;0)))</f>
        <v/>
      </c>
      <c r="BA135" s="5" t="str">
        <f aca="false">IF($B135="","",IF(AZ135&gt;0,1,0))</f>
        <v/>
      </c>
      <c r="BB135" s="5" t="str">
        <f aca="false">IF($AP135="","",IF((($AP135="Engineering and Technology")+($AP135="Science and Mathematics")+($AP135="Computer Science, IT and Allied Fields")+($AP135="Life Sciences /Medicine and Healthcare")+($AP135="Paramedical")+($AP135="Architecture")+($AP135="Environmental Service")+($AP135="Agriculture, Food Industry and Forestry"))&gt;0,"Science",IF((($AP135="Banking and Finance")+($AP135="Management and Administration")+($AP135="Marketing")+($AP135="Sales")+($AP135="Entrepreneurship")+($AP135="Hospitality and Tourism"))&gt;0,"Commerce",IF((($AP135="Social Sciences and Humanities")+($AP135="Law Studies")+($AP135="Education and Training")+($AP135="Art, Design")+($AP135="Entertainment and Mass Media")+($AP135="Community and Social Service")+($AP135="Personal Care and Services")+($AP135="Government and Public Administration")+($AP135="Defence/ Protective Service")+($AP135="Sports"))&gt;0,"Arts / Humanities",""))))</f>
        <v/>
      </c>
      <c r="BC135" s="5" t="str">
        <f aca="false">IF($AL135="","",IF((($AL135="Engineering and Technology")+($AL135="Science and Mathematics")+($AL135="Computer Science, IT and Allied Fields")+($AL135="Life Sciences /Medicine and Healthcare")+($AL135="Paramedical")+($AL135="Architecture")+($AL135="Environmental Service")+($AL135="Agriculture, Food Industry and Forestry"))&gt;0,"Science",IF((($AL135="Banking and Finance")+($AL135="Management and Administration")+($AL135="Marketing")+($AL135="Sales")+($AL135="Entrepreneurship")+($AL135="Hospitality and Tourism"))&gt;0,"Commerce",IF((($AL135="Social Sciences and Humanities")+($AL135="Law Studies")+($AL135="Education and Training")+($AL135="Art, Design")+($AL135="Entertainment and Mass Media")+($AL135="Community and Social Service")+($AL135="Personal Care and Services")+($AL135="Government and Public Administration")+($AL135="Defence/ Protective Service")+($AL135="Sports"))&gt;0,"Arts / Humanities",""))))</f>
        <v/>
      </c>
      <c r="BD135" s="5" t="str">
        <f aca="false">IF($B135="","",--(F135&gt;=10)+--(G135&gt;=10)+--(H135&gt;=10)+--(I135&gt;=10)+--(J135&gt;=10)+--(K135&gt;=10)+--(L135&gt;=10)+--(M135&gt;=10)+--(N135&gt;=10)+--(O135&gt;=10))</f>
        <v/>
      </c>
      <c r="BE135" s="5" t="str">
        <f aca="false">IF($B135="","",--(AND(F135&lt;&gt;"",F135&lt;=8))+--(AND(G135&lt;&gt;"",G135&lt;=8))+--(AND(H135&lt;&gt;"",H135&lt;=8))+--(AND(I135&lt;&gt;"",I135&lt;=8))+--(AND(J135&lt;&gt;"",J135&lt;=8))+--(AND(K135&lt;&gt;"",K135&lt;=8))+--(AND(L135&lt;&gt;"",L135&lt;=8))+--(AND(M135&lt;&gt;"",M135&lt;=8))+--(AND(N135&lt;&gt;"",N135&lt;=8))+--(AND(O135&lt;&gt;"",O135&lt;=8)))</f>
        <v/>
      </c>
    </row>
    <row r="136" customFormat="false" ht="15" hidden="false" customHeight="false" outlineLevel="0" collapsed="false">
      <c r="AZ136" s="5" t="str">
        <f aca="false">IF($B136="","",SUMPRODUCT(($AL136:$AO136&lt;&gt;"")*(COUNTIF($AP136:$AX136,$AL136:$AO136)&gt;0)))</f>
        <v/>
      </c>
      <c r="BA136" s="5" t="str">
        <f aca="false">IF($B136="","",IF(AZ136&gt;0,1,0))</f>
        <v/>
      </c>
      <c r="BB136" s="5" t="str">
        <f aca="false">IF($AP136="","",IF((($AP136="Engineering and Technology")+($AP136="Science and Mathematics")+($AP136="Computer Science, IT and Allied Fields")+($AP136="Life Sciences /Medicine and Healthcare")+($AP136="Paramedical")+($AP136="Architecture")+($AP136="Environmental Service")+($AP136="Agriculture, Food Industry and Forestry"))&gt;0,"Science",IF((($AP136="Banking and Finance")+($AP136="Management and Administration")+($AP136="Marketing")+($AP136="Sales")+($AP136="Entrepreneurship")+($AP136="Hospitality and Tourism"))&gt;0,"Commerce",IF((($AP136="Social Sciences and Humanities")+($AP136="Law Studies")+($AP136="Education and Training")+($AP136="Art, Design")+($AP136="Entertainment and Mass Media")+($AP136="Community and Social Service")+($AP136="Personal Care and Services")+($AP136="Government and Public Administration")+($AP136="Defence/ Protective Service")+($AP136="Sports"))&gt;0,"Arts / Humanities",""))))</f>
        <v/>
      </c>
      <c r="BC136" s="5" t="str">
        <f aca="false">IF($AL136="","",IF((($AL136="Engineering and Technology")+($AL136="Science and Mathematics")+($AL136="Computer Science, IT and Allied Fields")+($AL136="Life Sciences /Medicine and Healthcare")+($AL136="Paramedical")+($AL136="Architecture")+($AL136="Environmental Service")+($AL136="Agriculture, Food Industry and Forestry"))&gt;0,"Science",IF((($AL136="Banking and Finance")+($AL136="Management and Administration")+($AL136="Marketing")+($AL136="Sales")+($AL136="Entrepreneurship")+($AL136="Hospitality and Tourism"))&gt;0,"Commerce",IF((($AL136="Social Sciences and Humanities")+($AL136="Law Studies")+($AL136="Education and Training")+($AL136="Art, Design")+($AL136="Entertainment and Mass Media")+($AL136="Community and Social Service")+($AL136="Personal Care and Services")+($AL136="Government and Public Administration")+($AL136="Defence/ Protective Service")+($AL136="Sports"))&gt;0,"Arts / Humanities",""))))</f>
        <v/>
      </c>
      <c r="BD136" s="5" t="str">
        <f aca="false">IF($B136="","",--(F136&gt;=10)+--(G136&gt;=10)+--(H136&gt;=10)+--(I136&gt;=10)+--(J136&gt;=10)+--(K136&gt;=10)+--(L136&gt;=10)+--(M136&gt;=10)+--(N136&gt;=10)+--(O136&gt;=10))</f>
        <v/>
      </c>
      <c r="BE136" s="5" t="str">
        <f aca="false">IF($B136="","",--(AND(F136&lt;&gt;"",F136&lt;=8))+--(AND(G136&lt;&gt;"",G136&lt;=8))+--(AND(H136&lt;&gt;"",H136&lt;=8))+--(AND(I136&lt;&gt;"",I136&lt;=8))+--(AND(J136&lt;&gt;"",J136&lt;=8))+--(AND(K136&lt;&gt;"",K136&lt;=8))+--(AND(L136&lt;&gt;"",L136&lt;=8))+--(AND(M136&lt;&gt;"",M136&lt;=8))+--(AND(N136&lt;&gt;"",N136&lt;=8))+--(AND(O136&lt;&gt;"",O136&lt;=8)))</f>
        <v/>
      </c>
    </row>
    <row r="137" customFormat="false" ht="15" hidden="false" customHeight="false" outlineLevel="0" collapsed="false">
      <c r="AZ137" s="5" t="str">
        <f aca="false">IF($B137="","",SUMPRODUCT(($AL137:$AO137&lt;&gt;"")*(COUNTIF($AP137:$AX137,$AL137:$AO137)&gt;0)))</f>
        <v/>
      </c>
      <c r="BA137" s="5" t="str">
        <f aca="false">IF($B137="","",IF(AZ137&gt;0,1,0))</f>
        <v/>
      </c>
      <c r="BB137" s="5" t="str">
        <f aca="false">IF($AP137="","",IF((($AP137="Engineering and Technology")+($AP137="Science and Mathematics")+($AP137="Computer Science, IT and Allied Fields")+($AP137="Life Sciences /Medicine and Healthcare")+($AP137="Paramedical")+($AP137="Architecture")+($AP137="Environmental Service")+($AP137="Agriculture, Food Industry and Forestry"))&gt;0,"Science",IF((($AP137="Banking and Finance")+($AP137="Management and Administration")+($AP137="Marketing")+($AP137="Sales")+($AP137="Entrepreneurship")+($AP137="Hospitality and Tourism"))&gt;0,"Commerce",IF((($AP137="Social Sciences and Humanities")+($AP137="Law Studies")+($AP137="Education and Training")+($AP137="Art, Design")+($AP137="Entertainment and Mass Media")+($AP137="Community and Social Service")+($AP137="Personal Care and Services")+($AP137="Government and Public Administration")+($AP137="Defence/ Protective Service")+($AP137="Sports"))&gt;0,"Arts / Humanities",""))))</f>
        <v/>
      </c>
      <c r="BC137" s="5" t="str">
        <f aca="false">IF($AL137="","",IF((($AL137="Engineering and Technology")+($AL137="Science and Mathematics")+($AL137="Computer Science, IT and Allied Fields")+($AL137="Life Sciences /Medicine and Healthcare")+($AL137="Paramedical")+($AL137="Architecture")+($AL137="Environmental Service")+($AL137="Agriculture, Food Industry and Forestry"))&gt;0,"Science",IF((($AL137="Banking and Finance")+($AL137="Management and Administration")+($AL137="Marketing")+($AL137="Sales")+($AL137="Entrepreneurship")+($AL137="Hospitality and Tourism"))&gt;0,"Commerce",IF((($AL137="Social Sciences and Humanities")+($AL137="Law Studies")+($AL137="Education and Training")+($AL137="Art, Design")+($AL137="Entertainment and Mass Media")+($AL137="Community and Social Service")+($AL137="Personal Care and Services")+($AL137="Government and Public Administration")+($AL137="Defence/ Protective Service")+($AL137="Sports"))&gt;0,"Arts / Humanities",""))))</f>
        <v/>
      </c>
      <c r="BD137" s="5" t="str">
        <f aca="false">IF($B137="","",--(F137&gt;=10)+--(G137&gt;=10)+--(H137&gt;=10)+--(I137&gt;=10)+--(J137&gt;=10)+--(K137&gt;=10)+--(L137&gt;=10)+--(M137&gt;=10)+--(N137&gt;=10)+--(O137&gt;=10))</f>
        <v/>
      </c>
      <c r="BE137" s="5" t="str">
        <f aca="false">IF($B137="","",--(AND(F137&lt;&gt;"",F137&lt;=8))+--(AND(G137&lt;&gt;"",G137&lt;=8))+--(AND(H137&lt;&gt;"",H137&lt;=8))+--(AND(I137&lt;&gt;"",I137&lt;=8))+--(AND(J137&lt;&gt;"",J137&lt;=8))+--(AND(K137&lt;&gt;"",K137&lt;=8))+--(AND(L137&lt;&gt;"",L137&lt;=8))+--(AND(M137&lt;&gt;"",M137&lt;=8))+--(AND(N137&lt;&gt;"",N137&lt;=8))+--(AND(O137&lt;&gt;"",O137&lt;=8)))</f>
        <v/>
      </c>
    </row>
    <row r="138" customFormat="false" ht="15" hidden="false" customHeight="false" outlineLevel="0" collapsed="false">
      <c r="AZ138" s="5" t="str">
        <f aca="false">IF($B138="","",SUMPRODUCT(($AL138:$AO138&lt;&gt;"")*(COUNTIF($AP138:$AX138,$AL138:$AO138)&gt;0)))</f>
        <v/>
      </c>
      <c r="BA138" s="5" t="str">
        <f aca="false">IF($B138="","",IF(AZ138&gt;0,1,0))</f>
        <v/>
      </c>
      <c r="BB138" s="5" t="str">
        <f aca="false">IF($AP138="","",IF((($AP138="Engineering and Technology")+($AP138="Science and Mathematics")+($AP138="Computer Science, IT and Allied Fields")+($AP138="Life Sciences /Medicine and Healthcare")+($AP138="Paramedical")+($AP138="Architecture")+($AP138="Environmental Service")+($AP138="Agriculture, Food Industry and Forestry"))&gt;0,"Science",IF((($AP138="Banking and Finance")+($AP138="Management and Administration")+($AP138="Marketing")+($AP138="Sales")+($AP138="Entrepreneurship")+($AP138="Hospitality and Tourism"))&gt;0,"Commerce",IF((($AP138="Social Sciences and Humanities")+($AP138="Law Studies")+($AP138="Education and Training")+($AP138="Art, Design")+($AP138="Entertainment and Mass Media")+($AP138="Community and Social Service")+($AP138="Personal Care and Services")+($AP138="Government and Public Administration")+($AP138="Defence/ Protective Service")+($AP138="Sports"))&gt;0,"Arts / Humanities",""))))</f>
        <v/>
      </c>
      <c r="BC138" s="5" t="str">
        <f aca="false">IF($AL138="","",IF((($AL138="Engineering and Technology")+($AL138="Science and Mathematics")+($AL138="Computer Science, IT and Allied Fields")+($AL138="Life Sciences /Medicine and Healthcare")+($AL138="Paramedical")+($AL138="Architecture")+($AL138="Environmental Service")+($AL138="Agriculture, Food Industry and Forestry"))&gt;0,"Science",IF((($AL138="Banking and Finance")+($AL138="Management and Administration")+($AL138="Marketing")+($AL138="Sales")+($AL138="Entrepreneurship")+($AL138="Hospitality and Tourism"))&gt;0,"Commerce",IF((($AL138="Social Sciences and Humanities")+($AL138="Law Studies")+($AL138="Education and Training")+($AL138="Art, Design")+($AL138="Entertainment and Mass Media")+($AL138="Community and Social Service")+($AL138="Personal Care and Services")+($AL138="Government and Public Administration")+($AL138="Defence/ Protective Service")+($AL138="Sports"))&gt;0,"Arts / Humanities",""))))</f>
        <v/>
      </c>
      <c r="BD138" s="5" t="str">
        <f aca="false">IF($B138="","",--(F138&gt;=10)+--(G138&gt;=10)+--(H138&gt;=10)+--(I138&gt;=10)+--(J138&gt;=10)+--(K138&gt;=10)+--(L138&gt;=10)+--(M138&gt;=10)+--(N138&gt;=10)+--(O138&gt;=10))</f>
        <v/>
      </c>
      <c r="BE138" s="5" t="str">
        <f aca="false">IF($B138="","",--(AND(F138&lt;&gt;"",F138&lt;=8))+--(AND(G138&lt;&gt;"",G138&lt;=8))+--(AND(H138&lt;&gt;"",H138&lt;=8))+--(AND(I138&lt;&gt;"",I138&lt;=8))+--(AND(J138&lt;&gt;"",J138&lt;=8))+--(AND(K138&lt;&gt;"",K138&lt;=8))+--(AND(L138&lt;&gt;"",L138&lt;=8))+--(AND(M138&lt;&gt;"",M138&lt;=8))+--(AND(N138&lt;&gt;"",N138&lt;=8))+--(AND(O138&lt;&gt;"",O138&lt;=8)))</f>
        <v/>
      </c>
    </row>
    <row r="139" customFormat="false" ht="15" hidden="false" customHeight="false" outlineLevel="0" collapsed="false">
      <c r="AZ139" s="5" t="str">
        <f aca="false">IF($B139="","",SUMPRODUCT(($AL139:$AO139&lt;&gt;"")*(COUNTIF($AP139:$AX139,$AL139:$AO139)&gt;0)))</f>
        <v/>
      </c>
      <c r="BA139" s="5" t="str">
        <f aca="false">IF($B139="","",IF(AZ139&gt;0,1,0))</f>
        <v/>
      </c>
      <c r="BB139" s="5" t="str">
        <f aca="false">IF($AP139="","",IF((($AP139="Engineering and Technology")+($AP139="Science and Mathematics")+($AP139="Computer Science, IT and Allied Fields")+($AP139="Life Sciences /Medicine and Healthcare")+($AP139="Paramedical")+($AP139="Architecture")+($AP139="Environmental Service")+($AP139="Agriculture, Food Industry and Forestry"))&gt;0,"Science",IF((($AP139="Banking and Finance")+($AP139="Management and Administration")+($AP139="Marketing")+($AP139="Sales")+($AP139="Entrepreneurship")+($AP139="Hospitality and Tourism"))&gt;0,"Commerce",IF((($AP139="Social Sciences and Humanities")+($AP139="Law Studies")+($AP139="Education and Training")+($AP139="Art, Design")+($AP139="Entertainment and Mass Media")+($AP139="Community and Social Service")+($AP139="Personal Care and Services")+($AP139="Government and Public Administration")+($AP139="Defence/ Protective Service")+($AP139="Sports"))&gt;0,"Arts / Humanities",""))))</f>
        <v/>
      </c>
      <c r="BC139" s="5" t="str">
        <f aca="false">IF($AL139="","",IF((($AL139="Engineering and Technology")+($AL139="Science and Mathematics")+($AL139="Computer Science, IT and Allied Fields")+($AL139="Life Sciences /Medicine and Healthcare")+($AL139="Paramedical")+($AL139="Architecture")+($AL139="Environmental Service")+($AL139="Agriculture, Food Industry and Forestry"))&gt;0,"Science",IF((($AL139="Banking and Finance")+($AL139="Management and Administration")+($AL139="Marketing")+($AL139="Sales")+($AL139="Entrepreneurship")+($AL139="Hospitality and Tourism"))&gt;0,"Commerce",IF((($AL139="Social Sciences and Humanities")+($AL139="Law Studies")+($AL139="Education and Training")+($AL139="Art, Design")+($AL139="Entertainment and Mass Media")+($AL139="Community and Social Service")+($AL139="Personal Care and Services")+($AL139="Government and Public Administration")+($AL139="Defence/ Protective Service")+($AL139="Sports"))&gt;0,"Arts / Humanities",""))))</f>
        <v/>
      </c>
      <c r="BD139" s="5" t="str">
        <f aca="false">IF($B139="","",--(F139&gt;=10)+--(G139&gt;=10)+--(H139&gt;=10)+--(I139&gt;=10)+--(J139&gt;=10)+--(K139&gt;=10)+--(L139&gt;=10)+--(M139&gt;=10)+--(N139&gt;=10)+--(O139&gt;=10))</f>
        <v/>
      </c>
      <c r="BE139" s="5" t="str">
        <f aca="false">IF($B139="","",--(AND(F139&lt;&gt;"",F139&lt;=8))+--(AND(G139&lt;&gt;"",G139&lt;=8))+--(AND(H139&lt;&gt;"",H139&lt;=8))+--(AND(I139&lt;&gt;"",I139&lt;=8))+--(AND(J139&lt;&gt;"",J139&lt;=8))+--(AND(K139&lt;&gt;"",K139&lt;=8))+--(AND(L139&lt;&gt;"",L139&lt;=8))+--(AND(M139&lt;&gt;"",M139&lt;=8))+--(AND(N139&lt;&gt;"",N139&lt;=8))+--(AND(O139&lt;&gt;"",O139&lt;=8)))</f>
        <v/>
      </c>
    </row>
    <row r="140" customFormat="false" ht="15" hidden="false" customHeight="false" outlineLevel="0" collapsed="false">
      <c r="AZ140" s="5" t="str">
        <f aca="false">IF($B140="","",SUMPRODUCT(($AL140:$AO140&lt;&gt;"")*(COUNTIF($AP140:$AX140,$AL140:$AO140)&gt;0)))</f>
        <v/>
      </c>
      <c r="BA140" s="5" t="str">
        <f aca="false">IF($B140="","",IF(AZ140&gt;0,1,0))</f>
        <v/>
      </c>
      <c r="BB140" s="5" t="str">
        <f aca="false">IF($AP140="","",IF((($AP140="Engineering and Technology")+($AP140="Science and Mathematics")+($AP140="Computer Science, IT and Allied Fields")+($AP140="Life Sciences /Medicine and Healthcare")+($AP140="Paramedical")+($AP140="Architecture")+($AP140="Environmental Service")+($AP140="Agriculture, Food Industry and Forestry"))&gt;0,"Science",IF((($AP140="Banking and Finance")+($AP140="Management and Administration")+($AP140="Marketing")+($AP140="Sales")+($AP140="Entrepreneurship")+($AP140="Hospitality and Tourism"))&gt;0,"Commerce",IF((($AP140="Social Sciences and Humanities")+($AP140="Law Studies")+($AP140="Education and Training")+($AP140="Art, Design")+($AP140="Entertainment and Mass Media")+($AP140="Community and Social Service")+($AP140="Personal Care and Services")+($AP140="Government and Public Administration")+($AP140="Defence/ Protective Service")+($AP140="Sports"))&gt;0,"Arts / Humanities",""))))</f>
        <v/>
      </c>
      <c r="BC140" s="5" t="str">
        <f aca="false">IF($AL140="","",IF((($AL140="Engineering and Technology")+($AL140="Science and Mathematics")+($AL140="Computer Science, IT and Allied Fields")+($AL140="Life Sciences /Medicine and Healthcare")+($AL140="Paramedical")+($AL140="Architecture")+($AL140="Environmental Service")+($AL140="Agriculture, Food Industry and Forestry"))&gt;0,"Science",IF((($AL140="Banking and Finance")+($AL140="Management and Administration")+($AL140="Marketing")+($AL140="Sales")+($AL140="Entrepreneurship")+($AL140="Hospitality and Tourism"))&gt;0,"Commerce",IF((($AL140="Social Sciences and Humanities")+($AL140="Law Studies")+($AL140="Education and Training")+($AL140="Art, Design")+($AL140="Entertainment and Mass Media")+($AL140="Community and Social Service")+($AL140="Personal Care and Services")+($AL140="Government and Public Administration")+($AL140="Defence/ Protective Service")+($AL140="Sports"))&gt;0,"Arts / Humanities",""))))</f>
        <v/>
      </c>
      <c r="BD140" s="5" t="str">
        <f aca="false">IF($B140="","",--(F140&gt;=10)+--(G140&gt;=10)+--(H140&gt;=10)+--(I140&gt;=10)+--(J140&gt;=10)+--(K140&gt;=10)+--(L140&gt;=10)+--(M140&gt;=10)+--(N140&gt;=10)+--(O140&gt;=10))</f>
        <v/>
      </c>
      <c r="BE140" s="5" t="str">
        <f aca="false">IF($B140="","",--(AND(F140&lt;&gt;"",F140&lt;=8))+--(AND(G140&lt;&gt;"",G140&lt;=8))+--(AND(H140&lt;&gt;"",H140&lt;=8))+--(AND(I140&lt;&gt;"",I140&lt;=8))+--(AND(J140&lt;&gt;"",J140&lt;=8))+--(AND(K140&lt;&gt;"",K140&lt;=8))+--(AND(L140&lt;&gt;"",L140&lt;=8))+--(AND(M140&lt;&gt;"",M140&lt;=8))+--(AND(N140&lt;&gt;"",N140&lt;=8))+--(AND(O140&lt;&gt;"",O140&lt;=8)))</f>
        <v/>
      </c>
    </row>
    <row r="141" customFormat="false" ht="15" hidden="false" customHeight="false" outlineLevel="0" collapsed="false">
      <c r="AZ141" s="5" t="str">
        <f aca="false">IF($B141="","",SUMPRODUCT(($AL141:$AO141&lt;&gt;"")*(COUNTIF($AP141:$AX141,$AL141:$AO141)&gt;0)))</f>
        <v/>
      </c>
      <c r="BA141" s="5" t="str">
        <f aca="false">IF($B141="","",IF(AZ141&gt;0,1,0))</f>
        <v/>
      </c>
      <c r="BB141" s="5" t="str">
        <f aca="false">IF($AP141="","",IF((($AP141="Engineering and Technology")+($AP141="Science and Mathematics")+($AP141="Computer Science, IT and Allied Fields")+($AP141="Life Sciences /Medicine and Healthcare")+($AP141="Paramedical")+($AP141="Architecture")+($AP141="Environmental Service")+($AP141="Agriculture, Food Industry and Forestry"))&gt;0,"Science",IF((($AP141="Banking and Finance")+($AP141="Management and Administration")+($AP141="Marketing")+($AP141="Sales")+($AP141="Entrepreneurship")+($AP141="Hospitality and Tourism"))&gt;0,"Commerce",IF((($AP141="Social Sciences and Humanities")+($AP141="Law Studies")+($AP141="Education and Training")+($AP141="Art, Design")+($AP141="Entertainment and Mass Media")+($AP141="Community and Social Service")+($AP141="Personal Care and Services")+($AP141="Government and Public Administration")+($AP141="Defence/ Protective Service")+($AP141="Sports"))&gt;0,"Arts / Humanities",""))))</f>
        <v/>
      </c>
      <c r="BC141" s="5" t="str">
        <f aca="false">IF($AL141="","",IF((($AL141="Engineering and Technology")+($AL141="Science and Mathematics")+($AL141="Computer Science, IT and Allied Fields")+($AL141="Life Sciences /Medicine and Healthcare")+($AL141="Paramedical")+($AL141="Architecture")+($AL141="Environmental Service")+($AL141="Agriculture, Food Industry and Forestry"))&gt;0,"Science",IF((($AL141="Banking and Finance")+($AL141="Management and Administration")+($AL141="Marketing")+($AL141="Sales")+($AL141="Entrepreneurship")+($AL141="Hospitality and Tourism"))&gt;0,"Commerce",IF((($AL141="Social Sciences and Humanities")+($AL141="Law Studies")+($AL141="Education and Training")+($AL141="Art, Design")+($AL141="Entertainment and Mass Media")+($AL141="Community and Social Service")+($AL141="Personal Care and Services")+($AL141="Government and Public Administration")+($AL141="Defence/ Protective Service")+($AL141="Sports"))&gt;0,"Arts / Humanities",""))))</f>
        <v/>
      </c>
      <c r="BD141" s="5" t="str">
        <f aca="false">IF($B141="","",--(F141&gt;=10)+--(G141&gt;=10)+--(H141&gt;=10)+--(I141&gt;=10)+--(J141&gt;=10)+--(K141&gt;=10)+--(L141&gt;=10)+--(M141&gt;=10)+--(N141&gt;=10)+--(O141&gt;=10))</f>
        <v/>
      </c>
      <c r="BE141" s="5" t="str">
        <f aca="false">IF($B141="","",--(AND(F141&lt;&gt;"",F141&lt;=8))+--(AND(G141&lt;&gt;"",G141&lt;=8))+--(AND(H141&lt;&gt;"",H141&lt;=8))+--(AND(I141&lt;&gt;"",I141&lt;=8))+--(AND(J141&lt;&gt;"",J141&lt;=8))+--(AND(K141&lt;&gt;"",K141&lt;=8))+--(AND(L141&lt;&gt;"",L141&lt;=8))+--(AND(M141&lt;&gt;"",M141&lt;=8))+--(AND(N141&lt;&gt;"",N141&lt;=8))+--(AND(O141&lt;&gt;"",O141&lt;=8)))</f>
        <v/>
      </c>
    </row>
    <row r="142" customFormat="false" ht="15" hidden="false" customHeight="false" outlineLevel="0" collapsed="false">
      <c r="AZ142" s="5" t="str">
        <f aca="false">IF($B142="","",SUMPRODUCT(($AL142:$AO142&lt;&gt;"")*(COUNTIF($AP142:$AX142,$AL142:$AO142)&gt;0)))</f>
        <v/>
      </c>
      <c r="BA142" s="5" t="str">
        <f aca="false">IF($B142="","",IF(AZ142&gt;0,1,0))</f>
        <v/>
      </c>
      <c r="BB142" s="5" t="str">
        <f aca="false">IF($AP142="","",IF((($AP142="Engineering and Technology")+($AP142="Science and Mathematics")+($AP142="Computer Science, IT and Allied Fields")+($AP142="Life Sciences /Medicine and Healthcare")+($AP142="Paramedical")+($AP142="Architecture")+($AP142="Environmental Service")+($AP142="Agriculture, Food Industry and Forestry"))&gt;0,"Science",IF((($AP142="Banking and Finance")+($AP142="Management and Administration")+($AP142="Marketing")+($AP142="Sales")+($AP142="Entrepreneurship")+($AP142="Hospitality and Tourism"))&gt;0,"Commerce",IF((($AP142="Social Sciences and Humanities")+($AP142="Law Studies")+($AP142="Education and Training")+($AP142="Art, Design")+($AP142="Entertainment and Mass Media")+($AP142="Community and Social Service")+($AP142="Personal Care and Services")+($AP142="Government and Public Administration")+($AP142="Defence/ Protective Service")+($AP142="Sports"))&gt;0,"Arts / Humanities",""))))</f>
        <v/>
      </c>
      <c r="BC142" s="5" t="str">
        <f aca="false">IF($AL142="","",IF((($AL142="Engineering and Technology")+($AL142="Science and Mathematics")+($AL142="Computer Science, IT and Allied Fields")+($AL142="Life Sciences /Medicine and Healthcare")+($AL142="Paramedical")+($AL142="Architecture")+($AL142="Environmental Service")+($AL142="Agriculture, Food Industry and Forestry"))&gt;0,"Science",IF((($AL142="Banking and Finance")+($AL142="Management and Administration")+($AL142="Marketing")+($AL142="Sales")+($AL142="Entrepreneurship")+($AL142="Hospitality and Tourism"))&gt;0,"Commerce",IF((($AL142="Social Sciences and Humanities")+($AL142="Law Studies")+($AL142="Education and Training")+($AL142="Art, Design")+($AL142="Entertainment and Mass Media")+($AL142="Community and Social Service")+($AL142="Personal Care and Services")+($AL142="Government and Public Administration")+($AL142="Defence/ Protective Service")+($AL142="Sports"))&gt;0,"Arts / Humanities",""))))</f>
        <v/>
      </c>
      <c r="BD142" s="5" t="str">
        <f aca="false">IF($B142="","",--(F142&gt;=10)+--(G142&gt;=10)+--(H142&gt;=10)+--(I142&gt;=10)+--(J142&gt;=10)+--(K142&gt;=10)+--(L142&gt;=10)+--(M142&gt;=10)+--(N142&gt;=10)+--(O142&gt;=10))</f>
        <v/>
      </c>
      <c r="BE142" s="5" t="str">
        <f aca="false">IF($B142="","",--(AND(F142&lt;&gt;"",F142&lt;=8))+--(AND(G142&lt;&gt;"",G142&lt;=8))+--(AND(H142&lt;&gt;"",H142&lt;=8))+--(AND(I142&lt;&gt;"",I142&lt;=8))+--(AND(J142&lt;&gt;"",J142&lt;=8))+--(AND(K142&lt;&gt;"",K142&lt;=8))+--(AND(L142&lt;&gt;"",L142&lt;=8))+--(AND(M142&lt;&gt;"",M142&lt;=8))+--(AND(N142&lt;&gt;"",N142&lt;=8))+--(AND(O142&lt;&gt;"",O142&lt;=8)))</f>
        <v/>
      </c>
    </row>
    <row r="143" customFormat="false" ht="15" hidden="false" customHeight="false" outlineLevel="0" collapsed="false">
      <c r="AZ143" s="5" t="str">
        <f aca="false">IF($B143="","",SUMPRODUCT(($AL143:$AO143&lt;&gt;"")*(COUNTIF($AP143:$AX143,$AL143:$AO143)&gt;0)))</f>
        <v/>
      </c>
      <c r="BA143" s="5" t="str">
        <f aca="false">IF($B143="","",IF(AZ143&gt;0,1,0))</f>
        <v/>
      </c>
      <c r="BB143" s="5" t="str">
        <f aca="false">IF($AP143="","",IF((($AP143="Engineering and Technology")+($AP143="Science and Mathematics")+($AP143="Computer Science, IT and Allied Fields")+($AP143="Life Sciences /Medicine and Healthcare")+($AP143="Paramedical")+($AP143="Architecture")+($AP143="Environmental Service")+($AP143="Agriculture, Food Industry and Forestry"))&gt;0,"Science",IF((($AP143="Banking and Finance")+($AP143="Management and Administration")+($AP143="Marketing")+($AP143="Sales")+($AP143="Entrepreneurship")+($AP143="Hospitality and Tourism"))&gt;0,"Commerce",IF((($AP143="Social Sciences and Humanities")+($AP143="Law Studies")+($AP143="Education and Training")+($AP143="Art, Design")+($AP143="Entertainment and Mass Media")+($AP143="Community and Social Service")+($AP143="Personal Care and Services")+($AP143="Government and Public Administration")+($AP143="Defence/ Protective Service")+($AP143="Sports"))&gt;0,"Arts / Humanities",""))))</f>
        <v/>
      </c>
      <c r="BC143" s="5" t="str">
        <f aca="false">IF($AL143="","",IF((($AL143="Engineering and Technology")+($AL143="Science and Mathematics")+($AL143="Computer Science, IT and Allied Fields")+($AL143="Life Sciences /Medicine and Healthcare")+($AL143="Paramedical")+($AL143="Architecture")+($AL143="Environmental Service")+($AL143="Agriculture, Food Industry and Forestry"))&gt;0,"Science",IF((($AL143="Banking and Finance")+($AL143="Management and Administration")+($AL143="Marketing")+($AL143="Sales")+($AL143="Entrepreneurship")+($AL143="Hospitality and Tourism"))&gt;0,"Commerce",IF((($AL143="Social Sciences and Humanities")+($AL143="Law Studies")+($AL143="Education and Training")+($AL143="Art, Design")+($AL143="Entertainment and Mass Media")+($AL143="Community and Social Service")+($AL143="Personal Care and Services")+($AL143="Government and Public Administration")+($AL143="Defence/ Protective Service")+($AL143="Sports"))&gt;0,"Arts / Humanities",""))))</f>
        <v/>
      </c>
      <c r="BD143" s="5" t="str">
        <f aca="false">IF($B143="","",--(F143&gt;=10)+--(G143&gt;=10)+--(H143&gt;=10)+--(I143&gt;=10)+--(J143&gt;=10)+--(K143&gt;=10)+--(L143&gt;=10)+--(M143&gt;=10)+--(N143&gt;=10)+--(O143&gt;=10))</f>
        <v/>
      </c>
      <c r="BE143" s="5" t="str">
        <f aca="false">IF($B143="","",--(AND(F143&lt;&gt;"",F143&lt;=8))+--(AND(G143&lt;&gt;"",G143&lt;=8))+--(AND(H143&lt;&gt;"",H143&lt;=8))+--(AND(I143&lt;&gt;"",I143&lt;=8))+--(AND(J143&lt;&gt;"",J143&lt;=8))+--(AND(K143&lt;&gt;"",K143&lt;=8))+--(AND(L143&lt;&gt;"",L143&lt;=8))+--(AND(M143&lt;&gt;"",M143&lt;=8))+--(AND(N143&lt;&gt;"",N143&lt;=8))+--(AND(O143&lt;&gt;"",O143&lt;=8)))</f>
        <v/>
      </c>
    </row>
    <row r="144" customFormat="false" ht="15" hidden="false" customHeight="false" outlineLevel="0" collapsed="false">
      <c r="AZ144" s="5" t="str">
        <f aca="false">IF($B144="","",SUMPRODUCT(($AL144:$AO144&lt;&gt;"")*(COUNTIF($AP144:$AX144,$AL144:$AO144)&gt;0)))</f>
        <v/>
      </c>
      <c r="BA144" s="5" t="str">
        <f aca="false">IF($B144="","",IF(AZ144&gt;0,1,0))</f>
        <v/>
      </c>
      <c r="BB144" s="5" t="str">
        <f aca="false">IF($AP144="","",IF((($AP144="Engineering and Technology")+($AP144="Science and Mathematics")+($AP144="Computer Science, IT and Allied Fields")+($AP144="Life Sciences /Medicine and Healthcare")+($AP144="Paramedical")+($AP144="Architecture")+($AP144="Environmental Service")+($AP144="Agriculture, Food Industry and Forestry"))&gt;0,"Science",IF((($AP144="Banking and Finance")+($AP144="Management and Administration")+($AP144="Marketing")+($AP144="Sales")+($AP144="Entrepreneurship")+($AP144="Hospitality and Tourism"))&gt;0,"Commerce",IF((($AP144="Social Sciences and Humanities")+($AP144="Law Studies")+($AP144="Education and Training")+($AP144="Art, Design")+($AP144="Entertainment and Mass Media")+($AP144="Community and Social Service")+($AP144="Personal Care and Services")+($AP144="Government and Public Administration")+($AP144="Defence/ Protective Service")+($AP144="Sports"))&gt;0,"Arts / Humanities",""))))</f>
        <v/>
      </c>
      <c r="BC144" s="5" t="str">
        <f aca="false">IF($AL144="","",IF((($AL144="Engineering and Technology")+($AL144="Science and Mathematics")+($AL144="Computer Science, IT and Allied Fields")+($AL144="Life Sciences /Medicine and Healthcare")+($AL144="Paramedical")+($AL144="Architecture")+($AL144="Environmental Service")+($AL144="Agriculture, Food Industry and Forestry"))&gt;0,"Science",IF((($AL144="Banking and Finance")+($AL144="Management and Administration")+($AL144="Marketing")+($AL144="Sales")+($AL144="Entrepreneurship")+($AL144="Hospitality and Tourism"))&gt;0,"Commerce",IF((($AL144="Social Sciences and Humanities")+($AL144="Law Studies")+($AL144="Education and Training")+($AL144="Art, Design")+($AL144="Entertainment and Mass Media")+($AL144="Community and Social Service")+($AL144="Personal Care and Services")+($AL144="Government and Public Administration")+($AL144="Defence/ Protective Service")+($AL144="Sports"))&gt;0,"Arts / Humanities",""))))</f>
        <v/>
      </c>
      <c r="BD144" s="5" t="str">
        <f aca="false">IF($B144="","",--(F144&gt;=10)+--(G144&gt;=10)+--(H144&gt;=10)+--(I144&gt;=10)+--(J144&gt;=10)+--(K144&gt;=10)+--(L144&gt;=10)+--(M144&gt;=10)+--(N144&gt;=10)+--(O144&gt;=10))</f>
        <v/>
      </c>
      <c r="BE144" s="5" t="str">
        <f aca="false">IF($B144="","",--(AND(F144&lt;&gt;"",F144&lt;=8))+--(AND(G144&lt;&gt;"",G144&lt;=8))+--(AND(H144&lt;&gt;"",H144&lt;=8))+--(AND(I144&lt;&gt;"",I144&lt;=8))+--(AND(J144&lt;&gt;"",J144&lt;=8))+--(AND(K144&lt;&gt;"",K144&lt;=8))+--(AND(L144&lt;&gt;"",L144&lt;=8))+--(AND(M144&lt;&gt;"",M144&lt;=8))+--(AND(N144&lt;&gt;"",N144&lt;=8))+--(AND(O144&lt;&gt;"",O144&lt;=8)))</f>
        <v/>
      </c>
    </row>
    <row r="145" customFormat="false" ht="15" hidden="false" customHeight="false" outlineLevel="0" collapsed="false">
      <c r="AZ145" s="5" t="str">
        <f aca="false">IF($B145="","",SUMPRODUCT(($AL145:$AO145&lt;&gt;"")*(COUNTIF($AP145:$AX145,$AL145:$AO145)&gt;0)))</f>
        <v/>
      </c>
      <c r="BA145" s="5" t="str">
        <f aca="false">IF($B145="","",IF(AZ145&gt;0,1,0))</f>
        <v/>
      </c>
      <c r="BB145" s="5" t="str">
        <f aca="false">IF($AP145="","",IF((($AP145="Engineering and Technology")+($AP145="Science and Mathematics")+($AP145="Computer Science, IT and Allied Fields")+($AP145="Life Sciences /Medicine and Healthcare")+($AP145="Paramedical")+($AP145="Architecture")+($AP145="Environmental Service")+($AP145="Agriculture, Food Industry and Forestry"))&gt;0,"Science",IF((($AP145="Banking and Finance")+($AP145="Management and Administration")+($AP145="Marketing")+($AP145="Sales")+($AP145="Entrepreneurship")+($AP145="Hospitality and Tourism"))&gt;0,"Commerce",IF((($AP145="Social Sciences and Humanities")+($AP145="Law Studies")+($AP145="Education and Training")+($AP145="Art, Design")+($AP145="Entertainment and Mass Media")+($AP145="Community and Social Service")+($AP145="Personal Care and Services")+($AP145="Government and Public Administration")+($AP145="Defence/ Protective Service")+($AP145="Sports"))&gt;0,"Arts / Humanities",""))))</f>
        <v/>
      </c>
      <c r="BC145" s="5" t="str">
        <f aca="false">IF($AL145="","",IF((($AL145="Engineering and Technology")+($AL145="Science and Mathematics")+($AL145="Computer Science, IT and Allied Fields")+($AL145="Life Sciences /Medicine and Healthcare")+($AL145="Paramedical")+($AL145="Architecture")+($AL145="Environmental Service")+($AL145="Agriculture, Food Industry and Forestry"))&gt;0,"Science",IF((($AL145="Banking and Finance")+($AL145="Management and Administration")+($AL145="Marketing")+($AL145="Sales")+($AL145="Entrepreneurship")+($AL145="Hospitality and Tourism"))&gt;0,"Commerce",IF((($AL145="Social Sciences and Humanities")+($AL145="Law Studies")+($AL145="Education and Training")+($AL145="Art, Design")+($AL145="Entertainment and Mass Media")+($AL145="Community and Social Service")+($AL145="Personal Care and Services")+($AL145="Government and Public Administration")+($AL145="Defence/ Protective Service")+($AL145="Sports"))&gt;0,"Arts / Humanities",""))))</f>
        <v/>
      </c>
      <c r="BD145" s="5" t="str">
        <f aca="false">IF($B145="","",--(F145&gt;=10)+--(G145&gt;=10)+--(H145&gt;=10)+--(I145&gt;=10)+--(J145&gt;=10)+--(K145&gt;=10)+--(L145&gt;=10)+--(M145&gt;=10)+--(N145&gt;=10)+--(O145&gt;=10))</f>
        <v/>
      </c>
      <c r="BE145" s="5" t="str">
        <f aca="false">IF($B145="","",--(AND(F145&lt;&gt;"",F145&lt;=8))+--(AND(G145&lt;&gt;"",G145&lt;=8))+--(AND(H145&lt;&gt;"",H145&lt;=8))+--(AND(I145&lt;&gt;"",I145&lt;=8))+--(AND(J145&lt;&gt;"",J145&lt;=8))+--(AND(K145&lt;&gt;"",K145&lt;=8))+--(AND(L145&lt;&gt;"",L145&lt;=8))+--(AND(M145&lt;&gt;"",M145&lt;=8))+--(AND(N145&lt;&gt;"",N145&lt;=8))+--(AND(O145&lt;&gt;"",O145&lt;=8)))</f>
        <v/>
      </c>
    </row>
    <row r="146" customFormat="false" ht="15" hidden="false" customHeight="false" outlineLevel="0" collapsed="false">
      <c r="AZ146" s="5" t="str">
        <f aca="false">IF($B146="","",SUMPRODUCT(($AL146:$AO146&lt;&gt;"")*(COUNTIF($AP146:$AX146,$AL146:$AO146)&gt;0)))</f>
        <v/>
      </c>
      <c r="BA146" s="5" t="str">
        <f aca="false">IF($B146="","",IF(AZ146&gt;0,1,0))</f>
        <v/>
      </c>
      <c r="BB146" s="5" t="str">
        <f aca="false">IF($AP146="","",IF((($AP146="Engineering and Technology")+($AP146="Science and Mathematics")+($AP146="Computer Science, IT and Allied Fields")+($AP146="Life Sciences /Medicine and Healthcare")+($AP146="Paramedical")+($AP146="Architecture")+($AP146="Environmental Service")+($AP146="Agriculture, Food Industry and Forestry"))&gt;0,"Science",IF((($AP146="Banking and Finance")+($AP146="Management and Administration")+($AP146="Marketing")+($AP146="Sales")+($AP146="Entrepreneurship")+($AP146="Hospitality and Tourism"))&gt;0,"Commerce",IF((($AP146="Social Sciences and Humanities")+($AP146="Law Studies")+($AP146="Education and Training")+($AP146="Art, Design")+($AP146="Entertainment and Mass Media")+($AP146="Community and Social Service")+($AP146="Personal Care and Services")+($AP146="Government and Public Administration")+($AP146="Defence/ Protective Service")+($AP146="Sports"))&gt;0,"Arts / Humanities",""))))</f>
        <v/>
      </c>
      <c r="BC146" s="5" t="str">
        <f aca="false">IF($AL146="","",IF((($AL146="Engineering and Technology")+($AL146="Science and Mathematics")+($AL146="Computer Science, IT and Allied Fields")+($AL146="Life Sciences /Medicine and Healthcare")+($AL146="Paramedical")+($AL146="Architecture")+($AL146="Environmental Service")+($AL146="Agriculture, Food Industry and Forestry"))&gt;0,"Science",IF((($AL146="Banking and Finance")+($AL146="Management and Administration")+($AL146="Marketing")+($AL146="Sales")+($AL146="Entrepreneurship")+($AL146="Hospitality and Tourism"))&gt;0,"Commerce",IF((($AL146="Social Sciences and Humanities")+($AL146="Law Studies")+($AL146="Education and Training")+($AL146="Art, Design")+($AL146="Entertainment and Mass Media")+($AL146="Community and Social Service")+($AL146="Personal Care and Services")+($AL146="Government and Public Administration")+($AL146="Defence/ Protective Service")+($AL146="Sports"))&gt;0,"Arts / Humanities",""))))</f>
        <v/>
      </c>
      <c r="BD146" s="5" t="str">
        <f aca="false">IF($B146="","",--(F146&gt;=10)+--(G146&gt;=10)+--(H146&gt;=10)+--(I146&gt;=10)+--(J146&gt;=10)+--(K146&gt;=10)+--(L146&gt;=10)+--(M146&gt;=10)+--(N146&gt;=10)+--(O146&gt;=10))</f>
        <v/>
      </c>
      <c r="BE146" s="5" t="str">
        <f aca="false">IF($B146="","",--(AND(F146&lt;&gt;"",F146&lt;=8))+--(AND(G146&lt;&gt;"",G146&lt;=8))+--(AND(H146&lt;&gt;"",H146&lt;=8))+--(AND(I146&lt;&gt;"",I146&lt;=8))+--(AND(J146&lt;&gt;"",J146&lt;=8))+--(AND(K146&lt;&gt;"",K146&lt;=8))+--(AND(L146&lt;&gt;"",L146&lt;=8))+--(AND(M146&lt;&gt;"",M146&lt;=8))+--(AND(N146&lt;&gt;"",N146&lt;=8))+--(AND(O146&lt;&gt;"",O146&lt;=8)))</f>
        <v/>
      </c>
    </row>
    <row r="147" customFormat="false" ht="15" hidden="false" customHeight="false" outlineLevel="0" collapsed="false">
      <c r="AZ147" s="5" t="str">
        <f aca="false">IF($B147="","",SUMPRODUCT(($AL147:$AO147&lt;&gt;"")*(COUNTIF($AP147:$AX147,$AL147:$AO147)&gt;0)))</f>
        <v/>
      </c>
      <c r="BA147" s="5" t="str">
        <f aca="false">IF($B147="","",IF(AZ147&gt;0,1,0))</f>
        <v/>
      </c>
      <c r="BB147" s="5" t="str">
        <f aca="false">IF($AP147="","",IF((($AP147="Engineering and Technology")+($AP147="Science and Mathematics")+($AP147="Computer Science, IT and Allied Fields")+($AP147="Life Sciences /Medicine and Healthcare")+($AP147="Paramedical")+($AP147="Architecture")+($AP147="Environmental Service")+($AP147="Agriculture, Food Industry and Forestry"))&gt;0,"Science",IF((($AP147="Banking and Finance")+($AP147="Management and Administration")+($AP147="Marketing")+($AP147="Sales")+($AP147="Entrepreneurship")+($AP147="Hospitality and Tourism"))&gt;0,"Commerce",IF((($AP147="Social Sciences and Humanities")+($AP147="Law Studies")+($AP147="Education and Training")+($AP147="Art, Design")+($AP147="Entertainment and Mass Media")+($AP147="Community and Social Service")+($AP147="Personal Care and Services")+($AP147="Government and Public Administration")+($AP147="Defence/ Protective Service")+($AP147="Sports"))&gt;0,"Arts / Humanities",""))))</f>
        <v/>
      </c>
      <c r="BC147" s="5" t="str">
        <f aca="false">IF($AL147="","",IF((($AL147="Engineering and Technology")+($AL147="Science and Mathematics")+($AL147="Computer Science, IT and Allied Fields")+($AL147="Life Sciences /Medicine and Healthcare")+($AL147="Paramedical")+($AL147="Architecture")+($AL147="Environmental Service")+($AL147="Agriculture, Food Industry and Forestry"))&gt;0,"Science",IF((($AL147="Banking and Finance")+($AL147="Management and Administration")+($AL147="Marketing")+($AL147="Sales")+($AL147="Entrepreneurship")+($AL147="Hospitality and Tourism"))&gt;0,"Commerce",IF((($AL147="Social Sciences and Humanities")+($AL147="Law Studies")+($AL147="Education and Training")+($AL147="Art, Design")+($AL147="Entertainment and Mass Media")+($AL147="Community and Social Service")+($AL147="Personal Care and Services")+($AL147="Government and Public Administration")+($AL147="Defence/ Protective Service")+($AL147="Sports"))&gt;0,"Arts / Humanities",""))))</f>
        <v/>
      </c>
      <c r="BD147" s="5" t="str">
        <f aca="false">IF($B147="","",--(F147&gt;=10)+--(G147&gt;=10)+--(H147&gt;=10)+--(I147&gt;=10)+--(J147&gt;=10)+--(K147&gt;=10)+--(L147&gt;=10)+--(M147&gt;=10)+--(N147&gt;=10)+--(O147&gt;=10))</f>
        <v/>
      </c>
      <c r="BE147" s="5" t="str">
        <f aca="false">IF($B147="","",--(AND(F147&lt;&gt;"",F147&lt;=8))+--(AND(G147&lt;&gt;"",G147&lt;=8))+--(AND(H147&lt;&gt;"",H147&lt;=8))+--(AND(I147&lt;&gt;"",I147&lt;=8))+--(AND(J147&lt;&gt;"",J147&lt;=8))+--(AND(K147&lt;&gt;"",K147&lt;=8))+--(AND(L147&lt;&gt;"",L147&lt;=8))+--(AND(M147&lt;&gt;"",M147&lt;=8))+--(AND(N147&lt;&gt;"",N147&lt;=8))+--(AND(O147&lt;&gt;"",O147&lt;=8)))</f>
        <v/>
      </c>
    </row>
    <row r="148" customFormat="false" ht="15" hidden="false" customHeight="false" outlineLevel="0" collapsed="false">
      <c r="AZ148" s="5" t="str">
        <f aca="false">IF($B148="","",SUMPRODUCT(($AL148:$AO148&lt;&gt;"")*(COUNTIF($AP148:$AX148,$AL148:$AO148)&gt;0)))</f>
        <v/>
      </c>
      <c r="BA148" s="5" t="str">
        <f aca="false">IF($B148="","",IF(AZ148&gt;0,1,0))</f>
        <v/>
      </c>
      <c r="BB148" s="5" t="str">
        <f aca="false">IF($AP148="","",IF((($AP148="Engineering and Technology")+($AP148="Science and Mathematics")+($AP148="Computer Science, IT and Allied Fields")+($AP148="Life Sciences /Medicine and Healthcare")+($AP148="Paramedical")+($AP148="Architecture")+($AP148="Environmental Service")+($AP148="Agriculture, Food Industry and Forestry"))&gt;0,"Science",IF((($AP148="Banking and Finance")+($AP148="Management and Administration")+($AP148="Marketing")+($AP148="Sales")+($AP148="Entrepreneurship")+($AP148="Hospitality and Tourism"))&gt;0,"Commerce",IF((($AP148="Social Sciences and Humanities")+($AP148="Law Studies")+($AP148="Education and Training")+($AP148="Art, Design")+($AP148="Entertainment and Mass Media")+($AP148="Community and Social Service")+($AP148="Personal Care and Services")+($AP148="Government and Public Administration")+($AP148="Defence/ Protective Service")+($AP148="Sports"))&gt;0,"Arts / Humanities",""))))</f>
        <v/>
      </c>
      <c r="BC148" s="5" t="str">
        <f aca="false">IF($AL148="","",IF((($AL148="Engineering and Technology")+($AL148="Science and Mathematics")+($AL148="Computer Science, IT and Allied Fields")+($AL148="Life Sciences /Medicine and Healthcare")+($AL148="Paramedical")+($AL148="Architecture")+($AL148="Environmental Service")+($AL148="Agriculture, Food Industry and Forestry"))&gt;0,"Science",IF((($AL148="Banking and Finance")+($AL148="Management and Administration")+($AL148="Marketing")+($AL148="Sales")+($AL148="Entrepreneurship")+($AL148="Hospitality and Tourism"))&gt;0,"Commerce",IF((($AL148="Social Sciences and Humanities")+($AL148="Law Studies")+($AL148="Education and Training")+($AL148="Art, Design")+($AL148="Entertainment and Mass Media")+($AL148="Community and Social Service")+($AL148="Personal Care and Services")+($AL148="Government and Public Administration")+($AL148="Defence/ Protective Service")+($AL148="Sports"))&gt;0,"Arts / Humanities",""))))</f>
        <v/>
      </c>
      <c r="BD148" s="5" t="str">
        <f aca="false">IF($B148="","",--(F148&gt;=10)+--(G148&gt;=10)+--(H148&gt;=10)+--(I148&gt;=10)+--(J148&gt;=10)+--(K148&gt;=10)+--(L148&gt;=10)+--(M148&gt;=10)+--(N148&gt;=10)+--(O148&gt;=10))</f>
        <v/>
      </c>
      <c r="BE148" s="5" t="str">
        <f aca="false">IF($B148="","",--(AND(F148&lt;&gt;"",F148&lt;=8))+--(AND(G148&lt;&gt;"",G148&lt;=8))+--(AND(H148&lt;&gt;"",H148&lt;=8))+--(AND(I148&lt;&gt;"",I148&lt;=8))+--(AND(J148&lt;&gt;"",J148&lt;=8))+--(AND(K148&lt;&gt;"",K148&lt;=8))+--(AND(L148&lt;&gt;"",L148&lt;=8))+--(AND(M148&lt;&gt;"",M148&lt;=8))+--(AND(N148&lt;&gt;"",N148&lt;=8))+--(AND(O148&lt;&gt;"",O148&lt;=8)))</f>
        <v/>
      </c>
    </row>
    <row r="149" customFormat="false" ht="15" hidden="false" customHeight="false" outlineLevel="0" collapsed="false">
      <c r="AZ149" s="5" t="str">
        <f aca="false">IF($B149="","",SUMPRODUCT(($AL149:$AO149&lt;&gt;"")*(COUNTIF($AP149:$AX149,$AL149:$AO149)&gt;0)))</f>
        <v/>
      </c>
      <c r="BA149" s="5" t="str">
        <f aca="false">IF($B149="","",IF(AZ149&gt;0,1,0))</f>
        <v/>
      </c>
      <c r="BB149" s="5" t="str">
        <f aca="false">IF($AP149="","",IF((($AP149="Engineering and Technology")+($AP149="Science and Mathematics")+($AP149="Computer Science, IT and Allied Fields")+($AP149="Life Sciences /Medicine and Healthcare")+($AP149="Paramedical")+($AP149="Architecture")+($AP149="Environmental Service")+($AP149="Agriculture, Food Industry and Forestry"))&gt;0,"Science",IF((($AP149="Banking and Finance")+($AP149="Management and Administration")+($AP149="Marketing")+($AP149="Sales")+($AP149="Entrepreneurship")+($AP149="Hospitality and Tourism"))&gt;0,"Commerce",IF((($AP149="Social Sciences and Humanities")+($AP149="Law Studies")+($AP149="Education and Training")+($AP149="Art, Design")+($AP149="Entertainment and Mass Media")+($AP149="Community and Social Service")+($AP149="Personal Care and Services")+($AP149="Government and Public Administration")+($AP149="Defence/ Protective Service")+($AP149="Sports"))&gt;0,"Arts / Humanities",""))))</f>
        <v/>
      </c>
      <c r="BC149" s="5" t="str">
        <f aca="false">IF($AL149="","",IF((($AL149="Engineering and Technology")+($AL149="Science and Mathematics")+($AL149="Computer Science, IT and Allied Fields")+($AL149="Life Sciences /Medicine and Healthcare")+($AL149="Paramedical")+($AL149="Architecture")+($AL149="Environmental Service")+($AL149="Agriculture, Food Industry and Forestry"))&gt;0,"Science",IF((($AL149="Banking and Finance")+($AL149="Management and Administration")+($AL149="Marketing")+($AL149="Sales")+($AL149="Entrepreneurship")+($AL149="Hospitality and Tourism"))&gt;0,"Commerce",IF((($AL149="Social Sciences and Humanities")+($AL149="Law Studies")+($AL149="Education and Training")+($AL149="Art, Design")+($AL149="Entertainment and Mass Media")+($AL149="Community and Social Service")+($AL149="Personal Care and Services")+($AL149="Government and Public Administration")+($AL149="Defence/ Protective Service")+($AL149="Sports"))&gt;0,"Arts / Humanities",""))))</f>
        <v/>
      </c>
      <c r="BD149" s="5" t="str">
        <f aca="false">IF($B149="","",--(F149&gt;=10)+--(G149&gt;=10)+--(H149&gt;=10)+--(I149&gt;=10)+--(J149&gt;=10)+--(K149&gt;=10)+--(L149&gt;=10)+--(M149&gt;=10)+--(N149&gt;=10)+--(O149&gt;=10))</f>
        <v/>
      </c>
      <c r="BE149" s="5" t="str">
        <f aca="false">IF($B149="","",--(AND(F149&lt;&gt;"",F149&lt;=8))+--(AND(G149&lt;&gt;"",G149&lt;=8))+--(AND(H149&lt;&gt;"",H149&lt;=8))+--(AND(I149&lt;&gt;"",I149&lt;=8))+--(AND(J149&lt;&gt;"",J149&lt;=8))+--(AND(K149&lt;&gt;"",K149&lt;=8))+--(AND(L149&lt;&gt;"",L149&lt;=8))+--(AND(M149&lt;&gt;"",M149&lt;=8))+--(AND(N149&lt;&gt;"",N149&lt;=8))+--(AND(O149&lt;&gt;"",O149&lt;=8)))</f>
        <v/>
      </c>
    </row>
    <row r="150" customFormat="false" ht="15" hidden="false" customHeight="false" outlineLevel="0" collapsed="false">
      <c r="AZ150" s="5" t="str">
        <f aca="false">IF($B150="","",SUMPRODUCT(($AL150:$AO150&lt;&gt;"")*(COUNTIF($AP150:$AX150,$AL150:$AO150)&gt;0)))</f>
        <v/>
      </c>
      <c r="BA150" s="5" t="str">
        <f aca="false">IF($B150="","",IF(AZ150&gt;0,1,0))</f>
        <v/>
      </c>
      <c r="BB150" s="5" t="str">
        <f aca="false">IF($AP150="","",IF((($AP150="Engineering and Technology")+($AP150="Science and Mathematics")+($AP150="Computer Science, IT and Allied Fields")+($AP150="Life Sciences /Medicine and Healthcare")+($AP150="Paramedical")+($AP150="Architecture")+($AP150="Environmental Service")+($AP150="Agriculture, Food Industry and Forestry"))&gt;0,"Science",IF((($AP150="Banking and Finance")+($AP150="Management and Administration")+($AP150="Marketing")+($AP150="Sales")+($AP150="Entrepreneurship")+($AP150="Hospitality and Tourism"))&gt;0,"Commerce",IF((($AP150="Social Sciences and Humanities")+($AP150="Law Studies")+($AP150="Education and Training")+($AP150="Art, Design")+($AP150="Entertainment and Mass Media")+($AP150="Community and Social Service")+($AP150="Personal Care and Services")+($AP150="Government and Public Administration")+($AP150="Defence/ Protective Service")+($AP150="Sports"))&gt;0,"Arts / Humanities",""))))</f>
        <v/>
      </c>
      <c r="BC150" s="5" t="str">
        <f aca="false">IF($AL150="","",IF((($AL150="Engineering and Technology")+($AL150="Science and Mathematics")+($AL150="Computer Science, IT and Allied Fields")+($AL150="Life Sciences /Medicine and Healthcare")+($AL150="Paramedical")+($AL150="Architecture")+($AL150="Environmental Service")+($AL150="Agriculture, Food Industry and Forestry"))&gt;0,"Science",IF((($AL150="Banking and Finance")+($AL150="Management and Administration")+($AL150="Marketing")+($AL150="Sales")+($AL150="Entrepreneurship")+($AL150="Hospitality and Tourism"))&gt;0,"Commerce",IF((($AL150="Social Sciences and Humanities")+($AL150="Law Studies")+($AL150="Education and Training")+($AL150="Art, Design")+($AL150="Entertainment and Mass Media")+($AL150="Community and Social Service")+($AL150="Personal Care and Services")+($AL150="Government and Public Administration")+($AL150="Defence/ Protective Service")+($AL150="Sports"))&gt;0,"Arts / Humanities",""))))</f>
        <v/>
      </c>
      <c r="BD150" s="5" t="str">
        <f aca="false">IF($B150="","",--(F150&gt;=10)+--(G150&gt;=10)+--(H150&gt;=10)+--(I150&gt;=10)+--(J150&gt;=10)+--(K150&gt;=10)+--(L150&gt;=10)+--(M150&gt;=10)+--(N150&gt;=10)+--(O150&gt;=10))</f>
        <v/>
      </c>
      <c r="BE150" s="5" t="str">
        <f aca="false">IF($B150="","",--(AND(F150&lt;&gt;"",F150&lt;=8))+--(AND(G150&lt;&gt;"",G150&lt;=8))+--(AND(H150&lt;&gt;"",H150&lt;=8))+--(AND(I150&lt;&gt;"",I150&lt;=8))+--(AND(J150&lt;&gt;"",J150&lt;=8))+--(AND(K150&lt;&gt;"",K150&lt;=8))+--(AND(L150&lt;&gt;"",L150&lt;=8))+--(AND(M150&lt;&gt;"",M150&lt;=8))+--(AND(N150&lt;&gt;"",N150&lt;=8))+--(AND(O150&lt;&gt;"",O150&lt;=8)))</f>
        <v/>
      </c>
    </row>
    <row r="151" customFormat="false" ht="15" hidden="false" customHeight="false" outlineLevel="0" collapsed="false">
      <c r="AZ151" s="5" t="str">
        <f aca="false">IF($B151="","",SUMPRODUCT(($AL151:$AO151&lt;&gt;"")*(COUNTIF($AP151:$AX151,$AL151:$AO151)&gt;0)))</f>
        <v/>
      </c>
      <c r="BA151" s="5" t="str">
        <f aca="false">IF($B151="","",IF(AZ151&gt;0,1,0))</f>
        <v/>
      </c>
      <c r="BB151" s="5" t="str">
        <f aca="false">IF($AP151="","",IF((($AP151="Engineering and Technology")+($AP151="Science and Mathematics")+($AP151="Computer Science, IT and Allied Fields")+($AP151="Life Sciences /Medicine and Healthcare")+($AP151="Paramedical")+($AP151="Architecture")+($AP151="Environmental Service")+($AP151="Agriculture, Food Industry and Forestry"))&gt;0,"Science",IF((($AP151="Banking and Finance")+($AP151="Management and Administration")+($AP151="Marketing")+($AP151="Sales")+($AP151="Entrepreneurship")+($AP151="Hospitality and Tourism"))&gt;0,"Commerce",IF((($AP151="Social Sciences and Humanities")+($AP151="Law Studies")+($AP151="Education and Training")+($AP151="Art, Design")+($AP151="Entertainment and Mass Media")+($AP151="Community and Social Service")+($AP151="Personal Care and Services")+($AP151="Government and Public Administration")+($AP151="Defence/ Protective Service")+($AP151="Sports"))&gt;0,"Arts / Humanities",""))))</f>
        <v/>
      </c>
      <c r="BC151" s="5" t="str">
        <f aca="false">IF($AL151="","",IF((($AL151="Engineering and Technology")+($AL151="Science and Mathematics")+($AL151="Computer Science, IT and Allied Fields")+($AL151="Life Sciences /Medicine and Healthcare")+($AL151="Paramedical")+($AL151="Architecture")+($AL151="Environmental Service")+($AL151="Agriculture, Food Industry and Forestry"))&gt;0,"Science",IF((($AL151="Banking and Finance")+($AL151="Management and Administration")+($AL151="Marketing")+($AL151="Sales")+($AL151="Entrepreneurship")+($AL151="Hospitality and Tourism"))&gt;0,"Commerce",IF((($AL151="Social Sciences and Humanities")+($AL151="Law Studies")+($AL151="Education and Training")+($AL151="Art, Design")+($AL151="Entertainment and Mass Media")+($AL151="Community and Social Service")+($AL151="Personal Care and Services")+($AL151="Government and Public Administration")+($AL151="Defence/ Protective Service")+($AL151="Sports"))&gt;0,"Arts / Humanities",""))))</f>
        <v/>
      </c>
      <c r="BD151" s="5" t="str">
        <f aca="false">IF($B151="","",--(F151&gt;=10)+--(G151&gt;=10)+--(H151&gt;=10)+--(I151&gt;=10)+--(J151&gt;=10)+--(K151&gt;=10)+--(L151&gt;=10)+--(M151&gt;=10)+--(N151&gt;=10)+--(O151&gt;=10))</f>
        <v/>
      </c>
      <c r="BE151" s="5" t="str">
        <f aca="false">IF($B151="","",--(AND(F151&lt;&gt;"",F151&lt;=8))+--(AND(G151&lt;&gt;"",G151&lt;=8))+--(AND(H151&lt;&gt;"",H151&lt;=8))+--(AND(I151&lt;&gt;"",I151&lt;=8))+--(AND(J151&lt;&gt;"",J151&lt;=8))+--(AND(K151&lt;&gt;"",K151&lt;=8))+--(AND(L151&lt;&gt;"",L151&lt;=8))+--(AND(M151&lt;&gt;"",M151&lt;=8))+--(AND(N151&lt;&gt;"",N151&lt;=8))+--(AND(O151&lt;&gt;"",O151&lt;=8)))</f>
        <v/>
      </c>
    </row>
    <row r="152" customFormat="false" ht="15" hidden="false" customHeight="false" outlineLevel="0" collapsed="false">
      <c r="AZ152" s="5" t="str">
        <f aca="false">IF($B152="","",SUMPRODUCT(($AL152:$AO152&lt;&gt;"")*(COUNTIF($AP152:$AX152,$AL152:$AO152)&gt;0)))</f>
        <v/>
      </c>
      <c r="BA152" s="5" t="str">
        <f aca="false">IF($B152="","",IF(AZ152&gt;0,1,0))</f>
        <v/>
      </c>
      <c r="BB152" s="5" t="str">
        <f aca="false">IF($AP152="","",IF((($AP152="Engineering and Technology")+($AP152="Science and Mathematics")+($AP152="Computer Science, IT and Allied Fields")+($AP152="Life Sciences /Medicine and Healthcare")+($AP152="Paramedical")+($AP152="Architecture")+($AP152="Environmental Service")+($AP152="Agriculture, Food Industry and Forestry"))&gt;0,"Science",IF((($AP152="Banking and Finance")+($AP152="Management and Administration")+($AP152="Marketing")+($AP152="Sales")+($AP152="Entrepreneurship")+($AP152="Hospitality and Tourism"))&gt;0,"Commerce",IF((($AP152="Social Sciences and Humanities")+($AP152="Law Studies")+($AP152="Education and Training")+($AP152="Art, Design")+($AP152="Entertainment and Mass Media")+($AP152="Community and Social Service")+($AP152="Personal Care and Services")+($AP152="Government and Public Administration")+($AP152="Defence/ Protective Service")+($AP152="Sports"))&gt;0,"Arts / Humanities",""))))</f>
        <v/>
      </c>
      <c r="BC152" s="5" t="str">
        <f aca="false">IF($AL152="","",IF((($AL152="Engineering and Technology")+($AL152="Science and Mathematics")+($AL152="Computer Science, IT and Allied Fields")+($AL152="Life Sciences /Medicine and Healthcare")+($AL152="Paramedical")+($AL152="Architecture")+($AL152="Environmental Service")+($AL152="Agriculture, Food Industry and Forestry"))&gt;0,"Science",IF((($AL152="Banking and Finance")+($AL152="Management and Administration")+($AL152="Marketing")+($AL152="Sales")+($AL152="Entrepreneurship")+($AL152="Hospitality and Tourism"))&gt;0,"Commerce",IF((($AL152="Social Sciences and Humanities")+($AL152="Law Studies")+($AL152="Education and Training")+($AL152="Art, Design")+($AL152="Entertainment and Mass Media")+($AL152="Community and Social Service")+($AL152="Personal Care and Services")+($AL152="Government and Public Administration")+($AL152="Defence/ Protective Service")+($AL152="Sports"))&gt;0,"Arts / Humanities",""))))</f>
        <v/>
      </c>
      <c r="BD152" s="5" t="str">
        <f aca="false">IF($B152="","",--(F152&gt;=10)+--(G152&gt;=10)+--(H152&gt;=10)+--(I152&gt;=10)+--(J152&gt;=10)+--(K152&gt;=10)+--(L152&gt;=10)+--(M152&gt;=10)+--(N152&gt;=10)+--(O152&gt;=10))</f>
        <v/>
      </c>
      <c r="BE152" s="5" t="str">
        <f aca="false">IF($B152="","",--(AND(F152&lt;&gt;"",F152&lt;=8))+--(AND(G152&lt;&gt;"",G152&lt;=8))+--(AND(H152&lt;&gt;"",H152&lt;=8))+--(AND(I152&lt;&gt;"",I152&lt;=8))+--(AND(J152&lt;&gt;"",J152&lt;=8))+--(AND(K152&lt;&gt;"",K152&lt;=8))+--(AND(L152&lt;&gt;"",L152&lt;=8))+--(AND(M152&lt;&gt;"",M152&lt;=8))+--(AND(N152&lt;&gt;"",N152&lt;=8))+--(AND(O152&lt;&gt;"",O152&lt;=8)))</f>
        <v/>
      </c>
    </row>
    <row r="153" customFormat="false" ht="15" hidden="false" customHeight="false" outlineLevel="0" collapsed="false">
      <c r="AZ153" s="5" t="str">
        <f aca="false">IF($B153="","",SUMPRODUCT(($AL153:$AO153&lt;&gt;"")*(COUNTIF($AP153:$AX153,$AL153:$AO153)&gt;0)))</f>
        <v/>
      </c>
      <c r="BA153" s="5" t="str">
        <f aca="false">IF($B153="","",IF(AZ153&gt;0,1,0))</f>
        <v/>
      </c>
      <c r="BB153" s="5" t="str">
        <f aca="false">IF($AP153="","",IF((($AP153="Engineering and Technology")+($AP153="Science and Mathematics")+($AP153="Computer Science, IT and Allied Fields")+($AP153="Life Sciences /Medicine and Healthcare")+($AP153="Paramedical")+($AP153="Architecture")+($AP153="Environmental Service")+($AP153="Agriculture, Food Industry and Forestry"))&gt;0,"Science",IF((($AP153="Banking and Finance")+($AP153="Management and Administration")+($AP153="Marketing")+($AP153="Sales")+($AP153="Entrepreneurship")+($AP153="Hospitality and Tourism"))&gt;0,"Commerce",IF((($AP153="Social Sciences and Humanities")+($AP153="Law Studies")+($AP153="Education and Training")+($AP153="Art, Design")+($AP153="Entertainment and Mass Media")+($AP153="Community and Social Service")+($AP153="Personal Care and Services")+($AP153="Government and Public Administration")+($AP153="Defence/ Protective Service")+($AP153="Sports"))&gt;0,"Arts / Humanities",""))))</f>
        <v/>
      </c>
      <c r="BC153" s="5" t="str">
        <f aca="false">IF($AL153="","",IF((($AL153="Engineering and Technology")+($AL153="Science and Mathematics")+($AL153="Computer Science, IT and Allied Fields")+($AL153="Life Sciences /Medicine and Healthcare")+($AL153="Paramedical")+($AL153="Architecture")+($AL153="Environmental Service")+($AL153="Agriculture, Food Industry and Forestry"))&gt;0,"Science",IF((($AL153="Banking and Finance")+($AL153="Management and Administration")+($AL153="Marketing")+($AL153="Sales")+($AL153="Entrepreneurship")+($AL153="Hospitality and Tourism"))&gt;0,"Commerce",IF((($AL153="Social Sciences and Humanities")+($AL153="Law Studies")+($AL153="Education and Training")+($AL153="Art, Design")+($AL153="Entertainment and Mass Media")+($AL153="Community and Social Service")+($AL153="Personal Care and Services")+($AL153="Government and Public Administration")+($AL153="Defence/ Protective Service")+($AL153="Sports"))&gt;0,"Arts / Humanities",""))))</f>
        <v/>
      </c>
      <c r="BD153" s="5" t="str">
        <f aca="false">IF($B153="","",--(F153&gt;=10)+--(G153&gt;=10)+--(H153&gt;=10)+--(I153&gt;=10)+--(J153&gt;=10)+--(K153&gt;=10)+--(L153&gt;=10)+--(M153&gt;=10)+--(N153&gt;=10)+--(O153&gt;=10))</f>
        <v/>
      </c>
      <c r="BE153" s="5" t="str">
        <f aca="false">IF($B153="","",--(AND(F153&lt;&gt;"",F153&lt;=8))+--(AND(G153&lt;&gt;"",G153&lt;=8))+--(AND(H153&lt;&gt;"",H153&lt;=8))+--(AND(I153&lt;&gt;"",I153&lt;=8))+--(AND(J153&lt;&gt;"",J153&lt;=8))+--(AND(K153&lt;&gt;"",K153&lt;=8))+--(AND(L153&lt;&gt;"",L153&lt;=8))+--(AND(M153&lt;&gt;"",M153&lt;=8))+--(AND(N153&lt;&gt;"",N153&lt;=8))+--(AND(O153&lt;&gt;"",O153&lt;=8)))</f>
        <v/>
      </c>
    </row>
    <row r="154" customFormat="false" ht="15" hidden="false" customHeight="false" outlineLevel="0" collapsed="false">
      <c r="AZ154" s="5" t="str">
        <f aca="false">IF($B154="","",SUMPRODUCT(($AL154:$AO154&lt;&gt;"")*(COUNTIF($AP154:$AX154,$AL154:$AO154)&gt;0)))</f>
        <v/>
      </c>
      <c r="BA154" s="5" t="str">
        <f aca="false">IF($B154="","",IF(AZ154&gt;0,1,0))</f>
        <v/>
      </c>
      <c r="BB154" s="5" t="str">
        <f aca="false">IF($AP154="","",IF((($AP154="Engineering and Technology")+($AP154="Science and Mathematics")+($AP154="Computer Science, IT and Allied Fields")+($AP154="Life Sciences /Medicine and Healthcare")+($AP154="Paramedical")+($AP154="Architecture")+($AP154="Environmental Service")+($AP154="Agriculture, Food Industry and Forestry"))&gt;0,"Science",IF((($AP154="Banking and Finance")+($AP154="Management and Administration")+($AP154="Marketing")+($AP154="Sales")+($AP154="Entrepreneurship")+($AP154="Hospitality and Tourism"))&gt;0,"Commerce",IF((($AP154="Social Sciences and Humanities")+($AP154="Law Studies")+($AP154="Education and Training")+($AP154="Art, Design")+($AP154="Entertainment and Mass Media")+($AP154="Community and Social Service")+($AP154="Personal Care and Services")+($AP154="Government and Public Administration")+($AP154="Defence/ Protective Service")+($AP154="Sports"))&gt;0,"Arts / Humanities",""))))</f>
        <v/>
      </c>
      <c r="BC154" s="5" t="str">
        <f aca="false">IF($AL154="","",IF((($AL154="Engineering and Technology")+($AL154="Science and Mathematics")+($AL154="Computer Science, IT and Allied Fields")+($AL154="Life Sciences /Medicine and Healthcare")+($AL154="Paramedical")+($AL154="Architecture")+($AL154="Environmental Service")+($AL154="Agriculture, Food Industry and Forestry"))&gt;0,"Science",IF((($AL154="Banking and Finance")+($AL154="Management and Administration")+($AL154="Marketing")+($AL154="Sales")+($AL154="Entrepreneurship")+($AL154="Hospitality and Tourism"))&gt;0,"Commerce",IF((($AL154="Social Sciences and Humanities")+($AL154="Law Studies")+($AL154="Education and Training")+($AL154="Art, Design")+($AL154="Entertainment and Mass Media")+($AL154="Community and Social Service")+($AL154="Personal Care and Services")+($AL154="Government and Public Administration")+($AL154="Defence/ Protective Service")+($AL154="Sports"))&gt;0,"Arts / Humanities",""))))</f>
        <v/>
      </c>
      <c r="BD154" s="5" t="str">
        <f aca="false">IF($B154="","",--(F154&gt;=10)+--(G154&gt;=10)+--(H154&gt;=10)+--(I154&gt;=10)+--(J154&gt;=10)+--(K154&gt;=10)+--(L154&gt;=10)+--(M154&gt;=10)+--(N154&gt;=10)+--(O154&gt;=10))</f>
        <v/>
      </c>
      <c r="BE154" s="5" t="str">
        <f aca="false">IF($B154="","",--(AND(F154&lt;&gt;"",F154&lt;=8))+--(AND(G154&lt;&gt;"",G154&lt;=8))+--(AND(H154&lt;&gt;"",H154&lt;=8))+--(AND(I154&lt;&gt;"",I154&lt;=8))+--(AND(J154&lt;&gt;"",J154&lt;=8))+--(AND(K154&lt;&gt;"",K154&lt;=8))+--(AND(L154&lt;&gt;"",L154&lt;=8))+--(AND(M154&lt;&gt;"",M154&lt;=8))+--(AND(N154&lt;&gt;"",N154&lt;=8))+--(AND(O154&lt;&gt;"",O154&lt;=8)))</f>
        <v/>
      </c>
    </row>
    <row r="155" customFormat="false" ht="15" hidden="false" customHeight="false" outlineLevel="0" collapsed="false">
      <c r="AZ155" s="5" t="str">
        <f aca="false">IF($B155="","",SUMPRODUCT(($AL155:$AO155&lt;&gt;"")*(COUNTIF($AP155:$AX155,$AL155:$AO155)&gt;0)))</f>
        <v/>
      </c>
      <c r="BA155" s="5" t="str">
        <f aca="false">IF($B155="","",IF(AZ155&gt;0,1,0))</f>
        <v/>
      </c>
      <c r="BB155" s="5" t="str">
        <f aca="false">IF($AP155="","",IF((($AP155="Engineering and Technology")+($AP155="Science and Mathematics")+($AP155="Computer Science, IT and Allied Fields")+($AP155="Life Sciences /Medicine and Healthcare")+($AP155="Paramedical")+($AP155="Architecture")+($AP155="Environmental Service")+($AP155="Agriculture, Food Industry and Forestry"))&gt;0,"Science",IF((($AP155="Banking and Finance")+($AP155="Management and Administration")+($AP155="Marketing")+($AP155="Sales")+($AP155="Entrepreneurship")+($AP155="Hospitality and Tourism"))&gt;0,"Commerce",IF((($AP155="Social Sciences and Humanities")+($AP155="Law Studies")+($AP155="Education and Training")+($AP155="Art, Design")+($AP155="Entertainment and Mass Media")+($AP155="Community and Social Service")+($AP155="Personal Care and Services")+($AP155="Government and Public Administration")+($AP155="Defence/ Protective Service")+($AP155="Sports"))&gt;0,"Arts / Humanities",""))))</f>
        <v/>
      </c>
      <c r="BC155" s="5" t="str">
        <f aca="false">IF($AL155="","",IF((($AL155="Engineering and Technology")+($AL155="Science and Mathematics")+($AL155="Computer Science, IT and Allied Fields")+($AL155="Life Sciences /Medicine and Healthcare")+($AL155="Paramedical")+($AL155="Architecture")+($AL155="Environmental Service")+($AL155="Agriculture, Food Industry and Forestry"))&gt;0,"Science",IF((($AL155="Banking and Finance")+($AL155="Management and Administration")+($AL155="Marketing")+($AL155="Sales")+($AL155="Entrepreneurship")+($AL155="Hospitality and Tourism"))&gt;0,"Commerce",IF((($AL155="Social Sciences and Humanities")+($AL155="Law Studies")+($AL155="Education and Training")+($AL155="Art, Design")+($AL155="Entertainment and Mass Media")+($AL155="Community and Social Service")+($AL155="Personal Care and Services")+($AL155="Government and Public Administration")+($AL155="Defence/ Protective Service")+($AL155="Sports"))&gt;0,"Arts / Humanities",""))))</f>
        <v/>
      </c>
      <c r="BD155" s="5" t="str">
        <f aca="false">IF($B155="","",--(F155&gt;=10)+--(G155&gt;=10)+--(H155&gt;=10)+--(I155&gt;=10)+--(J155&gt;=10)+--(K155&gt;=10)+--(L155&gt;=10)+--(M155&gt;=10)+--(N155&gt;=10)+--(O155&gt;=10))</f>
        <v/>
      </c>
      <c r="BE155" s="5" t="str">
        <f aca="false">IF($B155="","",--(AND(F155&lt;&gt;"",F155&lt;=8))+--(AND(G155&lt;&gt;"",G155&lt;=8))+--(AND(H155&lt;&gt;"",H155&lt;=8))+--(AND(I155&lt;&gt;"",I155&lt;=8))+--(AND(J155&lt;&gt;"",J155&lt;=8))+--(AND(K155&lt;&gt;"",K155&lt;=8))+--(AND(L155&lt;&gt;"",L155&lt;=8))+--(AND(M155&lt;&gt;"",M155&lt;=8))+--(AND(N155&lt;&gt;"",N155&lt;=8))+--(AND(O155&lt;&gt;"",O155&lt;=8)))</f>
        <v/>
      </c>
    </row>
    <row r="156" customFormat="false" ht="15" hidden="false" customHeight="false" outlineLevel="0" collapsed="false">
      <c r="AZ156" s="5" t="str">
        <f aca="false">IF($B156="","",SUMPRODUCT(($AL156:$AO156&lt;&gt;"")*(COUNTIF($AP156:$AX156,$AL156:$AO156)&gt;0)))</f>
        <v/>
      </c>
      <c r="BA156" s="5" t="str">
        <f aca="false">IF($B156="","",IF(AZ156&gt;0,1,0))</f>
        <v/>
      </c>
      <c r="BB156" s="5" t="str">
        <f aca="false">IF($AP156="","",IF((($AP156="Engineering and Technology")+($AP156="Science and Mathematics")+($AP156="Computer Science, IT and Allied Fields")+($AP156="Life Sciences /Medicine and Healthcare")+($AP156="Paramedical")+($AP156="Architecture")+($AP156="Environmental Service")+($AP156="Agriculture, Food Industry and Forestry"))&gt;0,"Science",IF((($AP156="Banking and Finance")+($AP156="Management and Administration")+($AP156="Marketing")+($AP156="Sales")+($AP156="Entrepreneurship")+($AP156="Hospitality and Tourism"))&gt;0,"Commerce",IF((($AP156="Social Sciences and Humanities")+($AP156="Law Studies")+($AP156="Education and Training")+($AP156="Art, Design")+($AP156="Entertainment and Mass Media")+($AP156="Community and Social Service")+($AP156="Personal Care and Services")+($AP156="Government and Public Administration")+($AP156="Defence/ Protective Service")+($AP156="Sports"))&gt;0,"Arts / Humanities",""))))</f>
        <v/>
      </c>
      <c r="BC156" s="5" t="str">
        <f aca="false">IF($AL156="","",IF((($AL156="Engineering and Technology")+($AL156="Science and Mathematics")+($AL156="Computer Science, IT and Allied Fields")+($AL156="Life Sciences /Medicine and Healthcare")+($AL156="Paramedical")+($AL156="Architecture")+($AL156="Environmental Service")+($AL156="Agriculture, Food Industry and Forestry"))&gt;0,"Science",IF((($AL156="Banking and Finance")+($AL156="Management and Administration")+($AL156="Marketing")+($AL156="Sales")+($AL156="Entrepreneurship")+($AL156="Hospitality and Tourism"))&gt;0,"Commerce",IF((($AL156="Social Sciences and Humanities")+($AL156="Law Studies")+($AL156="Education and Training")+($AL156="Art, Design")+($AL156="Entertainment and Mass Media")+($AL156="Community and Social Service")+($AL156="Personal Care and Services")+($AL156="Government and Public Administration")+($AL156="Defence/ Protective Service")+($AL156="Sports"))&gt;0,"Arts / Humanities",""))))</f>
        <v/>
      </c>
      <c r="BD156" s="5" t="str">
        <f aca="false">IF($B156="","",--(F156&gt;=10)+--(G156&gt;=10)+--(H156&gt;=10)+--(I156&gt;=10)+--(J156&gt;=10)+--(K156&gt;=10)+--(L156&gt;=10)+--(M156&gt;=10)+--(N156&gt;=10)+--(O156&gt;=10))</f>
        <v/>
      </c>
      <c r="BE156" s="5" t="str">
        <f aca="false">IF($B156="","",--(AND(F156&lt;&gt;"",F156&lt;=8))+--(AND(G156&lt;&gt;"",G156&lt;=8))+--(AND(H156&lt;&gt;"",H156&lt;=8))+--(AND(I156&lt;&gt;"",I156&lt;=8))+--(AND(J156&lt;&gt;"",J156&lt;=8))+--(AND(K156&lt;&gt;"",K156&lt;=8))+--(AND(L156&lt;&gt;"",L156&lt;=8))+--(AND(M156&lt;&gt;"",M156&lt;=8))+--(AND(N156&lt;&gt;"",N156&lt;=8))+--(AND(O156&lt;&gt;"",O156&lt;=8)))</f>
        <v/>
      </c>
    </row>
    <row r="157" customFormat="false" ht="15" hidden="false" customHeight="false" outlineLevel="0" collapsed="false">
      <c r="AZ157" s="5" t="str">
        <f aca="false">IF($B157="","",SUMPRODUCT(($AL157:$AO157&lt;&gt;"")*(COUNTIF($AP157:$AX157,$AL157:$AO157)&gt;0)))</f>
        <v/>
      </c>
      <c r="BA157" s="5" t="str">
        <f aca="false">IF($B157="","",IF(AZ157&gt;0,1,0))</f>
        <v/>
      </c>
      <c r="BB157" s="5" t="str">
        <f aca="false">IF($AP157="","",IF((($AP157="Engineering and Technology")+($AP157="Science and Mathematics")+($AP157="Computer Science, IT and Allied Fields")+($AP157="Life Sciences /Medicine and Healthcare")+($AP157="Paramedical")+($AP157="Architecture")+($AP157="Environmental Service")+($AP157="Agriculture, Food Industry and Forestry"))&gt;0,"Science",IF((($AP157="Banking and Finance")+($AP157="Management and Administration")+($AP157="Marketing")+($AP157="Sales")+($AP157="Entrepreneurship")+($AP157="Hospitality and Tourism"))&gt;0,"Commerce",IF((($AP157="Social Sciences and Humanities")+($AP157="Law Studies")+($AP157="Education and Training")+($AP157="Art, Design")+($AP157="Entertainment and Mass Media")+($AP157="Community and Social Service")+($AP157="Personal Care and Services")+($AP157="Government and Public Administration")+($AP157="Defence/ Protective Service")+($AP157="Sports"))&gt;0,"Arts / Humanities",""))))</f>
        <v/>
      </c>
      <c r="BC157" s="5" t="str">
        <f aca="false">IF($AL157="","",IF((($AL157="Engineering and Technology")+($AL157="Science and Mathematics")+($AL157="Computer Science, IT and Allied Fields")+($AL157="Life Sciences /Medicine and Healthcare")+($AL157="Paramedical")+($AL157="Architecture")+($AL157="Environmental Service")+($AL157="Agriculture, Food Industry and Forestry"))&gt;0,"Science",IF((($AL157="Banking and Finance")+($AL157="Management and Administration")+($AL157="Marketing")+($AL157="Sales")+($AL157="Entrepreneurship")+($AL157="Hospitality and Tourism"))&gt;0,"Commerce",IF((($AL157="Social Sciences and Humanities")+($AL157="Law Studies")+($AL157="Education and Training")+($AL157="Art, Design")+($AL157="Entertainment and Mass Media")+($AL157="Community and Social Service")+($AL157="Personal Care and Services")+($AL157="Government and Public Administration")+($AL157="Defence/ Protective Service")+($AL157="Sports"))&gt;0,"Arts / Humanities",""))))</f>
        <v/>
      </c>
      <c r="BD157" s="5" t="str">
        <f aca="false">IF($B157="","",--(F157&gt;=10)+--(G157&gt;=10)+--(H157&gt;=10)+--(I157&gt;=10)+--(J157&gt;=10)+--(K157&gt;=10)+--(L157&gt;=10)+--(M157&gt;=10)+--(N157&gt;=10)+--(O157&gt;=10))</f>
        <v/>
      </c>
      <c r="BE157" s="5" t="str">
        <f aca="false">IF($B157="","",--(AND(F157&lt;&gt;"",F157&lt;=8))+--(AND(G157&lt;&gt;"",G157&lt;=8))+--(AND(H157&lt;&gt;"",H157&lt;=8))+--(AND(I157&lt;&gt;"",I157&lt;=8))+--(AND(J157&lt;&gt;"",J157&lt;=8))+--(AND(K157&lt;&gt;"",K157&lt;=8))+--(AND(L157&lt;&gt;"",L157&lt;=8))+--(AND(M157&lt;&gt;"",M157&lt;=8))+--(AND(N157&lt;&gt;"",N157&lt;=8))+--(AND(O157&lt;&gt;"",O157&lt;=8)))</f>
        <v/>
      </c>
    </row>
    <row r="158" customFormat="false" ht="15" hidden="false" customHeight="false" outlineLevel="0" collapsed="false">
      <c r="AZ158" s="5" t="str">
        <f aca="false">IF($B158="","",SUMPRODUCT(($AL158:$AO158&lt;&gt;"")*(COUNTIF($AP158:$AX158,$AL158:$AO158)&gt;0)))</f>
        <v/>
      </c>
      <c r="BA158" s="5" t="str">
        <f aca="false">IF($B158="","",IF(AZ158&gt;0,1,0))</f>
        <v/>
      </c>
      <c r="BB158" s="5" t="str">
        <f aca="false">IF($AP158="","",IF((($AP158="Engineering and Technology")+($AP158="Science and Mathematics")+($AP158="Computer Science, IT and Allied Fields")+($AP158="Life Sciences /Medicine and Healthcare")+($AP158="Paramedical")+($AP158="Architecture")+($AP158="Environmental Service")+($AP158="Agriculture, Food Industry and Forestry"))&gt;0,"Science",IF((($AP158="Banking and Finance")+($AP158="Management and Administration")+($AP158="Marketing")+($AP158="Sales")+($AP158="Entrepreneurship")+($AP158="Hospitality and Tourism"))&gt;0,"Commerce",IF((($AP158="Social Sciences and Humanities")+($AP158="Law Studies")+($AP158="Education and Training")+($AP158="Art, Design")+($AP158="Entertainment and Mass Media")+($AP158="Community and Social Service")+($AP158="Personal Care and Services")+($AP158="Government and Public Administration")+($AP158="Defence/ Protective Service")+($AP158="Sports"))&gt;0,"Arts / Humanities",""))))</f>
        <v/>
      </c>
      <c r="BC158" s="5" t="str">
        <f aca="false">IF($AL158="","",IF((($AL158="Engineering and Technology")+($AL158="Science and Mathematics")+($AL158="Computer Science, IT and Allied Fields")+($AL158="Life Sciences /Medicine and Healthcare")+($AL158="Paramedical")+($AL158="Architecture")+($AL158="Environmental Service")+($AL158="Agriculture, Food Industry and Forestry"))&gt;0,"Science",IF((($AL158="Banking and Finance")+($AL158="Management and Administration")+($AL158="Marketing")+($AL158="Sales")+($AL158="Entrepreneurship")+($AL158="Hospitality and Tourism"))&gt;0,"Commerce",IF((($AL158="Social Sciences and Humanities")+($AL158="Law Studies")+($AL158="Education and Training")+($AL158="Art, Design")+($AL158="Entertainment and Mass Media")+($AL158="Community and Social Service")+($AL158="Personal Care and Services")+($AL158="Government and Public Administration")+($AL158="Defence/ Protective Service")+($AL158="Sports"))&gt;0,"Arts / Humanities",""))))</f>
        <v/>
      </c>
      <c r="BD158" s="5" t="str">
        <f aca="false">IF($B158="","",--(F158&gt;=10)+--(G158&gt;=10)+--(H158&gt;=10)+--(I158&gt;=10)+--(J158&gt;=10)+--(K158&gt;=10)+--(L158&gt;=10)+--(M158&gt;=10)+--(N158&gt;=10)+--(O158&gt;=10))</f>
        <v/>
      </c>
      <c r="BE158" s="5" t="str">
        <f aca="false">IF($B158="","",--(AND(F158&lt;&gt;"",F158&lt;=8))+--(AND(G158&lt;&gt;"",G158&lt;=8))+--(AND(H158&lt;&gt;"",H158&lt;=8))+--(AND(I158&lt;&gt;"",I158&lt;=8))+--(AND(J158&lt;&gt;"",J158&lt;=8))+--(AND(K158&lt;&gt;"",K158&lt;=8))+--(AND(L158&lt;&gt;"",L158&lt;=8))+--(AND(M158&lt;&gt;"",M158&lt;=8))+--(AND(N158&lt;&gt;"",N158&lt;=8))+--(AND(O158&lt;&gt;"",O158&lt;=8)))</f>
        <v/>
      </c>
    </row>
    <row r="159" customFormat="false" ht="15" hidden="false" customHeight="false" outlineLevel="0" collapsed="false">
      <c r="AZ159" s="5" t="str">
        <f aca="false">IF($B159="","",SUMPRODUCT(($AL159:$AO159&lt;&gt;"")*(COUNTIF($AP159:$AX159,$AL159:$AO159)&gt;0)))</f>
        <v/>
      </c>
      <c r="BA159" s="5" t="str">
        <f aca="false">IF($B159="","",IF(AZ159&gt;0,1,0))</f>
        <v/>
      </c>
      <c r="BB159" s="5" t="str">
        <f aca="false">IF($AP159="","",IF((($AP159="Engineering and Technology")+($AP159="Science and Mathematics")+($AP159="Computer Science, IT and Allied Fields")+($AP159="Life Sciences /Medicine and Healthcare")+($AP159="Paramedical")+($AP159="Architecture")+($AP159="Environmental Service")+($AP159="Agriculture, Food Industry and Forestry"))&gt;0,"Science",IF((($AP159="Banking and Finance")+($AP159="Management and Administration")+($AP159="Marketing")+($AP159="Sales")+($AP159="Entrepreneurship")+($AP159="Hospitality and Tourism"))&gt;0,"Commerce",IF((($AP159="Social Sciences and Humanities")+($AP159="Law Studies")+($AP159="Education and Training")+($AP159="Art, Design")+($AP159="Entertainment and Mass Media")+($AP159="Community and Social Service")+($AP159="Personal Care and Services")+($AP159="Government and Public Administration")+($AP159="Defence/ Protective Service")+($AP159="Sports"))&gt;0,"Arts / Humanities",""))))</f>
        <v/>
      </c>
      <c r="BC159" s="5" t="str">
        <f aca="false">IF($AL159="","",IF((($AL159="Engineering and Technology")+($AL159="Science and Mathematics")+($AL159="Computer Science, IT and Allied Fields")+($AL159="Life Sciences /Medicine and Healthcare")+($AL159="Paramedical")+($AL159="Architecture")+($AL159="Environmental Service")+($AL159="Agriculture, Food Industry and Forestry"))&gt;0,"Science",IF((($AL159="Banking and Finance")+($AL159="Management and Administration")+($AL159="Marketing")+($AL159="Sales")+($AL159="Entrepreneurship")+($AL159="Hospitality and Tourism"))&gt;0,"Commerce",IF((($AL159="Social Sciences and Humanities")+($AL159="Law Studies")+($AL159="Education and Training")+($AL159="Art, Design")+($AL159="Entertainment and Mass Media")+($AL159="Community and Social Service")+($AL159="Personal Care and Services")+($AL159="Government and Public Administration")+($AL159="Defence/ Protective Service")+($AL159="Sports"))&gt;0,"Arts / Humanities",""))))</f>
        <v/>
      </c>
      <c r="BD159" s="5" t="str">
        <f aca="false">IF($B159="","",--(F159&gt;=10)+--(G159&gt;=10)+--(H159&gt;=10)+--(I159&gt;=10)+--(J159&gt;=10)+--(K159&gt;=10)+--(L159&gt;=10)+--(M159&gt;=10)+--(N159&gt;=10)+--(O159&gt;=10))</f>
        <v/>
      </c>
      <c r="BE159" s="5" t="str">
        <f aca="false">IF($B159="","",--(AND(F159&lt;&gt;"",F159&lt;=8))+--(AND(G159&lt;&gt;"",G159&lt;=8))+--(AND(H159&lt;&gt;"",H159&lt;=8))+--(AND(I159&lt;&gt;"",I159&lt;=8))+--(AND(J159&lt;&gt;"",J159&lt;=8))+--(AND(K159&lt;&gt;"",K159&lt;=8))+--(AND(L159&lt;&gt;"",L159&lt;=8))+--(AND(M159&lt;&gt;"",M159&lt;=8))+--(AND(N159&lt;&gt;"",N159&lt;=8))+--(AND(O159&lt;&gt;"",O159&lt;=8)))</f>
        <v/>
      </c>
    </row>
    <row r="160" customFormat="false" ht="15" hidden="false" customHeight="false" outlineLevel="0" collapsed="false">
      <c r="AZ160" s="5" t="str">
        <f aca="false">IF($B160="","",SUMPRODUCT(($AL160:$AO160&lt;&gt;"")*(COUNTIF($AP160:$AX160,$AL160:$AO160)&gt;0)))</f>
        <v/>
      </c>
      <c r="BA160" s="5" t="str">
        <f aca="false">IF($B160="","",IF(AZ160&gt;0,1,0))</f>
        <v/>
      </c>
      <c r="BB160" s="5" t="str">
        <f aca="false">IF($AP160="","",IF((($AP160="Engineering and Technology")+($AP160="Science and Mathematics")+($AP160="Computer Science, IT and Allied Fields")+($AP160="Life Sciences /Medicine and Healthcare")+($AP160="Paramedical")+($AP160="Architecture")+($AP160="Environmental Service")+($AP160="Agriculture, Food Industry and Forestry"))&gt;0,"Science",IF((($AP160="Banking and Finance")+($AP160="Management and Administration")+($AP160="Marketing")+($AP160="Sales")+($AP160="Entrepreneurship")+($AP160="Hospitality and Tourism"))&gt;0,"Commerce",IF((($AP160="Social Sciences and Humanities")+($AP160="Law Studies")+($AP160="Education and Training")+($AP160="Art, Design")+($AP160="Entertainment and Mass Media")+($AP160="Community and Social Service")+($AP160="Personal Care and Services")+($AP160="Government and Public Administration")+($AP160="Defence/ Protective Service")+($AP160="Sports"))&gt;0,"Arts / Humanities",""))))</f>
        <v/>
      </c>
      <c r="BC160" s="5" t="str">
        <f aca="false">IF($AL160="","",IF((($AL160="Engineering and Technology")+($AL160="Science and Mathematics")+($AL160="Computer Science, IT and Allied Fields")+($AL160="Life Sciences /Medicine and Healthcare")+($AL160="Paramedical")+($AL160="Architecture")+($AL160="Environmental Service")+($AL160="Agriculture, Food Industry and Forestry"))&gt;0,"Science",IF((($AL160="Banking and Finance")+($AL160="Management and Administration")+($AL160="Marketing")+($AL160="Sales")+($AL160="Entrepreneurship")+($AL160="Hospitality and Tourism"))&gt;0,"Commerce",IF((($AL160="Social Sciences and Humanities")+($AL160="Law Studies")+($AL160="Education and Training")+($AL160="Art, Design")+($AL160="Entertainment and Mass Media")+($AL160="Community and Social Service")+($AL160="Personal Care and Services")+($AL160="Government and Public Administration")+($AL160="Defence/ Protective Service")+($AL160="Sports"))&gt;0,"Arts / Humanities",""))))</f>
        <v/>
      </c>
      <c r="BD160" s="5" t="str">
        <f aca="false">IF($B160="","",--(F160&gt;=10)+--(G160&gt;=10)+--(H160&gt;=10)+--(I160&gt;=10)+--(J160&gt;=10)+--(K160&gt;=10)+--(L160&gt;=10)+--(M160&gt;=10)+--(N160&gt;=10)+--(O160&gt;=10))</f>
        <v/>
      </c>
      <c r="BE160" s="5" t="str">
        <f aca="false">IF($B160="","",--(AND(F160&lt;&gt;"",F160&lt;=8))+--(AND(G160&lt;&gt;"",G160&lt;=8))+--(AND(H160&lt;&gt;"",H160&lt;=8))+--(AND(I160&lt;&gt;"",I160&lt;=8))+--(AND(J160&lt;&gt;"",J160&lt;=8))+--(AND(K160&lt;&gt;"",K160&lt;=8))+--(AND(L160&lt;&gt;"",L160&lt;=8))+--(AND(M160&lt;&gt;"",M160&lt;=8))+--(AND(N160&lt;&gt;"",N160&lt;=8))+--(AND(O160&lt;&gt;"",O160&lt;=8)))</f>
        <v/>
      </c>
    </row>
    <row r="161" customFormat="false" ht="15" hidden="false" customHeight="false" outlineLevel="0" collapsed="false">
      <c r="AZ161" s="5" t="str">
        <f aca="false">IF($B161="","",SUMPRODUCT(($AL161:$AO161&lt;&gt;"")*(COUNTIF($AP161:$AX161,$AL161:$AO161)&gt;0)))</f>
        <v/>
      </c>
      <c r="BA161" s="5" t="str">
        <f aca="false">IF($B161="","",IF(AZ161&gt;0,1,0))</f>
        <v/>
      </c>
      <c r="BB161" s="5" t="str">
        <f aca="false">IF($AP161="","",IF((($AP161="Engineering and Technology")+($AP161="Science and Mathematics")+($AP161="Computer Science, IT and Allied Fields")+($AP161="Life Sciences /Medicine and Healthcare")+($AP161="Paramedical")+($AP161="Architecture")+($AP161="Environmental Service")+($AP161="Agriculture, Food Industry and Forestry"))&gt;0,"Science",IF((($AP161="Banking and Finance")+($AP161="Management and Administration")+($AP161="Marketing")+($AP161="Sales")+($AP161="Entrepreneurship")+($AP161="Hospitality and Tourism"))&gt;0,"Commerce",IF((($AP161="Social Sciences and Humanities")+($AP161="Law Studies")+($AP161="Education and Training")+($AP161="Art, Design")+($AP161="Entertainment and Mass Media")+($AP161="Community and Social Service")+($AP161="Personal Care and Services")+($AP161="Government and Public Administration")+($AP161="Defence/ Protective Service")+($AP161="Sports"))&gt;0,"Arts / Humanities",""))))</f>
        <v/>
      </c>
      <c r="BC161" s="5" t="str">
        <f aca="false">IF($AL161="","",IF((($AL161="Engineering and Technology")+($AL161="Science and Mathematics")+($AL161="Computer Science, IT and Allied Fields")+($AL161="Life Sciences /Medicine and Healthcare")+($AL161="Paramedical")+($AL161="Architecture")+($AL161="Environmental Service")+($AL161="Agriculture, Food Industry and Forestry"))&gt;0,"Science",IF((($AL161="Banking and Finance")+($AL161="Management and Administration")+($AL161="Marketing")+($AL161="Sales")+($AL161="Entrepreneurship")+($AL161="Hospitality and Tourism"))&gt;0,"Commerce",IF((($AL161="Social Sciences and Humanities")+($AL161="Law Studies")+($AL161="Education and Training")+($AL161="Art, Design")+($AL161="Entertainment and Mass Media")+($AL161="Community and Social Service")+($AL161="Personal Care and Services")+($AL161="Government and Public Administration")+($AL161="Defence/ Protective Service")+($AL161="Sports"))&gt;0,"Arts / Humanities",""))))</f>
        <v/>
      </c>
      <c r="BD161" s="5" t="str">
        <f aca="false">IF($B161="","",--(F161&gt;=10)+--(G161&gt;=10)+--(H161&gt;=10)+--(I161&gt;=10)+--(J161&gt;=10)+--(K161&gt;=10)+--(L161&gt;=10)+--(M161&gt;=10)+--(N161&gt;=10)+--(O161&gt;=10))</f>
        <v/>
      </c>
      <c r="BE161" s="5" t="str">
        <f aca="false">IF($B161="","",--(AND(F161&lt;&gt;"",F161&lt;=8))+--(AND(G161&lt;&gt;"",G161&lt;=8))+--(AND(H161&lt;&gt;"",H161&lt;=8))+--(AND(I161&lt;&gt;"",I161&lt;=8))+--(AND(J161&lt;&gt;"",J161&lt;=8))+--(AND(K161&lt;&gt;"",K161&lt;=8))+--(AND(L161&lt;&gt;"",L161&lt;=8))+--(AND(M161&lt;&gt;"",M161&lt;=8))+--(AND(N161&lt;&gt;"",N161&lt;=8))+--(AND(O161&lt;&gt;"",O161&lt;=8)))</f>
        <v/>
      </c>
    </row>
    <row r="162" customFormat="false" ht="15" hidden="false" customHeight="false" outlineLevel="0" collapsed="false">
      <c r="AZ162" s="5" t="str">
        <f aca="false">IF($B162="","",SUMPRODUCT(($AL162:$AO162&lt;&gt;"")*(COUNTIF($AP162:$AX162,$AL162:$AO162)&gt;0)))</f>
        <v/>
      </c>
      <c r="BA162" s="5" t="str">
        <f aca="false">IF($B162="","",IF(AZ162&gt;0,1,0))</f>
        <v/>
      </c>
      <c r="BB162" s="5" t="str">
        <f aca="false">IF($AP162="","",IF((($AP162="Engineering and Technology")+($AP162="Science and Mathematics")+($AP162="Computer Science, IT and Allied Fields")+($AP162="Life Sciences /Medicine and Healthcare")+($AP162="Paramedical")+($AP162="Architecture")+($AP162="Environmental Service")+($AP162="Agriculture, Food Industry and Forestry"))&gt;0,"Science",IF((($AP162="Banking and Finance")+($AP162="Management and Administration")+($AP162="Marketing")+($AP162="Sales")+($AP162="Entrepreneurship")+($AP162="Hospitality and Tourism"))&gt;0,"Commerce",IF((($AP162="Social Sciences and Humanities")+($AP162="Law Studies")+($AP162="Education and Training")+($AP162="Art, Design")+($AP162="Entertainment and Mass Media")+($AP162="Community and Social Service")+($AP162="Personal Care and Services")+($AP162="Government and Public Administration")+($AP162="Defence/ Protective Service")+($AP162="Sports"))&gt;0,"Arts / Humanities",""))))</f>
        <v/>
      </c>
      <c r="BC162" s="5" t="str">
        <f aca="false">IF($AL162="","",IF((($AL162="Engineering and Technology")+($AL162="Science and Mathematics")+($AL162="Computer Science, IT and Allied Fields")+($AL162="Life Sciences /Medicine and Healthcare")+($AL162="Paramedical")+($AL162="Architecture")+($AL162="Environmental Service")+($AL162="Agriculture, Food Industry and Forestry"))&gt;0,"Science",IF((($AL162="Banking and Finance")+($AL162="Management and Administration")+($AL162="Marketing")+($AL162="Sales")+($AL162="Entrepreneurship")+($AL162="Hospitality and Tourism"))&gt;0,"Commerce",IF((($AL162="Social Sciences and Humanities")+($AL162="Law Studies")+($AL162="Education and Training")+($AL162="Art, Design")+($AL162="Entertainment and Mass Media")+($AL162="Community and Social Service")+($AL162="Personal Care and Services")+($AL162="Government and Public Administration")+($AL162="Defence/ Protective Service")+($AL162="Sports"))&gt;0,"Arts / Humanities",""))))</f>
        <v/>
      </c>
      <c r="BD162" s="5" t="str">
        <f aca="false">IF($B162="","",--(F162&gt;=10)+--(G162&gt;=10)+--(H162&gt;=10)+--(I162&gt;=10)+--(J162&gt;=10)+--(K162&gt;=10)+--(L162&gt;=10)+--(M162&gt;=10)+--(N162&gt;=10)+--(O162&gt;=10))</f>
        <v/>
      </c>
      <c r="BE162" s="5" t="str">
        <f aca="false">IF($B162="","",--(AND(F162&lt;&gt;"",F162&lt;=8))+--(AND(G162&lt;&gt;"",G162&lt;=8))+--(AND(H162&lt;&gt;"",H162&lt;=8))+--(AND(I162&lt;&gt;"",I162&lt;=8))+--(AND(J162&lt;&gt;"",J162&lt;=8))+--(AND(K162&lt;&gt;"",K162&lt;=8))+--(AND(L162&lt;&gt;"",L162&lt;=8))+--(AND(M162&lt;&gt;"",M162&lt;=8))+--(AND(N162&lt;&gt;"",N162&lt;=8))+--(AND(O162&lt;&gt;"",O162&lt;=8)))</f>
        <v/>
      </c>
    </row>
    <row r="163" customFormat="false" ht="15" hidden="false" customHeight="false" outlineLevel="0" collapsed="false">
      <c r="AZ163" s="5" t="str">
        <f aca="false">IF($B163="","",SUMPRODUCT(($AL163:$AO163&lt;&gt;"")*(COUNTIF($AP163:$AX163,$AL163:$AO163)&gt;0)))</f>
        <v/>
      </c>
      <c r="BA163" s="5" t="str">
        <f aca="false">IF($B163="","",IF(AZ163&gt;0,1,0))</f>
        <v/>
      </c>
      <c r="BB163" s="5" t="str">
        <f aca="false">IF($AP163="","",IF((($AP163="Engineering and Technology")+($AP163="Science and Mathematics")+($AP163="Computer Science, IT and Allied Fields")+($AP163="Life Sciences /Medicine and Healthcare")+($AP163="Paramedical")+($AP163="Architecture")+($AP163="Environmental Service")+($AP163="Agriculture, Food Industry and Forestry"))&gt;0,"Science",IF((($AP163="Banking and Finance")+($AP163="Management and Administration")+($AP163="Marketing")+($AP163="Sales")+($AP163="Entrepreneurship")+($AP163="Hospitality and Tourism"))&gt;0,"Commerce",IF((($AP163="Social Sciences and Humanities")+($AP163="Law Studies")+($AP163="Education and Training")+($AP163="Art, Design")+($AP163="Entertainment and Mass Media")+($AP163="Community and Social Service")+($AP163="Personal Care and Services")+($AP163="Government and Public Administration")+($AP163="Defence/ Protective Service")+($AP163="Sports"))&gt;0,"Arts / Humanities",""))))</f>
        <v/>
      </c>
      <c r="BC163" s="5" t="str">
        <f aca="false">IF($AL163="","",IF((($AL163="Engineering and Technology")+($AL163="Science and Mathematics")+($AL163="Computer Science, IT and Allied Fields")+($AL163="Life Sciences /Medicine and Healthcare")+($AL163="Paramedical")+($AL163="Architecture")+($AL163="Environmental Service")+($AL163="Agriculture, Food Industry and Forestry"))&gt;0,"Science",IF((($AL163="Banking and Finance")+($AL163="Management and Administration")+($AL163="Marketing")+($AL163="Sales")+($AL163="Entrepreneurship")+($AL163="Hospitality and Tourism"))&gt;0,"Commerce",IF((($AL163="Social Sciences and Humanities")+($AL163="Law Studies")+($AL163="Education and Training")+($AL163="Art, Design")+($AL163="Entertainment and Mass Media")+($AL163="Community and Social Service")+($AL163="Personal Care and Services")+($AL163="Government and Public Administration")+($AL163="Defence/ Protective Service")+($AL163="Sports"))&gt;0,"Arts / Humanities",""))))</f>
        <v/>
      </c>
      <c r="BD163" s="5" t="str">
        <f aca="false">IF($B163="","",--(F163&gt;=10)+--(G163&gt;=10)+--(H163&gt;=10)+--(I163&gt;=10)+--(J163&gt;=10)+--(K163&gt;=10)+--(L163&gt;=10)+--(M163&gt;=10)+--(N163&gt;=10)+--(O163&gt;=10))</f>
        <v/>
      </c>
      <c r="BE163" s="5" t="str">
        <f aca="false">IF($B163="","",--(AND(F163&lt;&gt;"",F163&lt;=8))+--(AND(G163&lt;&gt;"",G163&lt;=8))+--(AND(H163&lt;&gt;"",H163&lt;=8))+--(AND(I163&lt;&gt;"",I163&lt;=8))+--(AND(J163&lt;&gt;"",J163&lt;=8))+--(AND(K163&lt;&gt;"",K163&lt;=8))+--(AND(L163&lt;&gt;"",L163&lt;=8))+--(AND(M163&lt;&gt;"",M163&lt;=8))+--(AND(N163&lt;&gt;"",N163&lt;=8))+--(AND(O163&lt;&gt;"",O163&lt;=8)))</f>
        <v/>
      </c>
    </row>
    <row r="164" customFormat="false" ht="15" hidden="false" customHeight="false" outlineLevel="0" collapsed="false">
      <c r="AZ164" s="5" t="str">
        <f aca="false">IF($B164="","",SUMPRODUCT(($AL164:$AO164&lt;&gt;"")*(COUNTIF($AP164:$AX164,$AL164:$AO164)&gt;0)))</f>
        <v/>
      </c>
      <c r="BA164" s="5" t="str">
        <f aca="false">IF($B164="","",IF(AZ164&gt;0,1,0))</f>
        <v/>
      </c>
      <c r="BB164" s="5" t="str">
        <f aca="false">IF($AP164="","",IF((($AP164="Engineering and Technology")+($AP164="Science and Mathematics")+($AP164="Computer Science, IT and Allied Fields")+($AP164="Life Sciences /Medicine and Healthcare")+($AP164="Paramedical")+($AP164="Architecture")+($AP164="Environmental Service")+($AP164="Agriculture, Food Industry and Forestry"))&gt;0,"Science",IF((($AP164="Banking and Finance")+($AP164="Management and Administration")+($AP164="Marketing")+($AP164="Sales")+($AP164="Entrepreneurship")+($AP164="Hospitality and Tourism"))&gt;0,"Commerce",IF((($AP164="Social Sciences and Humanities")+($AP164="Law Studies")+($AP164="Education and Training")+($AP164="Art, Design")+($AP164="Entertainment and Mass Media")+($AP164="Community and Social Service")+($AP164="Personal Care and Services")+($AP164="Government and Public Administration")+($AP164="Defence/ Protective Service")+($AP164="Sports"))&gt;0,"Arts / Humanities",""))))</f>
        <v/>
      </c>
      <c r="BC164" s="5" t="str">
        <f aca="false">IF($AL164="","",IF((($AL164="Engineering and Technology")+($AL164="Science and Mathematics")+($AL164="Computer Science, IT and Allied Fields")+($AL164="Life Sciences /Medicine and Healthcare")+($AL164="Paramedical")+($AL164="Architecture")+($AL164="Environmental Service")+($AL164="Agriculture, Food Industry and Forestry"))&gt;0,"Science",IF((($AL164="Banking and Finance")+($AL164="Management and Administration")+($AL164="Marketing")+($AL164="Sales")+($AL164="Entrepreneurship")+($AL164="Hospitality and Tourism"))&gt;0,"Commerce",IF((($AL164="Social Sciences and Humanities")+($AL164="Law Studies")+($AL164="Education and Training")+($AL164="Art, Design")+($AL164="Entertainment and Mass Media")+($AL164="Community and Social Service")+($AL164="Personal Care and Services")+($AL164="Government and Public Administration")+($AL164="Defence/ Protective Service")+($AL164="Sports"))&gt;0,"Arts / Humanities",""))))</f>
        <v/>
      </c>
      <c r="BD164" s="5" t="str">
        <f aca="false">IF($B164="","",--(F164&gt;=10)+--(G164&gt;=10)+--(H164&gt;=10)+--(I164&gt;=10)+--(J164&gt;=10)+--(K164&gt;=10)+--(L164&gt;=10)+--(M164&gt;=10)+--(N164&gt;=10)+--(O164&gt;=10))</f>
        <v/>
      </c>
      <c r="BE164" s="5" t="str">
        <f aca="false">IF($B164="","",--(AND(F164&lt;&gt;"",F164&lt;=8))+--(AND(G164&lt;&gt;"",G164&lt;=8))+--(AND(H164&lt;&gt;"",H164&lt;=8))+--(AND(I164&lt;&gt;"",I164&lt;=8))+--(AND(J164&lt;&gt;"",J164&lt;=8))+--(AND(K164&lt;&gt;"",K164&lt;=8))+--(AND(L164&lt;&gt;"",L164&lt;=8))+--(AND(M164&lt;&gt;"",M164&lt;=8))+--(AND(N164&lt;&gt;"",N164&lt;=8))+--(AND(O164&lt;&gt;"",O164&lt;=8)))</f>
        <v/>
      </c>
    </row>
    <row r="165" customFormat="false" ht="15" hidden="false" customHeight="false" outlineLevel="0" collapsed="false">
      <c r="AZ165" s="5" t="str">
        <f aca="false">IF($B165="","",SUMPRODUCT(($AL165:$AO165&lt;&gt;"")*(COUNTIF($AP165:$AX165,$AL165:$AO165)&gt;0)))</f>
        <v/>
      </c>
      <c r="BA165" s="5" t="str">
        <f aca="false">IF($B165="","",IF(AZ165&gt;0,1,0))</f>
        <v/>
      </c>
      <c r="BB165" s="5" t="str">
        <f aca="false">IF($AP165="","",IF((($AP165="Engineering and Technology")+($AP165="Science and Mathematics")+($AP165="Computer Science, IT and Allied Fields")+($AP165="Life Sciences /Medicine and Healthcare")+($AP165="Paramedical")+($AP165="Architecture")+($AP165="Environmental Service")+($AP165="Agriculture, Food Industry and Forestry"))&gt;0,"Science",IF((($AP165="Banking and Finance")+($AP165="Management and Administration")+($AP165="Marketing")+($AP165="Sales")+($AP165="Entrepreneurship")+($AP165="Hospitality and Tourism"))&gt;0,"Commerce",IF((($AP165="Social Sciences and Humanities")+($AP165="Law Studies")+($AP165="Education and Training")+($AP165="Art, Design")+($AP165="Entertainment and Mass Media")+($AP165="Community and Social Service")+($AP165="Personal Care and Services")+($AP165="Government and Public Administration")+($AP165="Defence/ Protective Service")+($AP165="Sports"))&gt;0,"Arts / Humanities",""))))</f>
        <v/>
      </c>
      <c r="BC165" s="5" t="str">
        <f aca="false">IF($AL165="","",IF((($AL165="Engineering and Technology")+($AL165="Science and Mathematics")+($AL165="Computer Science, IT and Allied Fields")+($AL165="Life Sciences /Medicine and Healthcare")+($AL165="Paramedical")+($AL165="Architecture")+($AL165="Environmental Service")+($AL165="Agriculture, Food Industry and Forestry"))&gt;0,"Science",IF((($AL165="Banking and Finance")+($AL165="Management and Administration")+($AL165="Marketing")+($AL165="Sales")+($AL165="Entrepreneurship")+($AL165="Hospitality and Tourism"))&gt;0,"Commerce",IF((($AL165="Social Sciences and Humanities")+($AL165="Law Studies")+($AL165="Education and Training")+($AL165="Art, Design")+($AL165="Entertainment and Mass Media")+($AL165="Community and Social Service")+($AL165="Personal Care and Services")+($AL165="Government and Public Administration")+($AL165="Defence/ Protective Service")+($AL165="Sports"))&gt;0,"Arts / Humanities",""))))</f>
        <v/>
      </c>
      <c r="BD165" s="5" t="str">
        <f aca="false">IF($B165="","",--(F165&gt;=10)+--(G165&gt;=10)+--(H165&gt;=10)+--(I165&gt;=10)+--(J165&gt;=10)+--(K165&gt;=10)+--(L165&gt;=10)+--(M165&gt;=10)+--(N165&gt;=10)+--(O165&gt;=10))</f>
        <v/>
      </c>
      <c r="BE165" s="5" t="str">
        <f aca="false">IF($B165="","",--(AND(F165&lt;&gt;"",F165&lt;=8))+--(AND(G165&lt;&gt;"",G165&lt;=8))+--(AND(H165&lt;&gt;"",H165&lt;=8))+--(AND(I165&lt;&gt;"",I165&lt;=8))+--(AND(J165&lt;&gt;"",J165&lt;=8))+--(AND(K165&lt;&gt;"",K165&lt;=8))+--(AND(L165&lt;&gt;"",L165&lt;=8))+--(AND(M165&lt;&gt;"",M165&lt;=8))+--(AND(N165&lt;&gt;"",N165&lt;=8))+--(AND(O165&lt;&gt;"",O165&lt;=8)))</f>
        <v/>
      </c>
    </row>
    <row r="166" customFormat="false" ht="15" hidden="false" customHeight="false" outlineLevel="0" collapsed="false">
      <c r="AZ166" s="5" t="str">
        <f aca="false">IF($B166="","",SUMPRODUCT(($AL166:$AO166&lt;&gt;"")*(COUNTIF($AP166:$AX166,$AL166:$AO166)&gt;0)))</f>
        <v/>
      </c>
      <c r="BA166" s="5" t="str">
        <f aca="false">IF($B166="","",IF(AZ166&gt;0,1,0))</f>
        <v/>
      </c>
      <c r="BB166" s="5" t="str">
        <f aca="false">IF($AP166="","",IF((($AP166="Engineering and Technology")+($AP166="Science and Mathematics")+($AP166="Computer Science, IT and Allied Fields")+($AP166="Life Sciences /Medicine and Healthcare")+($AP166="Paramedical")+($AP166="Architecture")+($AP166="Environmental Service")+($AP166="Agriculture, Food Industry and Forestry"))&gt;0,"Science",IF((($AP166="Banking and Finance")+($AP166="Management and Administration")+($AP166="Marketing")+($AP166="Sales")+($AP166="Entrepreneurship")+($AP166="Hospitality and Tourism"))&gt;0,"Commerce",IF((($AP166="Social Sciences and Humanities")+($AP166="Law Studies")+($AP166="Education and Training")+($AP166="Art, Design")+($AP166="Entertainment and Mass Media")+($AP166="Community and Social Service")+($AP166="Personal Care and Services")+($AP166="Government and Public Administration")+($AP166="Defence/ Protective Service")+($AP166="Sports"))&gt;0,"Arts / Humanities",""))))</f>
        <v/>
      </c>
      <c r="BC166" s="5" t="str">
        <f aca="false">IF($AL166="","",IF((($AL166="Engineering and Technology")+($AL166="Science and Mathematics")+($AL166="Computer Science, IT and Allied Fields")+($AL166="Life Sciences /Medicine and Healthcare")+($AL166="Paramedical")+($AL166="Architecture")+($AL166="Environmental Service")+($AL166="Agriculture, Food Industry and Forestry"))&gt;0,"Science",IF((($AL166="Banking and Finance")+($AL166="Management and Administration")+($AL166="Marketing")+($AL166="Sales")+($AL166="Entrepreneurship")+($AL166="Hospitality and Tourism"))&gt;0,"Commerce",IF((($AL166="Social Sciences and Humanities")+($AL166="Law Studies")+($AL166="Education and Training")+($AL166="Art, Design")+($AL166="Entertainment and Mass Media")+($AL166="Community and Social Service")+($AL166="Personal Care and Services")+($AL166="Government and Public Administration")+($AL166="Defence/ Protective Service")+($AL166="Sports"))&gt;0,"Arts / Humanities",""))))</f>
        <v/>
      </c>
      <c r="BD166" s="5" t="str">
        <f aca="false">IF($B166="","",--(F166&gt;=10)+--(G166&gt;=10)+--(H166&gt;=10)+--(I166&gt;=10)+--(J166&gt;=10)+--(K166&gt;=10)+--(L166&gt;=10)+--(M166&gt;=10)+--(N166&gt;=10)+--(O166&gt;=10))</f>
        <v/>
      </c>
      <c r="BE166" s="5" t="str">
        <f aca="false">IF($B166="","",--(AND(F166&lt;&gt;"",F166&lt;=8))+--(AND(G166&lt;&gt;"",G166&lt;=8))+--(AND(H166&lt;&gt;"",H166&lt;=8))+--(AND(I166&lt;&gt;"",I166&lt;=8))+--(AND(J166&lt;&gt;"",J166&lt;=8))+--(AND(K166&lt;&gt;"",K166&lt;=8))+--(AND(L166&lt;&gt;"",L166&lt;=8))+--(AND(M166&lt;&gt;"",M166&lt;=8))+--(AND(N166&lt;&gt;"",N166&lt;=8))+--(AND(O166&lt;&gt;"",O166&lt;=8)))</f>
        <v/>
      </c>
    </row>
    <row r="167" customFormat="false" ht="15" hidden="false" customHeight="false" outlineLevel="0" collapsed="false">
      <c r="AZ167" s="5" t="str">
        <f aca="false">IF($B167="","",SUMPRODUCT(($AL167:$AO167&lt;&gt;"")*(COUNTIF($AP167:$AX167,$AL167:$AO167)&gt;0)))</f>
        <v/>
      </c>
      <c r="BA167" s="5" t="str">
        <f aca="false">IF($B167="","",IF(AZ167&gt;0,1,0))</f>
        <v/>
      </c>
      <c r="BB167" s="5" t="str">
        <f aca="false">IF($AP167="","",IF((($AP167="Engineering and Technology")+($AP167="Science and Mathematics")+($AP167="Computer Science, IT and Allied Fields")+($AP167="Life Sciences /Medicine and Healthcare")+($AP167="Paramedical")+($AP167="Architecture")+($AP167="Environmental Service")+($AP167="Agriculture, Food Industry and Forestry"))&gt;0,"Science",IF((($AP167="Banking and Finance")+($AP167="Management and Administration")+($AP167="Marketing")+($AP167="Sales")+($AP167="Entrepreneurship")+($AP167="Hospitality and Tourism"))&gt;0,"Commerce",IF((($AP167="Social Sciences and Humanities")+($AP167="Law Studies")+($AP167="Education and Training")+($AP167="Art, Design")+($AP167="Entertainment and Mass Media")+($AP167="Community and Social Service")+($AP167="Personal Care and Services")+($AP167="Government and Public Administration")+($AP167="Defence/ Protective Service")+($AP167="Sports"))&gt;0,"Arts / Humanities",""))))</f>
        <v/>
      </c>
      <c r="BC167" s="5" t="str">
        <f aca="false">IF($AL167="","",IF((($AL167="Engineering and Technology")+($AL167="Science and Mathematics")+($AL167="Computer Science, IT and Allied Fields")+($AL167="Life Sciences /Medicine and Healthcare")+($AL167="Paramedical")+($AL167="Architecture")+($AL167="Environmental Service")+($AL167="Agriculture, Food Industry and Forestry"))&gt;0,"Science",IF((($AL167="Banking and Finance")+($AL167="Management and Administration")+($AL167="Marketing")+($AL167="Sales")+($AL167="Entrepreneurship")+($AL167="Hospitality and Tourism"))&gt;0,"Commerce",IF((($AL167="Social Sciences and Humanities")+($AL167="Law Studies")+($AL167="Education and Training")+($AL167="Art, Design")+($AL167="Entertainment and Mass Media")+($AL167="Community and Social Service")+($AL167="Personal Care and Services")+($AL167="Government and Public Administration")+($AL167="Defence/ Protective Service")+($AL167="Sports"))&gt;0,"Arts / Humanities",""))))</f>
        <v/>
      </c>
      <c r="BD167" s="5" t="str">
        <f aca="false">IF($B167="","",--(F167&gt;=10)+--(G167&gt;=10)+--(H167&gt;=10)+--(I167&gt;=10)+--(J167&gt;=10)+--(K167&gt;=10)+--(L167&gt;=10)+--(M167&gt;=10)+--(N167&gt;=10)+--(O167&gt;=10))</f>
        <v/>
      </c>
      <c r="BE167" s="5" t="str">
        <f aca="false">IF($B167="","",--(AND(F167&lt;&gt;"",F167&lt;=8))+--(AND(G167&lt;&gt;"",G167&lt;=8))+--(AND(H167&lt;&gt;"",H167&lt;=8))+--(AND(I167&lt;&gt;"",I167&lt;=8))+--(AND(J167&lt;&gt;"",J167&lt;=8))+--(AND(K167&lt;&gt;"",K167&lt;=8))+--(AND(L167&lt;&gt;"",L167&lt;=8))+--(AND(M167&lt;&gt;"",M167&lt;=8))+--(AND(N167&lt;&gt;"",N167&lt;=8))+--(AND(O167&lt;&gt;"",O167&lt;=8)))</f>
        <v/>
      </c>
    </row>
    <row r="168" customFormat="false" ht="15" hidden="false" customHeight="false" outlineLevel="0" collapsed="false">
      <c r="AZ168" s="5" t="str">
        <f aca="false">IF($B168="","",SUMPRODUCT(($AL168:$AO168&lt;&gt;"")*(COUNTIF($AP168:$AX168,$AL168:$AO168)&gt;0)))</f>
        <v/>
      </c>
      <c r="BA168" s="5" t="str">
        <f aca="false">IF($B168="","",IF(AZ168&gt;0,1,0))</f>
        <v/>
      </c>
      <c r="BB168" s="5" t="str">
        <f aca="false">IF($AP168="","",IF((($AP168="Engineering and Technology")+($AP168="Science and Mathematics")+($AP168="Computer Science, IT and Allied Fields")+($AP168="Life Sciences /Medicine and Healthcare")+($AP168="Paramedical")+($AP168="Architecture")+($AP168="Environmental Service")+($AP168="Agriculture, Food Industry and Forestry"))&gt;0,"Science",IF((($AP168="Banking and Finance")+($AP168="Management and Administration")+($AP168="Marketing")+($AP168="Sales")+($AP168="Entrepreneurship")+($AP168="Hospitality and Tourism"))&gt;0,"Commerce",IF((($AP168="Social Sciences and Humanities")+($AP168="Law Studies")+($AP168="Education and Training")+($AP168="Art, Design")+($AP168="Entertainment and Mass Media")+($AP168="Community and Social Service")+($AP168="Personal Care and Services")+($AP168="Government and Public Administration")+($AP168="Defence/ Protective Service")+($AP168="Sports"))&gt;0,"Arts / Humanities",""))))</f>
        <v/>
      </c>
      <c r="BC168" s="5" t="str">
        <f aca="false">IF($AL168="","",IF((($AL168="Engineering and Technology")+($AL168="Science and Mathematics")+($AL168="Computer Science, IT and Allied Fields")+($AL168="Life Sciences /Medicine and Healthcare")+($AL168="Paramedical")+($AL168="Architecture")+($AL168="Environmental Service")+($AL168="Agriculture, Food Industry and Forestry"))&gt;0,"Science",IF((($AL168="Banking and Finance")+($AL168="Management and Administration")+($AL168="Marketing")+($AL168="Sales")+($AL168="Entrepreneurship")+($AL168="Hospitality and Tourism"))&gt;0,"Commerce",IF((($AL168="Social Sciences and Humanities")+($AL168="Law Studies")+($AL168="Education and Training")+($AL168="Art, Design")+($AL168="Entertainment and Mass Media")+($AL168="Community and Social Service")+($AL168="Personal Care and Services")+($AL168="Government and Public Administration")+($AL168="Defence/ Protective Service")+($AL168="Sports"))&gt;0,"Arts / Humanities",""))))</f>
        <v/>
      </c>
      <c r="BD168" s="5" t="str">
        <f aca="false">IF($B168="","",--(F168&gt;=10)+--(G168&gt;=10)+--(H168&gt;=10)+--(I168&gt;=10)+--(J168&gt;=10)+--(K168&gt;=10)+--(L168&gt;=10)+--(M168&gt;=10)+--(N168&gt;=10)+--(O168&gt;=10))</f>
        <v/>
      </c>
      <c r="BE168" s="5" t="str">
        <f aca="false">IF($B168="","",--(AND(F168&lt;&gt;"",F168&lt;=8))+--(AND(G168&lt;&gt;"",G168&lt;=8))+--(AND(H168&lt;&gt;"",H168&lt;=8))+--(AND(I168&lt;&gt;"",I168&lt;=8))+--(AND(J168&lt;&gt;"",J168&lt;=8))+--(AND(K168&lt;&gt;"",K168&lt;=8))+--(AND(L168&lt;&gt;"",L168&lt;=8))+--(AND(M168&lt;&gt;"",M168&lt;=8))+--(AND(N168&lt;&gt;"",N168&lt;=8))+--(AND(O168&lt;&gt;"",O168&lt;=8)))</f>
        <v/>
      </c>
    </row>
    <row r="169" customFormat="false" ht="15" hidden="false" customHeight="false" outlineLevel="0" collapsed="false">
      <c r="AZ169" s="5" t="str">
        <f aca="false">IF($B169="","",SUMPRODUCT(($AL169:$AO169&lt;&gt;"")*(COUNTIF($AP169:$AX169,$AL169:$AO169)&gt;0)))</f>
        <v/>
      </c>
      <c r="BA169" s="5" t="str">
        <f aca="false">IF($B169="","",IF(AZ169&gt;0,1,0))</f>
        <v/>
      </c>
      <c r="BB169" s="5" t="str">
        <f aca="false">IF($AP169="","",IF((($AP169="Engineering and Technology")+($AP169="Science and Mathematics")+($AP169="Computer Science, IT and Allied Fields")+($AP169="Life Sciences /Medicine and Healthcare")+($AP169="Paramedical")+($AP169="Architecture")+($AP169="Environmental Service")+($AP169="Agriculture, Food Industry and Forestry"))&gt;0,"Science",IF((($AP169="Banking and Finance")+($AP169="Management and Administration")+($AP169="Marketing")+($AP169="Sales")+($AP169="Entrepreneurship")+($AP169="Hospitality and Tourism"))&gt;0,"Commerce",IF((($AP169="Social Sciences and Humanities")+($AP169="Law Studies")+($AP169="Education and Training")+($AP169="Art, Design")+($AP169="Entertainment and Mass Media")+($AP169="Community and Social Service")+($AP169="Personal Care and Services")+($AP169="Government and Public Administration")+($AP169="Defence/ Protective Service")+($AP169="Sports"))&gt;0,"Arts / Humanities",""))))</f>
        <v/>
      </c>
      <c r="BC169" s="5" t="str">
        <f aca="false">IF($AL169="","",IF((($AL169="Engineering and Technology")+($AL169="Science and Mathematics")+($AL169="Computer Science, IT and Allied Fields")+($AL169="Life Sciences /Medicine and Healthcare")+($AL169="Paramedical")+($AL169="Architecture")+($AL169="Environmental Service")+($AL169="Agriculture, Food Industry and Forestry"))&gt;0,"Science",IF((($AL169="Banking and Finance")+($AL169="Management and Administration")+($AL169="Marketing")+($AL169="Sales")+($AL169="Entrepreneurship")+($AL169="Hospitality and Tourism"))&gt;0,"Commerce",IF((($AL169="Social Sciences and Humanities")+($AL169="Law Studies")+($AL169="Education and Training")+($AL169="Art, Design")+($AL169="Entertainment and Mass Media")+($AL169="Community and Social Service")+($AL169="Personal Care and Services")+($AL169="Government and Public Administration")+($AL169="Defence/ Protective Service")+($AL169="Sports"))&gt;0,"Arts / Humanities",""))))</f>
        <v/>
      </c>
      <c r="BD169" s="5" t="str">
        <f aca="false">IF($B169="","",--(F169&gt;=10)+--(G169&gt;=10)+--(H169&gt;=10)+--(I169&gt;=10)+--(J169&gt;=10)+--(K169&gt;=10)+--(L169&gt;=10)+--(M169&gt;=10)+--(N169&gt;=10)+--(O169&gt;=10))</f>
        <v/>
      </c>
      <c r="BE169" s="5" t="str">
        <f aca="false">IF($B169="","",--(AND(F169&lt;&gt;"",F169&lt;=8))+--(AND(G169&lt;&gt;"",G169&lt;=8))+--(AND(H169&lt;&gt;"",H169&lt;=8))+--(AND(I169&lt;&gt;"",I169&lt;=8))+--(AND(J169&lt;&gt;"",J169&lt;=8))+--(AND(K169&lt;&gt;"",K169&lt;=8))+--(AND(L169&lt;&gt;"",L169&lt;=8))+--(AND(M169&lt;&gt;"",M169&lt;=8))+--(AND(N169&lt;&gt;"",N169&lt;=8))+--(AND(O169&lt;&gt;"",O169&lt;=8)))</f>
        <v/>
      </c>
    </row>
    <row r="170" customFormat="false" ht="15" hidden="false" customHeight="false" outlineLevel="0" collapsed="false">
      <c r="AZ170" s="5" t="str">
        <f aca="false">IF($B170="","",SUMPRODUCT(($AL170:$AO170&lt;&gt;"")*(COUNTIF($AP170:$AX170,$AL170:$AO170)&gt;0)))</f>
        <v/>
      </c>
      <c r="BA170" s="5" t="str">
        <f aca="false">IF($B170="","",IF(AZ170&gt;0,1,0))</f>
        <v/>
      </c>
      <c r="BB170" s="5" t="str">
        <f aca="false">IF($AP170="","",IF((($AP170="Engineering and Technology")+($AP170="Science and Mathematics")+($AP170="Computer Science, IT and Allied Fields")+($AP170="Life Sciences /Medicine and Healthcare")+($AP170="Paramedical")+($AP170="Architecture")+($AP170="Environmental Service")+($AP170="Agriculture, Food Industry and Forestry"))&gt;0,"Science",IF((($AP170="Banking and Finance")+($AP170="Management and Administration")+($AP170="Marketing")+($AP170="Sales")+($AP170="Entrepreneurship")+($AP170="Hospitality and Tourism"))&gt;0,"Commerce",IF((($AP170="Social Sciences and Humanities")+($AP170="Law Studies")+($AP170="Education and Training")+($AP170="Art, Design")+($AP170="Entertainment and Mass Media")+($AP170="Community and Social Service")+($AP170="Personal Care and Services")+($AP170="Government and Public Administration")+($AP170="Defence/ Protective Service")+($AP170="Sports"))&gt;0,"Arts / Humanities",""))))</f>
        <v/>
      </c>
      <c r="BC170" s="5" t="str">
        <f aca="false">IF($AL170="","",IF((($AL170="Engineering and Technology")+($AL170="Science and Mathematics")+($AL170="Computer Science, IT and Allied Fields")+($AL170="Life Sciences /Medicine and Healthcare")+($AL170="Paramedical")+($AL170="Architecture")+($AL170="Environmental Service")+($AL170="Agriculture, Food Industry and Forestry"))&gt;0,"Science",IF((($AL170="Banking and Finance")+($AL170="Management and Administration")+($AL170="Marketing")+($AL170="Sales")+($AL170="Entrepreneurship")+($AL170="Hospitality and Tourism"))&gt;0,"Commerce",IF((($AL170="Social Sciences and Humanities")+($AL170="Law Studies")+($AL170="Education and Training")+($AL170="Art, Design")+($AL170="Entertainment and Mass Media")+($AL170="Community and Social Service")+($AL170="Personal Care and Services")+($AL170="Government and Public Administration")+($AL170="Defence/ Protective Service")+($AL170="Sports"))&gt;0,"Arts / Humanities",""))))</f>
        <v/>
      </c>
      <c r="BD170" s="5" t="str">
        <f aca="false">IF($B170="","",--(F170&gt;=10)+--(G170&gt;=10)+--(H170&gt;=10)+--(I170&gt;=10)+--(J170&gt;=10)+--(K170&gt;=10)+--(L170&gt;=10)+--(M170&gt;=10)+--(N170&gt;=10)+--(O170&gt;=10))</f>
        <v/>
      </c>
      <c r="BE170" s="5" t="str">
        <f aca="false">IF($B170="","",--(AND(F170&lt;&gt;"",F170&lt;=8))+--(AND(G170&lt;&gt;"",G170&lt;=8))+--(AND(H170&lt;&gt;"",H170&lt;=8))+--(AND(I170&lt;&gt;"",I170&lt;=8))+--(AND(J170&lt;&gt;"",J170&lt;=8))+--(AND(K170&lt;&gt;"",K170&lt;=8))+--(AND(L170&lt;&gt;"",L170&lt;=8))+--(AND(M170&lt;&gt;"",M170&lt;=8))+--(AND(N170&lt;&gt;"",N170&lt;=8))+--(AND(O170&lt;&gt;"",O170&lt;=8)))</f>
        <v/>
      </c>
    </row>
    <row r="171" customFormat="false" ht="15" hidden="false" customHeight="false" outlineLevel="0" collapsed="false">
      <c r="AZ171" s="5" t="str">
        <f aca="false">IF($B171="","",SUMPRODUCT(($AL171:$AO171&lt;&gt;"")*(COUNTIF($AP171:$AX171,$AL171:$AO171)&gt;0)))</f>
        <v/>
      </c>
      <c r="BA171" s="5" t="str">
        <f aca="false">IF($B171="","",IF(AZ171&gt;0,1,0))</f>
        <v/>
      </c>
      <c r="BB171" s="5" t="str">
        <f aca="false">IF($AP171="","",IF((($AP171="Engineering and Technology")+($AP171="Science and Mathematics")+($AP171="Computer Science, IT and Allied Fields")+($AP171="Life Sciences /Medicine and Healthcare")+($AP171="Paramedical")+($AP171="Architecture")+($AP171="Environmental Service")+($AP171="Agriculture, Food Industry and Forestry"))&gt;0,"Science",IF((($AP171="Banking and Finance")+($AP171="Management and Administration")+($AP171="Marketing")+($AP171="Sales")+($AP171="Entrepreneurship")+($AP171="Hospitality and Tourism"))&gt;0,"Commerce",IF((($AP171="Social Sciences and Humanities")+($AP171="Law Studies")+($AP171="Education and Training")+($AP171="Art, Design")+($AP171="Entertainment and Mass Media")+($AP171="Community and Social Service")+($AP171="Personal Care and Services")+($AP171="Government and Public Administration")+($AP171="Defence/ Protective Service")+($AP171="Sports"))&gt;0,"Arts / Humanities",""))))</f>
        <v/>
      </c>
      <c r="BC171" s="5" t="str">
        <f aca="false">IF($AL171="","",IF((($AL171="Engineering and Technology")+($AL171="Science and Mathematics")+($AL171="Computer Science, IT and Allied Fields")+($AL171="Life Sciences /Medicine and Healthcare")+($AL171="Paramedical")+($AL171="Architecture")+($AL171="Environmental Service")+($AL171="Agriculture, Food Industry and Forestry"))&gt;0,"Science",IF((($AL171="Banking and Finance")+($AL171="Management and Administration")+($AL171="Marketing")+($AL171="Sales")+($AL171="Entrepreneurship")+($AL171="Hospitality and Tourism"))&gt;0,"Commerce",IF((($AL171="Social Sciences and Humanities")+($AL171="Law Studies")+($AL171="Education and Training")+($AL171="Art, Design")+($AL171="Entertainment and Mass Media")+($AL171="Community and Social Service")+($AL171="Personal Care and Services")+($AL171="Government and Public Administration")+($AL171="Defence/ Protective Service")+($AL171="Sports"))&gt;0,"Arts / Humanities",""))))</f>
        <v/>
      </c>
      <c r="BD171" s="5" t="str">
        <f aca="false">IF($B171="","",--(F171&gt;=10)+--(G171&gt;=10)+--(H171&gt;=10)+--(I171&gt;=10)+--(J171&gt;=10)+--(K171&gt;=10)+--(L171&gt;=10)+--(M171&gt;=10)+--(N171&gt;=10)+--(O171&gt;=10))</f>
        <v/>
      </c>
      <c r="BE171" s="5" t="str">
        <f aca="false">IF($B171="","",--(AND(F171&lt;&gt;"",F171&lt;=8))+--(AND(G171&lt;&gt;"",G171&lt;=8))+--(AND(H171&lt;&gt;"",H171&lt;=8))+--(AND(I171&lt;&gt;"",I171&lt;=8))+--(AND(J171&lt;&gt;"",J171&lt;=8))+--(AND(K171&lt;&gt;"",K171&lt;=8))+--(AND(L171&lt;&gt;"",L171&lt;=8))+--(AND(M171&lt;&gt;"",M171&lt;=8))+--(AND(N171&lt;&gt;"",N171&lt;=8))+--(AND(O171&lt;&gt;"",O171&lt;=8)))</f>
        <v/>
      </c>
    </row>
    <row r="172" customFormat="false" ht="15" hidden="false" customHeight="false" outlineLevel="0" collapsed="false">
      <c r="AZ172" s="5" t="str">
        <f aca="false">IF($B172="","",SUMPRODUCT(($AL172:$AO172&lt;&gt;"")*(COUNTIF($AP172:$AX172,$AL172:$AO172)&gt;0)))</f>
        <v/>
      </c>
      <c r="BA172" s="5" t="str">
        <f aca="false">IF($B172="","",IF(AZ172&gt;0,1,0))</f>
        <v/>
      </c>
      <c r="BB172" s="5" t="str">
        <f aca="false">IF($AP172="","",IF((($AP172="Engineering and Technology")+($AP172="Science and Mathematics")+($AP172="Computer Science, IT and Allied Fields")+($AP172="Life Sciences /Medicine and Healthcare")+($AP172="Paramedical")+($AP172="Architecture")+($AP172="Environmental Service")+($AP172="Agriculture, Food Industry and Forestry"))&gt;0,"Science",IF((($AP172="Banking and Finance")+($AP172="Management and Administration")+($AP172="Marketing")+($AP172="Sales")+($AP172="Entrepreneurship")+($AP172="Hospitality and Tourism"))&gt;0,"Commerce",IF((($AP172="Social Sciences and Humanities")+($AP172="Law Studies")+($AP172="Education and Training")+($AP172="Art, Design")+($AP172="Entertainment and Mass Media")+($AP172="Community and Social Service")+($AP172="Personal Care and Services")+($AP172="Government and Public Administration")+($AP172="Defence/ Protective Service")+($AP172="Sports"))&gt;0,"Arts / Humanities",""))))</f>
        <v/>
      </c>
      <c r="BC172" s="5" t="str">
        <f aca="false">IF($AL172="","",IF((($AL172="Engineering and Technology")+($AL172="Science and Mathematics")+($AL172="Computer Science, IT and Allied Fields")+($AL172="Life Sciences /Medicine and Healthcare")+($AL172="Paramedical")+($AL172="Architecture")+($AL172="Environmental Service")+($AL172="Agriculture, Food Industry and Forestry"))&gt;0,"Science",IF((($AL172="Banking and Finance")+($AL172="Management and Administration")+($AL172="Marketing")+($AL172="Sales")+($AL172="Entrepreneurship")+($AL172="Hospitality and Tourism"))&gt;0,"Commerce",IF((($AL172="Social Sciences and Humanities")+($AL172="Law Studies")+($AL172="Education and Training")+($AL172="Art, Design")+($AL172="Entertainment and Mass Media")+($AL172="Community and Social Service")+($AL172="Personal Care and Services")+($AL172="Government and Public Administration")+($AL172="Defence/ Protective Service")+($AL172="Sports"))&gt;0,"Arts / Humanities",""))))</f>
        <v/>
      </c>
      <c r="BD172" s="5" t="str">
        <f aca="false">IF($B172="","",--(F172&gt;=10)+--(G172&gt;=10)+--(H172&gt;=10)+--(I172&gt;=10)+--(J172&gt;=10)+--(K172&gt;=10)+--(L172&gt;=10)+--(M172&gt;=10)+--(N172&gt;=10)+--(O172&gt;=10))</f>
        <v/>
      </c>
      <c r="BE172" s="5" t="str">
        <f aca="false">IF($B172="","",--(AND(F172&lt;&gt;"",F172&lt;=8))+--(AND(G172&lt;&gt;"",G172&lt;=8))+--(AND(H172&lt;&gt;"",H172&lt;=8))+--(AND(I172&lt;&gt;"",I172&lt;=8))+--(AND(J172&lt;&gt;"",J172&lt;=8))+--(AND(K172&lt;&gt;"",K172&lt;=8))+--(AND(L172&lt;&gt;"",L172&lt;=8))+--(AND(M172&lt;&gt;"",M172&lt;=8))+--(AND(N172&lt;&gt;"",N172&lt;=8))+--(AND(O172&lt;&gt;"",O172&lt;=8)))</f>
        <v/>
      </c>
    </row>
    <row r="173" customFormat="false" ht="15" hidden="false" customHeight="false" outlineLevel="0" collapsed="false">
      <c r="AZ173" s="5" t="str">
        <f aca="false">IF($B173="","",SUMPRODUCT(($AL173:$AO173&lt;&gt;"")*(COUNTIF($AP173:$AX173,$AL173:$AO173)&gt;0)))</f>
        <v/>
      </c>
      <c r="BA173" s="5" t="str">
        <f aca="false">IF($B173="","",IF(AZ173&gt;0,1,0))</f>
        <v/>
      </c>
      <c r="BB173" s="5" t="str">
        <f aca="false">IF($AP173="","",IF((($AP173="Engineering and Technology")+($AP173="Science and Mathematics")+($AP173="Computer Science, IT and Allied Fields")+($AP173="Life Sciences /Medicine and Healthcare")+($AP173="Paramedical")+($AP173="Architecture")+($AP173="Environmental Service")+($AP173="Agriculture, Food Industry and Forestry"))&gt;0,"Science",IF((($AP173="Banking and Finance")+($AP173="Management and Administration")+($AP173="Marketing")+($AP173="Sales")+($AP173="Entrepreneurship")+($AP173="Hospitality and Tourism"))&gt;0,"Commerce",IF((($AP173="Social Sciences and Humanities")+($AP173="Law Studies")+($AP173="Education and Training")+($AP173="Art, Design")+($AP173="Entertainment and Mass Media")+($AP173="Community and Social Service")+($AP173="Personal Care and Services")+($AP173="Government and Public Administration")+($AP173="Defence/ Protective Service")+($AP173="Sports"))&gt;0,"Arts / Humanities",""))))</f>
        <v/>
      </c>
      <c r="BC173" s="5" t="str">
        <f aca="false">IF($AL173="","",IF((($AL173="Engineering and Technology")+($AL173="Science and Mathematics")+($AL173="Computer Science, IT and Allied Fields")+($AL173="Life Sciences /Medicine and Healthcare")+($AL173="Paramedical")+($AL173="Architecture")+($AL173="Environmental Service")+($AL173="Agriculture, Food Industry and Forestry"))&gt;0,"Science",IF((($AL173="Banking and Finance")+($AL173="Management and Administration")+($AL173="Marketing")+($AL173="Sales")+($AL173="Entrepreneurship")+($AL173="Hospitality and Tourism"))&gt;0,"Commerce",IF((($AL173="Social Sciences and Humanities")+($AL173="Law Studies")+($AL173="Education and Training")+($AL173="Art, Design")+($AL173="Entertainment and Mass Media")+($AL173="Community and Social Service")+($AL173="Personal Care and Services")+($AL173="Government and Public Administration")+($AL173="Defence/ Protective Service")+($AL173="Sports"))&gt;0,"Arts / Humanities",""))))</f>
        <v/>
      </c>
      <c r="BD173" s="5" t="str">
        <f aca="false">IF($B173="","",--(F173&gt;=10)+--(G173&gt;=10)+--(H173&gt;=10)+--(I173&gt;=10)+--(J173&gt;=10)+--(K173&gt;=10)+--(L173&gt;=10)+--(M173&gt;=10)+--(N173&gt;=10)+--(O173&gt;=10))</f>
        <v/>
      </c>
      <c r="BE173" s="5" t="str">
        <f aca="false">IF($B173="","",--(AND(F173&lt;&gt;"",F173&lt;=8))+--(AND(G173&lt;&gt;"",G173&lt;=8))+--(AND(H173&lt;&gt;"",H173&lt;=8))+--(AND(I173&lt;&gt;"",I173&lt;=8))+--(AND(J173&lt;&gt;"",J173&lt;=8))+--(AND(K173&lt;&gt;"",K173&lt;=8))+--(AND(L173&lt;&gt;"",L173&lt;=8))+--(AND(M173&lt;&gt;"",M173&lt;=8))+--(AND(N173&lt;&gt;"",N173&lt;=8))+--(AND(O173&lt;&gt;"",O173&lt;=8)))</f>
        <v/>
      </c>
    </row>
    <row r="174" customFormat="false" ht="15" hidden="false" customHeight="false" outlineLevel="0" collapsed="false">
      <c r="AZ174" s="5" t="str">
        <f aca="false">IF($B174="","",SUMPRODUCT(($AL174:$AO174&lt;&gt;"")*(COUNTIF($AP174:$AX174,$AL174:$AO174)&gt;0)))</f>
        <v/>
      </c>
      <c r="BA174" s="5" t="str">
        <f aca="false">IF($B174="","",IF(AZ174&gt;0,1,0))</f>
        <v/>
      </c>
      <c r="BB174" s="5" t="str">
        <f aca="false">IF($AP174="","",IF((($AP174="Engineering and Technology")+($AP174="Science and Mathematics")+($AP174="Computer Science, IT and Allied Fields")+($AP174="Life Sciences /Medicine and Healthcare")+($AP174="Paramedical")+($AP174="Architecture")+($AP174="Environmental Service")+($AP174="Agriculture, Food Industry and Forestry"))&gt;0,"Science",IF((($AP174="Banking and Finance")+($AP174="Management and Administration")+($AP174="Marketing")+($AP174="Sales")+($AP174="Entrepreneurship")+($AP174="Hospitality and Tourism"))&gt;0,"Commerce",IF((($AP174="Social Sciences and Humanities")+($AP174="Law Studies")+($AP174="Education and Training")+($AP174="Art, Design")+($AP174="Entertainment and Mass Media")+($AP174="Community and Social Service")+($AP174="Personal Care and Services")+($AP174="Government and Public Administration")+($AP174="Defence/ Protective Service")+($AP174="Sports"))&gt;0,"Arts / Humanities",""))))</f>
        <v/>
      </c>
      <c r="BC174" s="5" t="str">
        <f aca="false">IF($AL174="","",IF((($AL174="Engineering and Technology")+($AL174="Science and Mathematics")+($AL174="Computer Science, IT and Allied Fields")+($AL174="Life Sciences /Medicine and Healthcare")+($AL174="Paramedical")+($AL174="Architecture")+($AL174="Environmental Service")+($AL174="Agriculture, Food Industry and Forestry"))&gt;0,"Science",IF((($AL174="Banking and Finance")+($AL174="Management and Administration")+($AL174="Marketing")+($AL174="Sales")+($AL174="Entrepreneurship")+($AL174="Hospitality and Tourism"))&gt;0,"Commerce",IF((($AL174="Social Sciences and Humanities")+($AL174="Law Studies")+($AL174="Education and Training")+($AL174="Art, Design")+($AL174="Entertainment and Mass Media")+($AL174="Community and Social Service")+($AL174="Personal Care and Services")+($AL174="Government and Public Administration")+($AL174="Defence/ Protective Service")+($AL174="Sports"))&gt;0,"Arts / Humanities",""))))</f>
        <v/>
      </c>
      <c r="BD174" s="5" t="str">
        <f aca="false">IF($B174="","",--(F174&gt;=10)+--(G174&gt;=10)+--(H174&gt;=10)+--(I174&gt;=10)+--(J174&gt;=10)+--(K174&gt;=10)+--(L174&gt;=10)+--(M174&gt;=10)+--(N174&gt;=10)+--(O174&gt;=10))</f>
        <v/>
      </c>
      <c r="BE174" s="5" t="str">
        <f aca="false">IF($B174="","",--(AND(F174&lt;&gt;"",F174&lt;=8))+--(AND(G174&lt;&gt;"",G174&lt;=8))+--(AND(H174&lt;&gt;"",H174&lt;=8))+--(AND(I174&lt;&gt;"",I174&lt;=8))+--(AND(J174&lt;&gt;"",J174&lt;=8))+--(AND(K174&lt;&gt;"",K174&lt;=8))+--(AND(L174&lt;&gt;"",L174&lt;=8))+--(AND(M174&lt;&gt;"",M174&lt;=8))+--(AND(N174&lt;&gt;"",N174&lt;=8))+--(AND(O174&lt;&gt;"",O174&lt;=8)))</f>
        <v/>
      </c>
    </row>
    <row r="175" customFormat="false" ht="15" hidden="false" customHeight="false" outlineLevel="0" collapsed="false">
      <c r="AZ175" s="5" t="str">
        <f aca="false">IF($B175="","",SUMPRODUCT(($AL175:$AO175&lt;&gt;"")*(COUNTIF($AP175:$AX175,$AL175:$AO175)&gt;0)))</f>
        <v/>
      </c>
      <c r="BA175" s="5" t="str">
        <f aca="false">IF($B175="","",IF(AZ175&gt;0,1,0))</f>
        <v/>
      </c>
      <c r="BB175" s="5" t="str">
        <f aca="false">IF($AP175="","",IF((($AP175="Engineering and Technology")+($AP175="Science and Mathematics")+($AP175="Computer Science, IT and Allied Fields")+($AP175="Life Sciences /Medicine and Healthcare")+($AP175="Paramedical")+($AP175="Architecture")+($AP175="Environmental Service")+($AP175="Agriculture, Food Industry and Forestry"))&gt;0,"Science",IF((($AP175="Banking and Finance")+($AP175="Management and Administration")+($AP175="Marketing")+($AP175="Sales")+($AP175="Entrepreneurship")+($AP175="Hospitality and Tourism"))&gt;0,"Commerce",IF((($AP175="Social Sciences and Humanities")+($AP175="Law Studies")+($AP175="Education and Training")+($AP175="Art, Design")+($AP175="Entertainment and Mass Media")+($AP175="Community and Social Service")+($AP175="Personal Care and Services")+($AP175="Government and Public Administration")+($AP175="Defence/ Protective Service")+($AP175="Sports"))&gt;0,"Arts / Humanities",""))))</f>
        <v/>
      </c>
      <c r="BC175" s="5" t="str">
        <f aca="false">IF($AL175="","",IF((($AL175="Engineering and Technology")+($AL175="Science and Mathematics")+($AL175="Computer Science, IT and Allied Fields")+($AL175="Life Sciences /Medicine and Healthcare")+($AL175="Paramedical")+($AL175="Architecture")+($AL175="Environmental Service")+($AL175="Agriculture, Food Industry and Forestry"))&gt;0,"Science",IF((($AL175="Banking and Finance")+($AL175="Management and Administration")+($AL175="Marketing")+($AL175="Sales")+($AL175="Entrepreneurship")+($AL175="Hospitality and Tourism"))&gt;0,"Commerce",IF((($AL175="Social Sciences and Humanities")+($AL175="Law Studies")+($AL175="Education and Training")+($AL175="Art, Design")+($AL175="Entertainment and Mass Media")+($AL175="Community and Social Service")+($AL175="Personal Care and Services")+($AL175="Government and Public Administration")+($AL175="Defence/ Protective Service")+($AL175="Sports"))&gt;0,"Arts / Humanities",""))))</f>
        <v/>
      </c>
      <c r="BD175" s="5" t="str">
        <f aca="false">IF($B175="","",--(F175&gt;=10)+--(G175&gt;=10)+--(H175&gt;=10)+--(I175&gt;=10)+--(J175&gt;=10)+--(K175&gt;=10)+--(L175&gt;=10)+--(M175&gt;=10)+--(N175&gt;=10)+--(O175&gt;=10))</f>
        <v/>
      </c>
      <c r="BE175" s="5" t="str">
        <f aca="false">IF($B175="","",--(AND(F175&lt;&gt;"",F175&lt;=8))+--(AND(G175&lt;&gt;"",G175&lt;=8))+--(AND(H175&lt;&gt;"",H175&lt;=8))+--(AND(I175&lt;&gt;"",I175&lt;=8))+--(AND(J175&lt;&gt;"",J175&lt;=8))+--(AND(K175&lt;&gt;"",K175&lt;=8))+--(AND(L175&lt;&gt;"",L175&lt;=8))+--(AND(M175&lt;&gt;"",M175&lt;=8))+--(AND(N175&lt;&gt;"",N175&lt;=8))+--(AND(O175&lt;&gt;"",O175&lt;=8)))</f>
        <v/>
      </c>
    </row>
    <row r="176" customFormat="false" ht="15" hidden="false" customHeight="false" outlineLevel="0" collapsed="false">
      <c r="AZ176" s="5" t="str">
        <f aca="false">IF($B176="","",SUMPRODUCT(($AL176:$AO176&lt;&gt;"")*(COUNTIF($AP176:$AX176,$AL176:$AO176)&gt;0)))</f>
        <v/>
      </c>
      <c r="BA176" s="5" t="str">
        <f aca="false">IF($B176="","",IF(AZ176&gt;0,1,0))</f>
        <v/>
      </c>
      <c r="BB176" s="5" t="str">
        <f aca="false">IF($AP176="","",IF((($AP176="Engineering and Technology")+($AP176="Science and Mathematics")+($AP176="Computer Science, IT and Allied Fields")+($AP176="Life Sciences /Medicine and Healthcare")+($AP176="Paramedical")+($AP176="Architecture")+($AP176="Environmental Service")+($AP176="Agriculture, Food Industry and Forestry"))&gt;0,"Science",IF((($AP176="Banking and Finance")+($AP176="Management and Administration")+($AP176="Marketing")+($AP176="Sales")+($AP176="Entrepreneurship")+($AP176="Hospitality and Tourism"))&gt;0,"Commerce",IF((($AP176="Social Sciences and Humanities")+($AP176="Law Studies")+($AP176="Education and Training")+($AP176="Art, Design")+($AP176="Entertainment and Mass Media")+($AP176="Community and Social Service")+($AP176="Personal Care and Services")+($AP176="Government and Public Administration")+($AP176="Defence/ Protective Service")+($AP176="Sports"))&gt;0,"Arts / Humanities",""))))</f>
        <v/>
      </c>
      <c r="BC176" s="5" t="str">
        <f aca="false">IF($AL176="","",IF((($AL176="Engineering and Technology")+($AL176="Science and Mathematics")+($AL176="Computer Science, IT and Allied Fields")+($AL176="Life Sciences /Medicine and Healthcare")+($AL176="Paramedical")+($AL176="Architecture")+($AL176="Environmental Service")+($AL176="Agriculture, Food Industry and Forestry"))&gt;0,"Science",IF((($AL176="Banking and Finance")+($AL176="Management and Administration")+($AL176="Marketing")+($AL176="Sales")+($AL176="Entrepreneurship")+($AL176="Hospitality and Tourism"))&gt;0,"Commerce",IF((($AL176="Social Sciences and Humanities")+($AL176="Law Studies")+($AL176="Education and Training")+($AL176="Art, Design")+($AL176="Entertainment and Mass Media")+($AL176="Community and Social Service")+($AL176="Personal Care and Services")+($AL176="Government and Public Administration")+($AL176="Defence/ Protective Service")+($AL176="Sports"))&gt;0,"Arts / Humanities",""))))</f>
        <v/>
      </c>
      <c r="BD176" s="5" t="str">
        <f aca="false">IF($B176="","",--(F176&gt;=10)+--(G176&gt;=10)+--(H176&gt;=10)+--(I176&gt;=10)+--(J176&gt;=10)+--(K176&gt;=10)+--(L176&gt;=10)+--(M176&gt;=10)+--(N176&gt;=10)+--(O176&gt;=10))</f>
        <v/>
      </c>
      <c r="BE176" s="5" t="str">
        <f aca="false">IF($B176="","",--(AND(F176&lt;&gt;"",F176&lt;=8))+--(AND(G176&lt;&gt;"",G176&lt;=8))+--(AND(H176&lt;&gt;"",H176&lt;=8))+--(AND(I176&lt;&gt;"",I176&lt;=8))+--(AND(J176&lt;&gt;"",J176&lt;=8))+--(AND(K176&lt;&gt;"",K176&lt;=8))+--(AND(L176&lt;&gt;"",L176&lt;=8))+--(AND(M176&lt;&gt;"",M176&lt;=8))+--(AND(N176&lt;&gt;"",N176&lt;=8))+--(AND(O176&lt;&gt;"",O176&lt;=8)))</f>
        <v/>
      </c>
    </row>
    <row r="177" customFormat="false" ht="15" hidden="false" customHeight="false" outlineLevel="0" collapsed="false">
      <c r="AZ177" s="5" t="str">
        <f aca="false">IF($B177="","",SUMPRODUCT(($AL177:$AO177&lt;&gt;"")*(COUNTIF($AP177:$AX177,$AL177:$AO177)&gt;0)))</f>
        <v/>
      </c>
      <c r="BA177" s="5" t="str">
        <f aca="false">IF($B177="","",IF(AZ177&gt;0,1,0))</f>
        <v/>
      </c>
      <c r="BB177" s="5" t="str">
        <f aca="false">IF($AP177="","",IF((($AP177="Engineering and Technology")+($AP177="Science and Mathematics")+($AP177="Computer Science, IT and Allied Fields")+($AP177="Life Sciences /Medicine and Healthcare")+($AP177="Paramedical")+($AP177="Architecture")+($AP177="Environmental Service")+($AP177="Agriculture, Food Industry and Forestry"))&gt;0,"Science",IF((($AP177="Banking and Finance")+($AP177="Management and Administration")+($AP177="Marketing")+($AP177="Sales")+($AP177="Entrepreneurship")+($AP177="Hospitality and Tourism"))&gt;0,"Commerce",IF((($AP177="Social Sciences and Humanities")+($AP177="Law Studies")+($AP177="Education and Training")+($AP177="Art, Design")+($AP177="Entertainment and Mass Media")+($AP177="Community and Social Service")+($AP177="Personal Care and Services")+($AP177="Government and Public Administration")+($AP177="Defence/ Protective Service")+($AP177="Sports"))&gt;0,"Arts / Humanities",""))))</f>
        <v/>
      </c>
      <c r="BC177" s="5" t="str">
        <f aca="false">IF($AL177="","",IF((($AL177="Engineering and Technology")+($AL177="Science and Mathematics")+($AL177="Computer Science, IT and Allied Fields")+($AL177="Life Sciences /Medicine and Healthcare")+($AL177="Paramedical")+($AL177="Architecture")+($AL177="Environmental Service")+($AL177="Agriculture, Food Industry and Forestry"))&gt;0,"Science",IF((($AL177="Banking and Finance")+($AL177="Management and Administration")+($AL177="Marketing")+($AL177="Sales")+($AL177="Entrepreneurship")+($AL177="Hospitality and Tourism"))&gt;0,"Commerce",IF((($AL177="Social Sciences and Humanities")+($AL177="Law Studies")+($AL177="Education and Training")+($AL177="Art, Design")+($AL177="Entertainment and Mass Media")+($AL177="Community and Social Service")+($AL177="Personal Care and Services")+($AL177="Government and Public Administration")+($AL177="Defence/ Protective Service")+($AL177="Sports"))&gt;0,"Arts / Humanities",""))))</f>
        <v/>
      </c>
      <c r="BD177" s="5" t="str">
        <f aca="false">IF($B177="","",--(F177&gt;=10)+--(G177&gt;=10)+--(H177&gt;=10)+--(I177&gt;=10)+--(J177&gt;=10)+--(K177&gt;=10)+--(L177&gt;=10)+--(M177&gt;=10)+--(N177&gt;=10)+--(O177&gt;=10))</f>
        <v/>
      </c>
      <c r="BE177" s="5" t="str">
        <f aca="false">IF($B177="","",--(AND(F177&lt;&gt;"",F177&lt;=8))+--(AND(G177&lt;&gt;"",G177&lt;=8))+--(AND(H177&lt;&gt;"",H177&lt;=8))+--(AND(I177&lt;&gt;"",I177&lt;=8))+--(AND(J177&lt;&gt;"",J177&lt;=8))+--(AND(K177&lt;&gt;"",K177&lt;=8))+--(AND(L177&lt;&gt;"",L177&lt;=8))+--(AND(M177&lt;&gt;"",M177&lt;=8))+--(AND(N177&lt;&gt;"",N177&lt;=8))+--(AND(O177&lt;&gt;"",O177&lt;=8)))</f>
        <v/>
      </c>
    </row>
    <row r="178" customFormat="false" ht="15" hidden="false" customHeight="false" outlineLevel="0" collapsed="false">
      <c r="AZ178" s="5" t="str">
        <f aca="false">IF($B178="","",SUMPRODUCT(($AL178:$AO178&lt;&gt;"")*(COUNTIF($AP178:$AX178,$AL178:$AO178)&gt;0)))</f>
        <v/>
      </c>
      <c r="BA178" s="5" t="str">
        <f aca="false">IF($B178="","",IF(AZ178&gt;0,1,0))</f>
        <v/>
      </c>
      <c r="BB178" s="5" t="str">
        <f aca="false">IF($AP178="","",IF((($AP178="Engineering and Technology")+($AP178="Science and Mathematics")+($AP178="Computer Science, IT and Allied Fields")+($AP178="Life Sciences /Medicine and Healthcare")+($AP178="Paramedical")+($AP178="Architecture")+($AP178="Environmental Service")+($AP178="Agriculture, Food Industry and Forestry"))&gt;0,"Science",IF((($AP178="Banking and Finance")+($AP178="Management and Administration")+($AP178="Marketing")+($AP178="Sales")+($AP178="Entrepreneurship")+($AP178="Hospitality and Tourism"))&gt;0,"Commerce",IF((($AP178="Social Sciences and Humanities")+($AP178="Law Studies")+($AP178="Education and Training")+($AP178="Art, Design")+($AP178="Entertainment and Mass Media")+($AP178="Community and Social Service")+($AP178="Personal Care and Services")+($AP178="Government and Public Administration")+($AP178="Defence/ Protective Service")+($AP178="Sports"))&gt;0,"Arts / Humanities",""))))</f>
        <v/>
      </c>
      <c r="BC178" s="5" t="str">
        <f aca="false">IF($AL178="","",IF((($AL178="Engineering and Technology")+($AL178="Science and Mathematics")+($AL178="Computer Science, IT and Allied Fields")+($AL178="Life Sciences /Medicine and Healthcare")+($AL178="Paramedical")+($AL178="Architecture")+($AL178="Environmental Service")+($AL178="Agriculture, Food Industry and Forestry"))&gt;0,"Science",IF((($AL178="Banking and Finance")+($AL178="Management and Administration")+($AL178="Marketing")+($AL178="Sales")+($AL178="Entrepreneurship")+($AL178="Hospitality and Tourism"))&gt;0,"Commerce",IF((($AL178="Social Sciences and Humanities")+($AL178="Law Studies")+($AL178="Education and Training")+($AL178="Art, Design")+($AL178="Entertainment and Mass Media")+($AL178="Community and Social Service")+($AL178="Personal Care and Services")+($AL178="Government and Public Administration")+($AL178="Defence/ Protective Service")+($AL178="Sports"))&gt;0,"Arts / Humanities",""))))</f>
        <v/>
      </c>
      <c r="BD178" s="5" t="str">
        <f aca="false">IF($B178="","",--(F178&gt;=10)+--(G178&gt;=10)+--(H178&gt;=10)+--(I178&gt;=10)+--(J178&gt;=10)+--(K178&gt;=10)+--(L178&gt;=10)+--(M178&gt;=10)+--(N178&gt;=10)+--(O178&gt;=10))</f>
        <v/>
      </c>
      <c r="BE178" s="5" t="str">
        <f aca="false">IF($B178="","",--(AND(F178&lt;&gt;"",F178&lt;=8))+--(AND(G178&lt;&gt;"",G178&lt;=8))+--(AND(H178&lt;&gt;"",H178&lt;=8))+--(AND(I178&lt;&gt;"",I178&lt;=8))+--(AND(J178&lt;&gt;"",J178&lt;=8))+--(AND(K178&lt;&gt;"",K178&lt;=8))+--(AND(L178&lt;&gt;"",L178&lt;=8))+--(AND(M178&lt;&gt;"",M178&lt;=8))+--(AND(N178&lt;&gt;"",N178&lt;=8))+--(AND(O178&lt;&gt;"",O178&lt;=8)))</f>
        <v/>
      </c>
    </row>
    <row r="179" customFormat="false" ht="15" hidden="false" customHeight="false" outlineLevel="0" collapsed="false">
      <c r="AZ179" s="5" t="str">
        <f aca="false">IF($B179="","",SUMPRODUCT(($AL179:$AO179&lt;&gt;"")*(COUNTIF($AP179:$AX179,$AL179:$AO179)&gt;0)))</f>
        <v/>
      </c>
      <c r="BA179" s="5" t="str">
        <f aca="false">IF($B179="","",IF(AZ179&gt;0,1,0))</f>
        <v/>
      </c>
      <c r="BB179" s="5" t="str">
        <f aca="false">IF($AP179="","",IF((($AP179="Engineering and Technology")+($AP179="Science and Mathematics")+($AP179="Computer Science, IT and Allied Fields")+($AP179="Life Sciences /Medicine and Healthcare")+($AP179="Paramedical")+($AP179="Architecture")+($AP179="Environmental Service")+($AP179="Agriculture, Food Industry and Forestry"))&gt;0,"Science",IF((($AP179="Banking and Finance")+($AP179="Management and Administration")+($AP179="Marketing")+($AP179="Sales")+($AP179="Entrepreneurship")+($AP179="Hospitality and Tourism"))&gt;0,"Commerce",IF((($AP179="Social Sciences and Humanities")+($AP179="Law Studies")+($AP179="Education and Training")+($AP179="Art, Design")+($AP179="Entertainment and Mass Media")+($AP179="Community and Social Service")+($AP179="Personal Care and Services")+($AP179="Government and Public Administration")+($AP179="Defence/ Protective Service")+($AP179="Sports"))&gt;0,"Arts / Humanities",""))))</f>
        <v/>
      </c>
      <c r="BC179" s="5" t="str">
        <f aca="false">IF($AL179="","",IF((($AL179="Engineering and Technology")+($AL179="Science and Mathematics")+($AL179="Computer Science, IT and Allied Fields")+($AL179="Life Sciences /Medicine and Healthcare")+($AL179="Paramedical")+($AL179="Architecture")+($AL179="Environmental Service")+($AL179="Agriculture, Food Industry and Forestry"))&gt;0,"Science",IF((($AL179="Banking and Finance")+($AL179="Management and Administration")+($AL179="Marketing")+($AL179="Sales")+($AL179="Entrepreneurship")+($AL179="Hospitality and Tourism"))&gt;0,"Commerce",IF((($AL179="Social Sciences and Humanities")+($AL179="Law Studies")+($AL179="Education and Training")+($AL179="Art, Design")+($AL179="Entertainment and Mass Media")+($AL179="Community and Social Service")+($AL179="Personal Care and Services")+($AL179="Government and Public Administration")+($AL179="Defence/ Protective Service")+($AL179="Sports"))&gt;0,"Arts / Humanities",""))))</f>
        <v/>
      </c>
      <c r="BD179" s="5" t="str">
        <f aca="false">IF($B179="","",--(F179&gt;=10)+--(G179&gt;=10)+--(H179&gt;=10)+--(I179&gt;=10)+--(J179&gt;=10)+--(K179&gt;=10)+--(L179&gt;=10)+--(M179&gt;=10)+--(N179&gt;=10)+--(O179&gt;=10))</f>
        <v/>
      </c>
      <c r="BE179" s="5" t="str">
        <f aca="false">IF($B179="","",--(AND(F179&lt;&gt;"",F179&lt;=8))+--(AND(G179&lt;&gt;"",G179&lt;=8))+--(AND(H179&lt;&gt;"",H179&lt;=8))+--(AND(I179&lt;&gt;"",I179&lt;=8))+--(AND(J179&lt;&gt;"",J179&lt;=8))+--(AND(K179&lt;&gt;"",K179&lt;=8))+--(AND(L179&lt;&gt;"",L179&lt;=8))+--(AND(M179&lt;&gt;"",M179&lt;=8))+--(AND(N179&lt;&gt;"",N179&lt;=8))+--(AND(O179&lt;&gt;"",O179&lt;=8)))</f>
        <v/>
      </c>
    </row>
    <row r="180" customFormat="false" ht="15" hidden="false" customHeight="false" outlineLevel="0" collapsed="false">
      <c r="AZ180" s="5" t="str">
        <f aca="false">IF($B180="","",SUMPRODUCT(($AL180:$AO180&lt;&gt;"")*(COUNTIF($AP180:$AX180,$AL180:$AO180)&gt;0)))</f>
        <v/>
      </c>
      <c r="BA180" s="5" t="str">
        <f aca="false">IF($B180="","",IF(AZ180&gt;0,1,0))</f>
        <v/>
      </c>
      <c r="BB180" s="5" t="str">
        <f aca="false">IF($AP180="","",IF((($AP180="Engineering and Technology")+($AP180="Science and Mathematics")+($AP180="Computer Science, IT and Allied Fields")+($AP180="Life Sciences /Medicine and Healthcare")+($AP180="Paramedical")+($AP180="Architecture")+($AP180="Environmental Service")+($AP180="Agriculture, Food Industry and Forestry"))&gt;0,"Science",IF((($AP180="Banking and Finance")+($AP180="Management and Administration")+($AP180="Marketing")+($AP180="Sales")+($AP180="Entrepreneurship")+($AP180="Hospitality and Tourism"))&gt;0,"Commerce",IF((($AP180="Social Sciences and Humanities")+($AP180="Law Studies")+($AP180="Education and Training")+($AP180="Art, Design")+($AP180="Entertainment and Mass Media")+($AP180="Community and Social Service")+($AP180="Personal Care and Services")+($AP180="Government and Public Administration")+($AP180="Defence/ Protective Service")+($AP180="Sports"))&gt;0,"Arts / Humanities",""))))</f>
        <v/>
      </c>
      <c r="BC180" s="5" t="str">
        <f aca="false">IF($AL180="","",IF((($AL180="Engineering and Technology")+($AL180="Science and Mathematics")+($AL180="Computer Science, IT and Allied Fields")+($AL180="Life Sciences /Medicine and Healthcare")+($AL180="Paramedical")+($AL180="Architecture")+($AL180="Environmental Service")+($AL180="Agriculture, Food Industry and Forestry"))&gt;0,"Science",IF((($AL180="Banking and Finance")+($AL180="Management and Administration")+($AL180="Marketing")+($AL180="Sales")+($AL180="Entrepreneurship")+($AL180="Hospitality and Tourism"))&gt;0,"Commerce",IF((($AL180="Social Sciences and Humanities")+($AL180="Law Studies")+($AL180="Education and Training")+($AL180="Art, Design")+($AL180="Entertainment and Mass Media")+($AL180="Community and Social Service")+($AL180="Personal Care and Services")+($AL180="Government and Public Administration")+($AL180="Defence/ Protective Service")+($AL180="Sports"))&gt;0,"Arts / Humanities",""))))</f>
        <v/>
      </c>
      <c r="BD180" s="5" t="str">
        <f aca="false">IF($B180="","",--(F180&gt;=10)+--(G180&gt;=10)+--(H180&gt;=10)+--(I180&gt;=10)+--(J180&gt;=10)+--(K180&gt;=10)+--(L180&gt;=10)+--(M180&gt;=10)+--(N180&gt;=10)+--(O180&gt;=10))</f>
        <v/>
      </c>
      <c r="BE180" s="5" t="str">
        <f aca="false">IF($B180="","",--(AND(F180&lt;&gt;"",F180&lt;=8))+--(AND(G180&lt;&gt;"",G180&lt;=8))+--(AND(H180&lt;&gt;"",H180&lt;=8))+--(AND(I180&lt;&gt;"",I180&lt;=8))+--(AND(J180&lt;&gt;"",J180&lt;=8))+--(AND(K180&lt;&gt;"",K180&lt;=8))+--(AND(L180&lt;&gt;"",L180&lt;=8))+--(AND(M180&lt;&gt;"",M180&lt;=8))+--(AND(N180&lt;&gt;"",N180&lt;=8))+--(AND(O180&lt;&gt;"",O180&lt;=8)))</f>
        <v/>
      </c>
    </row>
    <row r="181" customFormat="false" ht="15" hidden="false" customHeight="false" outlineLevel="0" collapsed="false">
      <c r="AZ181" s="5" t="str">
        <f aca="false">IF($B181="","",SUMPRODUCT(($AL181:$AO181&lt;&gt;"")*(COUNTIF($AP181:$AX181,$AL181:$AO181)&gt;0)))</f>
        <v/>
      </c>
      <c r="BA181" s="5" t="str">
        <f aca="false">IF($B181="","",IF(AZ181&gt;0,1,0))</f>
        <v/>
      </c>
      <c r="BB181" s="5" t="str">
        <f aca="false">IF($AP181="","",IF((($AP181="Engineering and Technology")+($AP181="Science and Mathematics")+($AP181="Computer Science, IT and Allied Fields")+($AP181="Life Sciences /Medicine and Healthcare")+($AP181="Paramedical")+($AP181="Architecture")+($AP181="Environmental Service")+($AP181="Agriculture, Food Industry and Forestry"))&gt;0,"Science",IF((($AP181="Banking and Finance")+($AP181="Management and Administration")+($AP181="Marketing")+($AP181="Sales")+($AP181="Entrepreneurship")+($AP181="Hospitality and Tourism"))&gt;0,"Commerce",IF((($AP181="Social Sciences and Humanities")+($AP181="Law Studies")+($AP181="Education and Training")+($AP181="Art, Design")+($AP181="Entertainment and Mass Media")+($AP181="Community and Social Service")+($AP181="Personal Care and Services")+($AP181="Government and Public Administration")+($AP181="Defence/ Protective Service")+($AP181="Sports"))&gt;0,"Arts / Humanities",""))))</f>
        <v/>
      </c>
      <c r="BC181" s="5" t="str">
        <f aca="false">IF($AL181="","",IF((($AL181="Engineering and Technology")+($AL181="Science and Mathematics")+($AL181="Computer Science, IT and Allied Fields")+($AL181="Life Sciences /Medicine and Healthcare")+($AL181="Paramedical")+($AL181="Architecture")+($AL181="Environmental Service")+($AL181="Agriculture, Food Industry and Forestry"))&gt;0,"Science",IF((($AL181="Banking and Finance")+($AL181="Management and Administration")+($AL181="Marketing")+($AL181="Sales")+($AL181="Entrepreneurship")+($AL181="Hospitality and Tourism"))&gt;0,"Commerce",IF((($AL181="Social Sciences and Humanities")+($AL181="Law Studies")+($AL181="Education and Training")+($AL181="Art, Design")+($AL181="Entertainment and Mass Media")+($AL181="Community and Social Service")+($AL181="Personal Care and Services")+($AL181="Government and Public Administration")+($AL181="Defence/ Protective Service")+($AL181="Sports"))&gt;0,"Arts / Humanities",""))))</f>
        <v/>
      </c>
      <c r="BD181" s="5" t="str">
        <f aca="false">IF($B181="","",--(F181&gt;=10)+--(G181&gt;=10)+--(H181&gt;=10)+--(I181&gt;=10)+--(J181&gt;=10)+--(K181&gt;=10)+--(L181&gt;=10)+--(M181&gt;=10)+--(N181&gt;=10)+--(O181&gt;=10))</f>
        <v/>
      </c>
      <c r="BE181" s="5" t="str">
        <f aca="false">IF($B181="","",--(AND(F181&lt;&gt;"",F181&lt;=8))+--(AND(G181&lt;&gt;"",G181&lt;=8))+--(AND(H181&lt;&gt;"",H181&lt;=8))+--(AND(I181&lt;&gt;"",I181&lt;=8))+--(AND(J181&lt;&gt;"",J181&lt;=8))+--(AND(K181&lt;&gt;"",K181&lt;=8))+--(AND(L181&lt;&gt;"",L181&lt;=8))+--(AND(M181&lt;&gt;"",M181&lt;=8))+--(AND(N181&lt;&gt;"",N181&lt;=8))+--(AND(O181&lt;&gt;"",O181&lt;=8)))</f>
        <v/>
      </c>
    </row>
    <row r="182" customFormat="false" ht="15" hidden="false" customHeight="false" outlineLevel="0" collapsed="false">
      <c r="AZ182" s="5" t="str">
        <f aca="false">IF($B182="","",SUMPRODUCT(($AL182:$AO182&lt;&gt;"")*(COUNTIF($AP182:$AX182,$AL182:$AO182)&gt;0)))</f>
        <v/>
      </c>
      <c r="BA182" s="5" t="str">
        <f aca="false">IF($B182="","",IF(AZ182&gt;0,1,0))</f>
        <v/>
      </c>
      <c r="BB182" s="5" t="str">
        <f aca="false">IF($AP182="","",IF((($AP182="Engineering and Technology")+($AP182="Science and Mathematics")+($AP182="Computer Science, IT and Allied Fields")+($AP182="Life Sciences /Medicine and Healthcare")+($AP182="Paramedical")+($AP182="Architecture")+($AP182="Environmental Service")+($AP182="Agriculture, Food Industry and Forestry"))&gt;0,"Science",IF((($AP182="Banking and Finance")+($AP182="Management and Administration")+($AP182="Marketing")+($AP182="Sales")+($AP182="Entrepreneurship")+($AP182="Hospitality and Tourism"))&gt;0,"Commerce",IF((($AP182="Social Sciences and Humanities")+($AP182="Law Studies")+($AP182="Education and Training")+($AP182="Art, Design")+($AP182="Entertainment and Mass Media")+($AP182="Community and Social Service")+($AP182="Personal Care and Services")+($AP182="Government and Public Administration")+($AP182="Defence/ Protective Service")+($AP182="Sports"))&gt;0,"Arts / Humanities",""))))</f>
        <v/>
      </c>
      <c r="BC182" s="5" t="str">
        <f aca="false">IF($AL182="","",IF((($AL182="Engineering and Technology")+($AL182="Science and Mathematics")+($AL182="Computer Science, IT and Allied Fields")+($AL182="Life Sciences /Medicine and Healthcare")+($AL182="Paramedical")+($AL182="Architecture")+($AL182="Environmental Service")+($AL182="Agriculture, Food Industry and Forestry"))&gt;0,"Science",IF((($AL182="Banking and Finance")+($AL182="Management and Administration")+($AL182="Marketing")+($AL182="Sales")+($AL182="Entrepreneurship")+($AL182="Hospitality and Tourism"))&gt;0,"Commerce",IF((($AL182="Social Sciences and Humanities")+($AL182="Law Studies")+($AL182="Education and Training")+($AL182="Art, Design")+($AL182="Entertainment and Mass Media")+($AL182="Community and Social Service")+($AL182="Personal Care and Services")+($AL182="Government and Public Administration")+($AL182="Defence/ Protective Service")+($AL182="Sports"))&gt;0,"Arts / Humanities",""))))</f>
        <v/>
      </c>
      <c r="BD182" s="5" t="str">
        <f aca="false">IF($B182="","",--(F182&gt;=10)+--(G182&gt;=10)+--(H182&gt;=10)+--(I182&gt;=10)+--(J182&gt;=10)+--(K182&gt;=10)+--(L182&gt;=10)+--(M182&gt;=10)+--(N182&gt;=10)+--(O182&gt;=10))</f>
        <v/>
      </c>
      <c r="BE182" s="5" t="str">
        <f aca="false">IF($B182="","",--(AND(F182&lt;&gt;"",F182&lt;=8))+--(AND(G182&lt;&gt;"",G182&lt;=8))+--(AND(H182&lt;&gt;"",H182&lt;=8))+--(AND(I182&lt;&gt;"",I182&lt;=8))+--(AND(J182&lt;&gt;"",J182&lt;=8))+--(AND(K182&lt;&gt;"",K182&lt;=8))+--(AND(L182&lt;&gt;"",L182&lt;=8))+--(AND(M182&lt;&gt;"",M182&lt;=8))+--(AND(N182&lt;&gt;"",N182&lt;=8))+--(AND(O182&lt;&gt;"",O182&lt;=8)))</f>
        <v/>
      </c>
    </row>
    <row r="183" customFormat="false" ht="15" hidden="false" customHeight="false" outlineLevel="0" collapsed="false">
      <c r="AZ183" s="5" t="str">
        <f aca="false">IF($B183="","",SUMPRODUCT(($AL183:$AO183&lt;&gt;"")*(COUNTIF($AP183:$AX183,$AL183:$AO183)&gt;0)))</f>
        <v/>
      </c>
      <c r="BA183" s="5" t="str">
        <f aca="false">IF($B183="","",IF(AZ183&gt;0,1,0))</f>
        <v/>
      </c>
      <c r="BB183" s="5" t="str">
        <f aca="false">IF($AP183="","",IF((($AP183="Engineering and Technology")+($AP183="Science and Mathematics")+($AP183="Computer Science, IT and Allied Fields")+($AP183="Life Sciences /Medicine and Healthcare")+($AP183="Paramedical")+($AP183="Architecture")+($AP183="Environmental Service")+($AP183="Agriculture, Food Industry and Forestry"))&gt;0,"Science",IF((($AP183="Banking and Finance")+($AP183="Management and Administration")+($AP183="Marketing")+($AP183="Sales")+($AP183="Entrepreneurship")+($AP183="Hospitality and Tourism"))&gt;0,"Commerce",IF((($AP183="Social Sciences and Humanities")+($AP183="Law Studies")+($AP183="Education and Training")+($AP183="Art, Design")+($AP183="Entertainment and Mass Media")+($AP183="Community and Social Service")+($AP183="Personal Care and Services")+($AP183="Government and Public Administration")+($AP183="Defence/ Protective Service")+($AP183="Sports"))&gt;0,"Arts / Humanities",""))))</f>
        <v/>
      </c>
      <c r="BC183" s="5" t="str">
        <f aca="false">IF($AL183="","",IF((($AL183="Engineering and Technology")+($AL183="Science and Mathematics")+($AL183="Computer Science, IT and Allied Fields")+($AL183="Life Sciences /Medicine and Healthcare")+($AL183="Paramedical")+($AL183="Architecture")+($AL183="Environmental Service")+($AL183="Agriculture, Food Industry and Forestry"))&gt;0,"Science",IF((($AL183="Banking and Finance")+($AL183="Management and Administration")+($AL183="Marketing")+($AL183="Sales")+($AL183="Entrepreneurship")+($AL183="Hospitality and Tourism"))&gt;0,"Commerce",IF((($AL183="Social Sciences and Humanities")+($AL183="Law Studies")+($AL183="Education and Training")+($AL183="Art, Design")+($AL183="Entertainment and Mass Media")+($AL183="Community and Social Service")+($AL183="Personal Care and Services")+($AL183="Government and Public Administration")+($AL183="Defence/ Protective Service")+($AL183="Sports"))&gt;0,"Arts / Humanities",""))))</f>
        <v/>
      </c>
      <c r="BD183" s="5" t="str">
        <f aca="false">IF($B183="","",--(F183&gt;=10)+--(G183&gt;=10)+--(H183&gt;=10)+--(I183&gt;=10)+--(J183&gt;=10)+--(K183&gt;=10)+--(L183&gt;=10)+--(M183&gt;=10)+--(N183&gt;=10)+--(O183&gt;=10))</f>
        <v/>
      </c>
      <c r="BE183" s="5" t="str">
        <f aca="false">IF($B183="","",--(AND(F183&lt;&gt;"",F183&lt;=8))+--(AND(G183&lt;&gt;"",G183&lt;=8))+--(AND(H183&lt;&gt;"",H183&lt;=8))+--(AND(I183&lt;&gt;"",I183&lt;=8))+--(AND(J183&lt;&gt;"",J183&lt;=8))+--(AND(K183&lt;&gt;"",K183&lt;=8))+--(AND(L183&lt;&gt;"",L183&lt;=8))+--(AND(M183&lt;&gt;"",M183&lt;=8))+--(AND(N183&lt;&gt;"",N183&lt;=8))+--(AND(O183&lt;&gt;"",O183&lt;=8)))</f>
        <v/>
      </c>
    </row>
    <row r="184" customFormat="false" ht="15" hidden="false" customHeight="false" outlineLevel="0" collapsed="false">
      <c r="AZ184" s="5" t="str">
        <f aca="false">IF($B184="","",SUMPRODUCT(($AL184:$AO184&lt;&gt;"")*(COUNTIF($AP184:$AX184,$AL184:$AO184)&gt;0)))</f>
        <v/>
      </c>
      <c r="BA184" s="5" t="str">
        <f aca="false">IF($B184="","",IF(AZ184&gt;0,1,0))</f>
        <v/>
      </c>
      <c r="BB184" s="5" t="str">
        <f aca="false">IF($AP184="","",IF((($AP184="Engineering and Technology")+($AP184="Science and Mathematics")+($AP184="Computer Science, IT and Allied Fields")+($AP184="Life Sciences /Medicine and Healthcare")+($AP184="Paramedical")+($AP184="Architecture")+($AP184="Environmental Service")+($AP184="Agriculture, Food Industry and Forestry"))&gt;0,"Science",IF((($AP184="Banking and Finance")+($AP184="Management and Administration")+($AP184="Marketing")+($AP184="Sales")+($AP184="Entrepreneurship")+($AP184="Hospitality and Tourism"))&gt;0,"Commerce",IF((($AP184="Social Sciences and Humanities")+($AP184="Law Studies")+($AP184="Education and Training")+($AP184="Art, Design")+($AP184="Entertainment and Mass Media")+($AP184="Community and Social Service")+($AP184="Personal Care and Services")+($AP184="Government and Public Administration")+($AP184="Defence/ Protective Service")+($AP184="Sports"))&gt;0,"Arts / Humanities",""))))</f>
        <v/>
      </c>
      <c r="BC184" s="5" t="str">
        <f aca="false">IF($AL184="","",IF((($AL184="Engineering and Technology")+($AL184="Science and Mathematics")+($AL184="Computer Science, IT and Allied Fields")+($AL184="Life Sciences /Medicine and Healthcare")+($AL184="Paramedical")+($AL184="Architecture")+($AL184="Environmental Service")+($AL184="Agriculture, Food Industry and Forestry"))&gt;0,"Science",IF((($AL184="Banking and Finance")+($AL184="Management and Administration")+($AL184="Marketing")+($AL184="Sales")+($AL184="Entrepreneurship")+($AL184="Hospitality and Tourism"))&gt;0,"Commerce",IF((($AL184="Social Sciences and Humanities")+($AL184="Law Studies")+($AL184="Education and Training")+($AL184="Art, Design")+($AL184="Entertainment and Mass Media")+($AL184="Community and Social Service")+($AL184="Personal Care and Services")+($AL184="Government and Public Administration")+($AL184="Defence/ Protective Service")+($AL184="Sports"))&gt;0,"Arts / Humanities",""))))</f>
        <v/>
      </c>
      <c r="BD184" s="5" t="str">
        <f aca="false">IF($B184="","",--(F184&gt;=10)+--(G184&gt;=10)+--(H184&gt;=10)+--(I184&gt;=10)+--(J184&gt;=10)+--(K184&gt;=10)+--(L184&gt;=10)+--(M184&gt;=10)+--(N184&gt;=10)+--(O184&gt;=10))</f>
        <v/>
      </c>
      <c r="BE184" s="5" t="str">
        <f aca="false">IF($B184="","",--(AND(F184&lt;&gt;"",F184&lt;=8))+--(AND(G184&lt;&gt;"",G184&lt;=8))+--(AND(H184&lt;&gt;"",H184&lt;=8))+--(AND(I184&lt;&gt;"",I184&lt;=8))+--(AND(J184&lt;&gt;"",J184&lt;=8))+--(AND(K184&lt;&gt;"",K184&lt;=8))+--(AND(L184&lt;&gt;"",L184&lt;=8))+--(AND(M184&lt;&gt;"",M184&lt;=8))+--(AND(N184&lt;&gt;"",N184&lt;=8))+--(AND(O184&lt;&gt;"",O184&lt;=8)))</f>
        <v/>
      </c>
    </row>
    <row r="185" customFormat="false" ht="15" hidden="false" customHeight="false" outlineLevel="0" collapsed="false">
      <c r="AZ185" s="5" t="str">
        <f aca="false">IF($B185="","",SUMPRODUCT(($AL185:$AO185&lt;&gt;"")*(COUNTIF($AP185:$AX185,$AL185:$AO185)&gt;0)))</f>
        <v/>
      </c>
      <c r="BA185" s="5" t="str">
        <f aca="false">IF($B185="","",IF(AZ185&gt;0,1,0))</f>
        <v/>
      </c>
      <c r="BB185" s="5" t="str">
        <f aca="false">IF($AP185="","",IF((($AP185="Engineering and Technology")+($AP185="Science and Mathematics")+($AP185="Computer Science, IT and Allied Fields")+($AP185="Life Sciences /Medicine and Healthcare")+($AP185="Paramedical")+($AP185="Architecture")+($AP185="Environmental Service")+($AP185="Agriculture, Food Industry and Forestry"))&gt;0,"Science",IF((($AP185="Banking and Finance")+($AP185="Management and Administration")+($AP185="Marketing")+($AP185="Sales")+($AP185="Entrepreneurship")+($AP185="Hospitality and Tourism"))&gt;0,"Commerce",IF((($AP185="Social Sciences and Humanities")+($AP185="Law Studies")+($AP185="Education and Training")+($AP185="Art, Design")+($AP185="Entertainment and Mass Media")+($AP185="Community and Social Service")+($AP185="Personal Care and Services")+($AP185="Government and Public Administration")+($AP185="Defence/ Protective Service")+($AP185="Sports"))&gt;0,"Arts / Humanities",""))))</f>
        <v/>
      </c>
      <c r="BC185" s="5" t="str">
        <f aca="false">IF($AL185="","",IF((($AL185="Engineering and Technology")+($AL185="Science and Mathematics")+($AL185="Computer Science, IT and Allied Fields")+($AL185="Life Sciences /Medicine and Healthcare")+($AL185="Paramedical")+($AL185="Architecture")+($AL185="Environmental Service")+($AL185="Agriculture, Food Industry and Forestry"))&gt;0,"Science",IF((($AL185="Banking and Finance")+($AL185="Management and Administration")+($AL185="Marketing")+($AL185="Sales")+($AL185="Entrepreneurship")+($AL185="Hospitality and Tourism"))&gt;0,"Commerce",IF((($AL185="Social Sciences and Humanities")+($AL185="Law Studies")+($AL185="Education and Training")+($AL185="Art, Design")+($AL185="Entertainment and Mass Media")+($AL185="Community and Social Service")+($AL185="Personal Care and Services")+($AL185="Government and Public Administration")+($AL185="Defence/ Protective Service")+($AL185="Sports"))&gt;0,"Arts / Humanities",""))))</f>
        <v/>
      </c>
      <c r="BD185" s="5" t="str">
        <f aca="false">IF($B185="","",--(F185&gt;=10)+--(G185&gt;=10)+--(H185&gt;=10)+--(I185&gt;=10)+--(J185&gt;=10)+--(K185&gt;=10)+--(L185&gt;=10)+--(M185&gt;=10)+--(N185&gt;=10)+--(O185&gt;=10))</f>
        <v/>
      </c>
      <c r="BE185" s="5" t="str">
        <f aca="false">IF($B185="","",--(AND(F185&lt;&gt;"",F185&lt;=8))+--(AND(G185&lt;&gt;"",G185&lt;=8))+--(AND(H185&lt;&gt;"",H185&lt;=8))+--(AND(I185&lt;&gt;"",I185&lt;=8))+--(AND(J185&lt;&gt;"",J185&lt;=8))+--(AND(K185&lt;&gt;"",K185&lt;=8))+--(AND(L185&lt;&gt;"",L185&lt;=8))+--(AND(M185&lt;&gt;"",M185&lt;=8))+--(AND(N185&lt;&gt;"",N185&lt;=8))+--(AND(O185&lt;&gt;"",O185&lt;=8)))</f>
        <v/>
      </c>
    </row>
    <row r="186" customFormat="false" ht="15" hidden="false" customHeight="false" outlineLevel="0" collapsed="false">
      <c r="AZ186" s="5" t="str">
        <f aca="false">IF($B186="","",SUMPRODUCT(($AL186:$AO186&lt;&gt;"")*(COUNTIF($AP186:$AX186,$AL186:$AO186)&gt;0)))</f>
        <v/>
      </c>
      <c r="BA186" s="5" t="str">
        <f aca="false">IF($B186="","",IF(AZ186&gt;0,1,0))</f>
        <v/>
      </c>
      <c r="BB186" s="5" t="str">
        <f aca="false">IF($AP186="","",IF((($AP186="Engineering and Technology")+($AP186="Science and Mathematics")+($AP186="Computer Science, IT and Allied Fields")+($AP186="Life Sciences /Medicine and Healthcare")+($AP186="Paramedical")+($AP186="Architecture")+($AP186="Environmental Service")+($AP186="Agriculture, Food Industry and Forestry"))&gt;0,"Science",IF((($AP186="Banking and Finance")+($AP186="Management and Administration")+($AP186="Marketing")+($AP186="Sales")+($AP186="Entrepreneurship")+($AP186="Hospitality and Tourism"))&gt;0,"Commerce",IF((($AP186="Social Sciences and Humanities")+($AP186="Law Studies")+($AP186="Education and Training")+($AP186="Art, Design")+($AP186="Entertainment and Mass Media")+($AP186="Community and Social Service")+($AP186="Personal Care and Services")+($AP186="Government and Public Administration")+($AP186="Defence/ Protective Service")+($AP186="Sports"))&gt;0,"Arts / Humanities",""))))</f>
        <v/>
      </c>
      <c r="BC186" s="5" t="str">
        <f aca="false">IF($AL186="","",IF((($AL186="Engineering and Technology")+($AL186="Science and Mathematics")+($AL186="Computer Science, IT and Allied Fields")+($AL186="Life Sciences /Medicine and Healthcare")+($AL186="Paramedical")+($AL186="Architecture")+($AL186="Environmental Service")+($AL186="Agriculture, Food Industry and Forestry"))&gt;0,"Science",IF((($AL186="Banking and Finance")+($AL186="Management and Administration")+($AL186="Marketing")+($AL186="Sales")+($AL186="Entrepreneurship")+($AL186="Hospitality and Tourism"))&gt;0,"Commerce",IF((($AL186="Social Sciences and Humanities")+($AL186="Law Studies")+($AL186="Education and Training")+($AL186="Art, Design")+($AL186="Entertainment and Mass Media")+($AL186="Community and Social Service")+($AL186="Personal Care and Services")+($AL186="Government and Public Administration")+($AL186="Defence/ Protective Service")+($AL186="Sports"))&gt;0,"Arts / Humanities",""))))</f>
        <v/>
      </c>
      <c r="BD186" s="5" t="str">
        <f aca="false">IF($B186="","",--(F186&gt;=10)+--(G186&gt;=10)+--(H186&gt;=10)+--(I186&gt;=10)+--(J186&gt;=10)+--(K186&gt;=10)+--(L186&gt;=10)+--(M186&gt;=10)+--(N186&gt;=10)+--(O186&gt;=10))</f>
        <v/>
      </c>
      <c r="BE186" s="5" t="str">
        <f aca="false">IF($B186="","",--(AND(F186&lt;&gt;"",F186&lt;=8))+--(AND(G186&lt;&gt;"",G186&lt;=8))+--(AND(H186&lt;&gt;"",H186&lt;=8))+--(AND(I186&lt;&gt;"",I186&lt;=8))+--(AND(J186&lt;&gt;"",J186&lt;=8))+--(AND(K186&lt;&gt;"",K186&lt;=8))+--(AND(L186&lt;&gt;"",L186&lt;=8))+--(AND(M186&lt;&gt;"",M186&lt;=8))+--(AND(N186&lt;&gt;"",N186&lt;=8))+--(AND(O186&lt;&gt;"",O186&lt;=8)))</f>
        <v/>
      </c>
    </row>
    <row r="187" customFormat="false" ht="15" hidden="false" customHeight="false" outlineLevel="0" collapsed="false">
      <c r="AZ187" s="5" t="str">
        <f aca="false">IF($B187="","",SUMPRODUCT(($AL187:$AO187&lt;&gt;"")*(COUNTIF($AP187:$AX187,$AL187:$AO187)&gt;0)))</f>
        <v/>
      </c>
      <c r="BA187" s="5" t="str">
        <f aca="false">IF($B187="","",IF(AZ187&gt;0,1,0))</f>
        <v/>
      </c>
      <c r="BB187" s="5" t="str">
        <f aca="false">IF($AP187="","",IF((($AP187="Engineering and Technology")+($AP187="Science and Mathematics")+($AP187="Computer Science, IT and Allied Fields")+($AP187="Life Sciences /Medicine and Healthcare")+($AP187="Paramedical")+($AP187="Architecture")+($AP187="Environmental Service")+($AP187="Agriculture, Food Industry and Forestry"))&gt;0,"Science",IF((($AP187="Banking and Finance")+($AP187="Management and Administration")+($AP187="Marketing")+($AP187="Sales")+($AP187="Entrepreneurship")+($AP187="Hospitality and Tourism"))&gt;0,"Commerce",IF((($AP187="Social Sciences and Humanities")+($AP187="Law Studies")+($AP187="Education and Training")+($AP187="Art, Design")+($AP187="Entertainment and Mass Media")+($AP187="Community and Social Service")+($AP187="Personal Care and Services")+($AP187="Government and Public Administration")+($AP187="Defence/ Protective Service")+($AP187="Sports"))&gt;0,"Arts / Humanities",""))))</f>
        <v/>
      </c>
      <c r="BC187" s="5" t="str">
        <f aca="false">IF($AL187="","",IF((($AL187="Engineering and Technology")+($AL187="Science and Mathematics")+($AL187="Computer Science, IT and Allied Fields")+($AL187="Life Sciences /Medicine and Healthcare")+($AL187="Paramedical")+($AL187="Architecture")+($AL187="Environmental Service")+($AL187="Agriculture, Food Industry and Forestry"))&gt;0,"Science",IF((($AL187="Banking and Finance")+($AL187="Management and Administration")+($AL187="Marketing")+($AL187="Sales")+($AL187="Entrepreneurship")+($AL187="Hospitality and Tourism"))&gt;0,"Commerce",IF((($AL187="Social Sciences and Humanities")+($AL187="Law Studies")+($AL187="Education and Training")+($AL187="Art, Design")+($AL187="Entertainment and Mass Media")+($AL187="Community and Social Service")+($AL187="Personal Care and Services")+($AL187="Government and Public Administration")+($AL187="Defence/ Protective Service")+($AL187="Sports"))&gt;0,"Arts / Humanities",""))))</f>
        <v/>
      </c>
      <c r="BD187" s="5" t="str">
        <f aca="false">IF($B187="","",--(F187&gt;=10)+--(G187&gt;=10)+--(H187&gt;=10)+--(I187&gt;=10)+--(J187&gt;=10)+--(K187&gt;=10)+--(L187&gt;=10)+--(M187&gt;=10)+--(N187&gt;=10)+--(O187&gt;=10))</f>
        <v/>
      </c>
      <c r="BE187" s="5" t="str">
        <f aca="false">IF($B187="","",--(AND(F187&lt;&gt;"",F187&lt;=8))+--(AND(G187&lt;&gt;"",G187&lt;=8))+--(AND(H187&lt;&gt;"",H187&lt;=8))+--(AND(I187&lt;&gt;"",I187&lt;=8))+--(AND(J187&lt;&gt;"",J187&lt;=8))+--(AND(K187&lt;&gt;"",K187&lt;=8))+--(AND(L187&lt;&gt;"",L187&lt;=8))+--(AND(M187&lt;&gt;"",M187&lt;=8))+--(AND(N187&lt;&gt;"",N187&lt;=8))+--(AND(O187&lt;&gt;"",O187&lt;=8)))</f>
        <v/>
      </c>
    </row>
    <row r="188" customFormat="false" ht="15" hidden="false" customHeight="false" outlineLevel="0" collapsed="false">
      <c r="AZ188" s="5" t="str">
        <f aca="false">IF($B188="","",SUMPRODUCT(($AL188:$AO188&lt;&gt;"")*(COUNTIF($AP188:$AX188,$AL188:$AO188)&gt;0)))</f>
        <v/>
      </c>
      <c r="BA188" s="5" t="str">
        <f aca="false">IF($B188="","",IF(AZ188&gt;0,1,0))</f>
        <v/>
      </c>
      <c r="BB188" s="5" t="str">
        <f aca="false">IF($AP188="","",IF((($AP188="Engineering and Technology")+($AP188="Science and Mathematics")+($AP188="Computer Science, IT and Allied Fields")+($AP188="Life Sciences /Medicine and Healthcare")+($AP188="Paramedical")+($AP188="Architecture")+($AP188="Environmental Service")+($AP188="Agriculture, Food Industry and Forestry"))&gt;0,"Science",IF((($AP188="Banking and Finance")+($AP188="Management and Administration")+($AP188="Marketing")+($AP188="Sales")+($AP188="Entrepreneurship")+($AP188="Hospitality and Tourism"))&gt;0,"Commerce",IF((($AP188="Social Sciences and Humanities")+($AP188="Law Studies")+($AP188="Education and Training")+($AP188="Art, Design")+($AP188="Entertainment and Mass Media")+($AP188="Community and Social Service")+($AP188="Personal Care and Services")+($AP188="Government and Public Administration")+($AP188="Defence/ Protective Service")+($AP188="Sports"))&gt;0,"Arts / Humanities",""))))</f>
        <v/>
      </c>
      <c r="BC188" s="5" t="str">
        <f aca="false">IF($AL188="","",IF((($AL188="Engineering and Technology")+($AL188="Science and Mathematics")+($AL188="Computer Science, IT and Allied Fields")+($AL188="Life Sciences /Medicine and Healthcare")+($AL188="Paramedical")+($AL188="Architecture")+($AL188="Environmental Service")+($AL188="Agriculture, Food Industry and Forestry"))&gt;0,"Science",IF((($AL188="Banking and Finance")+($AL188="Management and Administration")+($AL188="Marketing")+($AL188="Sales")+($AL188="Entrepreneurship")+($AL188="Hospitality and Tourism"))&gt;0,"Commerce",IF((($AL188="Social Sciences and Humanities")+($AL188="Law Studies")+($AL188="Education and Training")+($AL188="Art, Design")+($AL188="Entertainment and Mass Media")+($AL188="Community and Social Service")+($AL188="Personal Care and Services")+($AL188="Government and Public Administration")+($AL188="Defence/ Protective Service")+($AL188="Sports"))&gt;0,"Arts / Humanities",""))))</f>
        <v/>
      </c>
      <c r="BD188" s="5" t="str">
        <f aca="false">IF($B188="","",--(F188&gt;=10)+--(G188&gt;=10)+--(H188&gt;=10)+--(I188&gt;=10)+--(J188&gt;=10)+--(K188&gt;=10)+--(L188&gt;=10)+--(M188&gt;=10)+--(N188&gt;=10)+--(O188&gt;=10))</f>
        <v/>
      </c>
      <c r="BE188" s="5" t="str">
        <f aca="false">IF($B188="","",--(AND(F188&lt;&gt;"",F188&lt;=8))+--(AND(G188&lt;&gt;"",G188&lt;=8))+--(AND(H188&lt;&gt;"",H188&lt;=8))+--(AND(I188&lt;&gt;"",I188&lt;=8))+--(AND(J188&lt;&gt;"",J188&lt;=8))+--(AND(K188&lt;&gt;"",K188&lt;=8))+--(AND(L188&lt;&gt;"",L188&lt;=8))+--(AND(M188&lt;&gt;"",M188&lt;=8))+--(AND(N188&lt;&gt;"",N188&lt;=8))+--(AND(O188&lt;&gt;"",O188&lt;=8)))</f>
        <v/>
      </c>
    </row>
    <row r="189" customFormat="false" ht="15" hidden="false" customHeight="false" outlineLevel="0" collapsed="false">
      <c r="AZ189" s="5" t="str">
        <f aca="false">IF($B189="","",SUMPRODUCT(($AL189:$AO189&lt;&gt;"")*(COUNTIF($AP189:$AX189,$AL189:$AO189)&gt;0)))</f>
        <v/>
      </c>
      <c r="BA189" s="5" t="str">
        <f aca="false">IF($B189="","",IF(AZ189&gt;0,1,0))</f>
        <v/>
      </c>
      <c r="BB189" s="5" t="str">
        <f aca="false">IF($AP189="","",IF((($AP189="Engineering and Technology")+($AP189="Science and Mathematics")+($AP189="Computer Science, IT and Allied Fields")+($AP189="Life Sciences /Medicine and Healthcare")+($AP189="Paramedical")+($AP189="Architecture")+($AP189="Environmental Service")+($AP189="Agriculture, Food Industry and Forestry"))&gt;0,"Science",IF((($AP189="Banking and Finance")+($AP189="Management and Administration")+($AP189="Marketing")+($AP189="Sales")+($AP189="Entrepreneurship")+($AP189="Hospitality and Tourism"))&gt;0,"Commerce",IF((($AP189="Social Sciences and Humanities")+($AP189="Law Studies")+($AP189="Education and Training")+($AP189="Art, Design")+($AP189="Entertainment and Mass Media")+($AP189="Community and Social Service")+($AP189="Personal Care and Services")+($AP189="Government and Public Administration")+($AP189="Defence/ Protective Service")+($AP189="Sports"))&gt;0,"Arts / Humanities",""))))</f>
        <v/>
      </c>
      <c r="BC189" s="5" t="str">
        <f aca="false">IF($AL189="","",IF((($AL189="Engineering and Technology")+($AL189="Science and Mathematics")+($AL189="Computer Science, IT and Allied Fields")+($AL189="Life Sciences /Medicine and Healthcare")+($AL189="Paramedical")+($AL189="Architecture")+($AL189="Environmental Service")+($AL189="Agriculture, Food Industry and Forestry"))&gt;0,"Science",IF((($AL189="Banking and Finance")+($AL189="Management and Administration")+($AL189="Marketing")+($AL189="Sales")+($AL189="Entrepreneurship")+($AL189="Hospitality and Tourism"))&gt;0,"Commerce",IF((($AL189="Social Sciences and Humanities")+($AL189="Law Studies")+($AL189="Education and Training")+($AL189="Art, Design")+($AL189="Entertainment and Mass Media")+($AL189="Community and Social Service")+($AL189="Personal Care and Services")+($AL189="Government and Public Administration")+($AL189="Defence/ Protective Service")+($AL189="Sports"))&gt;0,"Arts / Humanities",""))))</f>
        <v/>
      </c>
      <c r="BD189" s="5" t="str">
        <f aca="false">IF($B189="","",--(F189&gt;=10)+--(G189&gt;=10)+--(H189&gt;=10)+--(I189&gt;=10)+--(J189&gt;=10)+--(K189&gt;=10)+--(L189&gt;=10)+--(M189&gt;=10)+--(N189&gt;=10)+--(O189&gt;=10))</f>
        <v/>
      </c>
      <c r="BE189" s="5" t="str">
        <f aca="false">IF($B189="","",--(AND(F189&lt;&gt;"",F189&lt;=8))+--(AND(G189&lt;&gt;"",G189&lt;=8))+--(AND(H189&lt;&gt;"",H189&lt;=8))+--(AND(I189&lt;&gt;"",I189&lt;=8))+--(AND(J189&lt;&gt;"",J189&lt;=8))+--(AND(K189&lt;&gt;"",K189&lt;=8))+--(AND(L189&lt;&gt;"",L189&lt;=8))+--(AND(M189&lt;&gt;"",M189&lt;=8))+--(AND(N189&lt;&gt;"",N189&lt;=8))+--(AND(O189&lt;&gt;"",O189&lt;=8)))</f>
        <v/>
      </c>
    </row>
    <row r="190" customFormat="false" ht="15" hidden="false" customHeight="false" outlineLevel="0" collapsed="false">
      <c r="AZ190" s="5" t="str">
        <f aca="false">IF($B190="","",SUMPRODUCT(($AL190:$AO190&lt;&gt;"")*(COUNTIF($AP190:$AX190,$AL190:$AO190)&gt;0)))</f>
        <v/>
      </c>
      <c r="BA190" s="5" t="str">
        <f aca="false">IF($B190="","",IF(AZ190&gt;0,1,0))</f>
        <v/>
      </c>
      <c r="BB190" s="5" t="str">
        <f aca="false">IF($AP190="","",IF((($AP190="Engineering and Technology")+($AP190="Science and Mathematics")+($AP190="Computer Science, IT and Allied Fields")+($AP190="Life Sciences /Medicine and Healthcare")+($AP190="Paramedical")+($AP190="Architecture")+($AP190="Environmental Service")+($AP190="Agriculture, Food Industry and Forestry"))&gt;0,"Science",IF((($AP190="Banking and Finance")+($AP190="Management and Administration")+($AP190="Marketing")+($AP190="Sales")+($AP190="Entrepreneurship")+($AP190="Hospitality and Tourism"))&gt;0,"Commerce",IF((($AP190="Social Sciences and Humanities")+($AP190="Law Studies")+($AP190="Education and Training")+($AP190="Art, Design")+($AP190="Entertainment and Mass Media")+($AP190="Community and Social Service")+($AP190="Personal Care and Services")+($AP190="Government and Public Administration")+($AP190="Defence/ Protective Service")+($AP190="Sports"))&gt;0,"Arts / Humanities",""))))</f>
        <v/>
      </c>
      <c r="BC190" s="5" t="str">
        <f aca="false">IF($AL190="","",IF((($AL190="Engineering and Technology")+($AL190="Science and Mathematics")+($AL190="Computer Science, IT and Allied Fields")+($AL190="Life Sciences /Medicine and Healthcare")+($AL190="Paramedical")+($AL190="Architecture")+($AL190="Environmental Service")+($AL190="Agriculture, Food Industry and Forestry"))&gt;0,"Science",IF((($AL190="Banking and Finance")+($AL190="Management and Administration")+($AL190="Marketing")+($AL190="Sales")+($AL190="Entrepreneurship")+($AL190="Hospitality and Tourism"))&gt;0,"Commerce",IF((($AL190="Social Sciences and Humanities")+($AL190="Law Studies")+($AL190="Education and Training")+($AL190="Art, Design")+($AL190="Entertainment and Mass Media")+($AL190="Community and Social Service")+($AL190="Personal Care and Services")+($AL190="Government and Public Administration")+($AL190="Defence/ Protective Service")+($AL190="Sports"))&gt;0,"Arts / Humanities",""))))</f>
        <v/>
      </c>
      <c r="BD190" s="5" t="str">
        <f aca="false">IF($B190="","",--(F190&gt;=10)+--(G190&gt;=10)+--(H190&gt;=10)+--(I190&gt;=10)+--(J190&gt;=10)+--(K190&gt;=10)+--(L190&gt;=10)+--(M190&gt;=10)+--(N190&gt;=10)+--(O190&gt;=10))</f>
        <v/>
      </c>
      <c r="BE190" s="5" t="str">
        <f aca="false">IF($B190="","",--(AND(F190&lt;&gt;"",F190&lt;=8))+--(AND(G190&lt;&gt;"",G190&lt;=8))+--(AND(H190&lt;&gt;"",H190&lt;=8))+--(AND(I190&lt;&gt;"",I190&lt;=8))+--(AND(J190&lt;&gt;"",J190&lt;=8))+--(AND(K190&lt;&gt;"",K190&lt;=8))+--(AND(L190&lt;&gt;"",L190&lt;=8))+--(AND(M190&lt;&gt;"",M190&lt;=8))+--(AND(N190&lt;&gt;"",N190&lt;=8))+--(AND(O190&lt;&gt;"",O190&lt;=8)))</f>
        <v/>
      </c>
    </row>
    <row r="191" customFormat="false" ht="15" hidden="false" customHeight="false" outlineLevel="0" collapsed="false">
      <c r="AZ191" s="5" t="str">
        <f aca="false">IF($B191="","",SUMPRODUCT(($AL191:$AO191&lt;&gt;"")*(COUNTIF($AP191:$AX191,$AL191:$AO191)&gt;0)))</f>
        <v/>
      </c>
      <c r="BA191" s="5" t="str">
        <f aca="false">IF($B191="","",IF(AZ191&gt;0,1,0))</f>
        <v/>
      </c>
      <c r="BB191" s="5" t="str">
        <f aca="false">IF($AP191="","",IF((($AP191="Engineering and Technology")+($AP191="Science and Mathematics")+($AP191="Computer Science, IT and Allied Fields")+($AP191="Life Sciences /Medicine and Healthcare")+($AP191="Paramedical")+($AP191="Architecture")+($AP191="Environmental Service")+($AP191="Agriculture, Food Industry and Forestry"))&gt;0,"Science",IF((($AP191="Banking and Finance")+($AP191="Management and Administration")+($AP191="Marketing")+($AP191="Sales")+($AP191="Entrepreneurship")+($AP191="Hospitality and Tourism"))&gt;0,"Commerce",IF((($AP191="Social Sciences and Humanities")+($AP191="Law Studies")+($AP191="Education and Training")+($AP191="Art, Design")+($AP191="Entertainment and Mass Media")+($AP191="Community and Social Service")+($AP191="Personal Care and Services")+($AP191="Government and Public Administration")+($AP191="Defence/ Protective Service")+($AP191="Sports"))&gt;0,"Arts / Humanities",""))))</f>
        <v/>
      </c>
      <c r="BC191" s="5" t="str">
        <f aca="false">IF($AL191="","",IF((($AL191="Engineering and Technology")+($AL191="Science and Mathematics")+($AL191="Computer Science, IT and Allied Fields")+($AL191="Life Sciences /Medicine and Healthcare")+($AL191="Paramedical")+($AL191="Architecture")+($AL191="Environmental Service")+($AL191="Agriculture, Food Industry and Forestry"))&gt;0,"Science",IF((($AL191="Banking and Finance")+($AL191="Management and Administration")+($AL191="Marketing")+($AL191="Sales")+($AL191="Entrepreneurship")+($AL191="Hospitality and Tourism"))&gt;0,"Commerce",IF((($AL191="Social Sciences and Humanities")+($AL191="Law Studies")+($AL191="Education and Training")+($AL191="Art, Design")+($AL191="Entertainment and Mass Media")+($AL191="Community and Social Service")+($AL191="Personal Care and Services")+($AL191="Government and Public Administration")+($AL191="Defence/ Protective Service")+($AL191="Sports"))&gt;0,"Arts / Humanities",""))))</f>
        <v/>
      </c>
      <c r="BD191" s="5" t="str">
        <f aca="false">IF($B191="","",--(F191&gt;=10)+--(G191&gt;=10)+--(H191&gt;=10)+--(I191&gt;=10)+--(J191&gt;=10)+--(K191&gt;=10)+--(L191&gt;=10)+--(M191&gt;=10)+--(N191&gt;=10)+--(O191&gt;=10))</f>
        <v/>
      </c>
      <c r="BE191" s="5" t="str">
        <f aca="false">IF($B191="","",--(AND(F191&lt;&gt;"",F191&lt;=8))+--(AND(G191&lt;&gt;"",G191&lt;=8))+--(AND(H191&lt;&gt;"",H191&lt;=8))+--(AND(I191&lt;&gt;"",I191&lt;=8))+--(AND(J191&lt;&gt;"",J191&lt;=8))+--(AND(K191&lt;&gt;"",K191&lt;=8))+--(AND(L191&lt;&gt;"",L191&lt;=8))+--(AND(M191&lt;&gt;"",M191&lt;=8))+--(AND(N191&lt;&gt;"",N191&lt;=8))+--(AND(O191&lt;&gt;"",O191&lt;=8)))</f>
        <v/>
      </c>
    </row>
    <row r="192" customFormat="false" ht="15" hidden="false" customHeight="false" outlineLevel="0" collapsed="false">
      <c r="AZ192" s="5" t="str">
        <f aca="false">IF($B192="","",SUMPRODUCT(($AL192:$AO192&lt;&gt;"")*(COUNTIF($AP192:$AX192,$AL192:$AO192)&gt;0)))</f>
        <v/>
      </c>
      <c r="BA192" s="5" t="str">
        <f aca="false">IF($B192="","",IF(AZ192&gt;0,1,0))</f>
        <v/>
      </c>
      <c r="BB192" s="5" t="str">
        <f aca="false">IF($AP192="","",IF((($AP192="Engineering and Technology")+($AP192="Science and Mathematics")+($AP192="Computer Science, IT and Allied Fields")+($AP192="Life Sciences /Medicine and Healthcare")+($AP192="Paramedical")+($AP192="Architecture")+($AP192="Environmental Service")+($AP192="Agriculture, Food Industry and Forestry"))&gt;0,"Science",IF((($AP192="Banking and Finance")+($AP192="Management and Administration")+($AP192="Marketing")+($AP192="Sales")+($AP192="Entrepreneurship")+($AP192="Hospitality and Tourism"))&gt;0,"Commerce",IF((($AP192="Social Sciences and Humanities")+($AP192="Law Studies")+($AP192="Education and Training")+($AP192="Art, Design")+($AP192="Entertainment and Mass Media")+($AP192="Community and Social Service")+($AP192="Personal Care and Services")+($AP192="Government and Public Administration")+($AP192="Defence/ Protective Service")+($AP192="Sports"))&gt;0,"Arts / Humanities",""))))</f>
        <v/>
      </c>
      <c r="BC192" s="5" t="str">
        <f aca="false">IF($AL192="","",IF((($AL192="Engineering and Technology")+($AL192="Science and Mathematics")+($AL192="Computer Science, IT and Allied Fields")+($AL192="Life Sciences /Medicine and Healthcare")+($AL192="Paramedical")+($AL192="Architecture")+($AL192="Environmental Service")+($AL192="Agriculture, Food Industry and Forestry"))&gt;0,"Science",IF((($AL192="Banking and Finance")+($AL192="Management and Administration")+($AL192="Marketing")+($AL192="Sales")+($AL192="Entrepreneurship")+($AL192="Hospitality and Tourism"))&gt;0,"Commerce",IF((($AL192="Social Sciences and Humanities")+($AL192="Law Studies")+($AL192="Education and Training")+($AL192="Art, Design")+($AL192="Entertainment and Mass Media")+($AL192="Community and Social Service")+($AL192="Personal Care and Services")+($AL192="Government and Public Administration")+($AL192="Defence/ Protective Service")+($AL192="Sports"))&gt;0,"Arts / Humanities",""))))</f>
        <v/>
      </c>
      <c r="BD192" s="5" t="str">
        <f aca="false">IF($B192="","",--(F192&gt;=10)+--(G192&gt;=10)+--(H192&gt;=10)+--(I192&gt;=10)+--(J192&gt;=10)+--(K192&gt;=10)+--(L192&gt;=10)+--(M192&gt;=10)+--(N192&gt;=10)+--(O192&gt;=10))</f>
        <v/>
      </c>
      <c r="BE192" s="5" t="str">
        <f aca="false">IF($B192="","",--(AND(F192&lt;&gt;"",F192&lt;=8))+--(AND(G192&lt;&gt;"",G192&lt;=8))+--(AND(H192&lt;&gt;"",H192&lt;=8))+--(AND(I192&lt;&gt;"",I192&lt;=8))+--(AND(J192&lt;&gt;"",J192&lt;=8))+--(AND(K192&lt;&gt;"",K192&lt;=8))+--(AND(L192&lt;&gt;"",L192&lt;=8))+--(AND(M192&lt;&gt;"",M192&lt;=8))+--(AND(N192&lt;&gt;"",N192&lt;=8))+--(AND(O192&lt;&gt;"",O192&lt;=8)))</f>
        <v/>
      </c>
    </row>
    <row r="193" customFormat="false" ht="15" hidden="false" customHeight="false" outlineLevel="0" collapsed="false">
      <c r="AZ193" s="5" t="str">
        <f aca="false">IF($B193="","",SUMPRODUCT(($AL193:$AO193&lt;&gt;"")*(COUNTIF($AP193:$AX193,$AL193:$AO193)&gt;0)))</f>
        <v/>
      </c>
      <c r="BA193" s="5" t="str">
        <f aca="false">IF($B193="","",IF(AZ193&gt;0,1,0))</f>
        <v/>
      </c>
      <c r="BB193" s="5" t="str">
        <f aca="false">IF($AP193="","",IF((($AP193="Engineering and Technology")+($AP193="Science and Mathematics")+($AP193="Computer Science, IT and Allied Fields")+($AP193="Life Sciences /Medicine and Healthcare")+($AP193="Paramedical")+($AP193="Architecture")+($AP193="Environmental Service")+($AP193="Agriculture, Food Industry and Forestry"))&gt;0,"Science",IF((($AP193="Banking and Finance")+($AP193="Management and Administration")+($AP193="Marketing")+($AP193="Sales")+($AP193="Entrepreneurship")+($AP193="Hospitality and Tourism"))&gt;0,"Commerce",IF((($AP193="Social Sciences and Humanities")+($AP193="Law Studies")+($AP193="Education and Training")+($AP193="Art, Design")+($AP193="Entertainment and Mass Media")+($AP193="Community and Social Service")+($AP193="Personal Care and Services")+($AP193="Government and Public Administration")+($AP193="Defence/ Protective Service")+($AP193="Sports"))&gt;0,"Arts / Humanities",""))))</f>
        <v/>
      </c>
      <c r="BC193" s="5" t="str">
        <f aca="false">IF($AL193="","",IF((($AL193="Engineering and Technology")+($AL193="Science and Mathematics")+($AL193="Computer Science, IT and Allied Fields")+($AL193="Life Sciences /Medicine and Healthcare")+($AL193="Paramedical")+($AL193="Architecture")+($AL193="Environmental Service")+($AL193="Agriculture, Food Industry and Forestry"))&gt;0,"Science",IF((($AL193="Banking and Finance")+($AL193="Management and Administration")+($AL193="Marketing")+($AL193="Sales")+($AL193="Entrepreneurship")+($AL193="Hospitality and Tourism"))&gt;0,"Commerce",IF((($AL193="Social Sciences and Humanities")+($AL193="Law Studies")+($AL193="Education and Training")+($AL193="Art, Design")+($AL193="Entertainment and Mass Media")+($AL193="Community and Social Service")+($AL193="Personal Care and Services")+($AL193="Government and Public Administration")+($AL193="Defence/ Protective Service")+($AL193="Sports"))&gt;0,"Arts / Humanities",""))))</f>
        <v/>
      </c>
      <c r="BD193" s="5" t="str">
        <f aca="false">IF($B193="","",--(F193&gt;=10)+--(G193&gt;=10)+--(H193&gt;=10)+--(I193&gt;=10)+--(J193&gt;=10)+--(K193&gt;=10)+--(L193&gt;=10)+--(M193&gt;=10)+--(N193&gt;=10)+--(O193&gt;=10))</f>
        <v/>
      </c>
      <c r="BE193" s="5" t="str">
        <f aca="false">IF($B193="","",--(AND(F193&lt;&gt;"",F193&lt;=8))+--(AND(G193&lt;&gt;"",G193&lt;=8))+--(AND(H193&lt;&gt;"",H193&lt;=8))+--(AND(I193&lt;&gt;"",I193&lt;=8))+--(AND(J193&lt;&gt;"",J193&lt;=8))+--(AND(K193&lt;&gt;"",K193&lt;=8))+--(AND(L193&lt;&gt;"",L193&lt;=8))+--(AND(M193&lt;&gt;"",M193&lt;=8))+--(AND(N193&lt;&gt;"",N193&lt;=8))+--(AND(O193&lt;&gt;"",O193&lt;=8)))</f>
        <v/>
      </c>
    </row>
    <row r="194" customFormat="false" ht="15" hidden="false" customHeight="false" outlineLevel="0" collapsed="false">
      <c r="AZ194" s="5" t="str">
        <f aca="false">IF($B194="","",SUMPRODUCT(($AL194:$AO194&lt;&gt;"")*(COUNTIF($AP194:$AX194,$AL194:$AO194)&gt;0)))</f>
        <v/>
      </c>
      <c r="BA194" s="5" t="str">
        <f aca="false">IF($B194="","",IF(AZ194&gt;0,1,0))</f>
        <v/>
      </c>
      <c r="BB194" s="5" t="str">
        <f aca="false">IF($AP194="","",IF((($AP194="Engineering and Technology")+($AP194="Science and Mathematics")+($AP194="Computer Science, IT and Allied Fields")+($AP194="Life Sciences /Medicine and Healthcare")+($AP194="Paramedical")+($AP194="Architecture")+($AP194="Environmental Service")+($AP194="Agriculture, Food Industry and Forestry"))&gt;0,"Science",IF((($AP194="Banking and Finance")+($AP194="Management and Administration")+($AP194="Marketing")+($AP194="Sales")+($AP194="Entrepreneurship")+($AP194="Hospitality and Tourism"))&gt;0,"Commerce",IF((($AP194="Social Sciences and Humanities")+($AP194="Law Studies")+($AP194="Education and Training")+($AP194="Art, Design")+($AP194="Entertainment and Mass Media")+($AP194="Community and Social Service")+($AP194="Personal Care and Services")+($AP194="Government and Public Administration")+($AP194="Defence/ Protective Service")+($AP194="Sports"))&gt;0,"Arts / Humanities",""))))</f>
        <v/>
      </c>
      <c r="BC194" s="5" t="str">
        <f aca="false">IF($AL194="","",IF((($AL194="Engineering and Technology")+($AL194="Science and Mathematics")+($AL194="Computer Science, IT and Allied Fields")+($AL194="Life Sciences /Medicine and Healthcare")+($AL194="Paramedical")+($AL194="Architecture")+($AL194="Environmental Service")+($AL194="Agriculture, Food Industry and Forestry"))&gt;0,"Science",IF((($AL194="Banking and Finance")+($AL194="Management and Administration")+($AL194="Marketing")+($AL194="Sales")+($AL194="Entrepreneurship")+($AL194="Hospitality and Tourism"))&gt;0,"Commerce",IF((($AL194="Social Sciences and Humanities")+($AL194="Law Studies")+($AL194="Education and Training")+($AL194="Art, Design")+($AL194="Entertainment and Mass Media")+($AL194="Community and Social Service")+($AL194="Personal Care and Services")+($AL194="Government and Public Administration")+($AL194="Defence/ Protective Service")+($AL194="Sports"))&gt;0,"Arts / Humanities",""))))</f>
        <v/>
      </c>
      <c r="BD194" s="5" t="str">
        <f aca="false">IF($B194="","",--(F194&gt;=10)+--(G194&gt;=10)+--(H194&gt;=10)+--(I194&gt;=10)+--(J194&gt;=10)+--(K194&gt;=10)+--(L194&gt;=10)+--(M194&gt;=10)+--(N194&gt;=10)+--(O194&gt;=10))</f>
        <v/>
      </c>
      <c r="BE194" s="5" t="str">
        <f aca="false">IF($B194="","",--(AND(F194&lt;&gt;"",F194&lt;=8))+--(AND(G194&lt;&gt;"",G194&lt;=8))+--(AND(H194&lt;&gt;"",H194&lt;=8))+--(AND(I194&lt;&gt;"",I194&lt;=8))+--(AND(J194&lt;&gt;"",J194&lt;=8))+--(AND(K194&lt;&gt;"",K194&lt;=8))+--(AND(L194&lt;&gt;"",L194&lt;=8))+--(AND(M194&lt;&gt;"",M194&lt;=8))+--(AND(N194&lt;&gt;"",N194&lt;=8))+--(AND(O194&lt;&gt;"",O194&lt;=8)))</f>
        <v/>
      </c>
    </row>
    <row r="195" customFormat="false" ht="15" hidden="false" customHeight="false" outlineLevel="0" collapsed="false">
      <c r="AZ195" s="5" t="str">
        <f aca="false">IF($B195="","",SUMPRODUCT(($AL195:$AO195&lt;&gt;"")*(COUNTIF($AP195:$AX195,$AL195:$AO195)&gt;0)))</f>
        <v/>
      </c>
      <c r="BA195" s="5" t="str">
        <f aca="false">IF($B195="","",IF(AZ195&gt;0,1,0))</f>
        <v/>
      </c>
      <c r="BB195" s="5" t="str">
        <f aca="false">IF($AP195="","",IF((($AP195="Engineering and Technology")+($AP195="Science and Mathematics")+($AP195="Computer Science, IT and Allied Fields")+($AP195="Life Sciences /Medicine and Healthcare")+($AP195="Paramedical")+($AP195="Architecture")+($AP195="Environmental Service")+($AP195="Agriculture, Food Industry and Forestry"))&gt;0,"Science",IF((($AP195="Banking and Finance")+($AP195="Management and Administration")+($AP195="Marketing")+($AP195="Sales")+($AP195="Entrepreneurship")+($AP195="Hospitality and Tourism"))&gt;0,"Commerce",IF((($AP195="Social Sciences and Humanities")+($AP195="Law Studies")+($AP195="Education and Training")+($AP195="Art, Design")+($AP195="Entertainment and Mass Media")+($AP195="Community and Social Service")+($AP195="Personal Care and Services")+($AP195="Government and Public Administration")+($AP195="Defence/ Protective Service")+($AP195="Sports"))&gt;0,"Arts / Humanities",""))))</f>
        <v/>
      </c>
      <c r="BC195" s="5" t="str">
        <f aca="false">IF($AL195="","",IF((($AL195="Engineering and Technology")+($AL195="Science and Mathematics")+($AL195="Computer Science, IT and Allied Fields")+($AL195="Life Sciences /Medicine and Healthcare")+($AL195="Paramedical")+($AL195="Architecture")+($AL195="Environmental Service")+($AL195="Agriculture, Food Industry and Forestry"))&gt;0,"Science",IF((($AL195="Banking and Finance")+($AL195="Management and Administration")+($AL195="Marketing")+($AL195="Sales")+($AL195="Entrepreneurship")+($AL195="Hospitality and Tourism"))&gt;0,"Commerce",IF((($AL195="Social Sciences and Humanities")+($AL195="Law Studies")+($AL195="Education and Training")+($AL195="Art, Design")+($AL195="Entertainment and Mass Media")+($AL195="Community and Social Service")+($AL195="Personal Care and Services")+($AL195="Government and Public Administration")+($AL195="Defence/ Protective Service")+($AL195="Sports"))&gt;0,"Arts / Humanities",""))))</f>
        <v/>
      </c>
      <c r="BD195" s="5" t="str">
        <f aca="false">IF($B195="","",--(F195&gt;=10)+--(G195&gt;=10)+--(H195&gt;=10)+--(I195&gt;=10)+--(J195&gt;=10)+--(K195&gt;=10)+--(L195&gt;=10)+--(M195&gt;=10)+--(N195&gt;=10)+--(O195&gt;=10))</f>
        <v/>
      </c>
      <c r="BE195" s="5" t="str">
        <f aca="false">IF($B195="","",--(AND(F195&lt;&gt;"",F195&lt;=8))+--(AND(G195&lt;&gt;"",G195&lt;=8))+--(AND(H195&lt;&gt;"",H195&lt;=8))+--(AND(I195&lt;&gt;"",I195&lt;=8))+--(AND(J195&lt;&gt;"",J195&lt;=8))+--(AND(K195&lt;&gt;"",K195&lt;=8))+--(AND(L195&lt;&gt;"",L195&lt;=8))+--(AND(M195&lt;&gt;"",M195&lt;=8))+--(AND(N195&lt;&gt;"",N195&lt;=8))+--(AND(O195&lt;&gt;"",O195&lt;=8)))</f>
        <v/>
      </c>
    </row>
    <row r="196" customFormat="false" ht="15" hidden="false" customHeight="false" outlineLevel="0" collapsed="false">
      <c r="AZ196" s="5" t="str">
        <f aca="false">IF($B196="","",SUMPRODUCT(($AL196:$AO196&lt;&gt;"")*(COUNTIF($AP196:$AX196,$AL196:$AO196)&gt;0)))</f>
        <v/>
      </c>
      <c r="BA196" s="5" t="str">
        <f aca="false">IF($B196="","",IF(AZ196&gt;0,1,0))</f>
        <v/>
      </c>
      <c r="BB196" s="5" t="str">
        <f aca="false">IF($AP196="","",IF((($AP196="Engineering and Technology")+($AP196="Science and Mathematics")+($AP196="Computer Science, IT and Allied Fields")+($AP196="Life Sciences /Medicine and Healthcare")+($AP196="Paramedical")+($AP196="Architecture")+($AP196="Environmental Service")+($AP196="Agriculture, Food Industry and Forestry"))&gt;0,"Science",IF((($AP196="Banking and Finance")+($AP196="Management and Administration")+($AP196="Marketing")+($AP196="Sales")+($AP196="Entrepreneurship")+($AP196="Hospitality and Tourism"))&gt;0,"Commerce",IF((($AP196="Social Sciences and Humanities")+($AP196="Law Studies")+($AP196="Education and Training")+($AP196="Art, Design")+($AP196="Entertainment and Mass Media")+($AP196="Community and Social Service")+($AP196="Personal Care and Services")+($AP196="Government and Public Administration")+($AP196="Defence/ Protective Service")+($AP196="Sports"))&gt;0,"Arts / Humanities",""))))</f>
        <v/>
      </c>
      <c r="BC196" s="5" t="str">
        <f aca="false">IF($AL196="","",IF((($AL196="Engineering and Technology")+($AL196="Science and Mathematics")+($AL196="Computer Science, IT and Allied Fields")+($AL196="Life Sciences /Medicine and Healthcare")+($AL196="Paramedical")+($AL196="Architecture")+($AL196="Environmental Service")+($AL196="Agriculture, Food Industry and Forestry"))&gt;0,"Science",IF((($AL196="Banking and Finance")+($AL196="Management and Administration")+($AL196="Marketing")+($AL196="Sales")+($AL196="Entrepreneurship")+($AL196="Hospitality and Tourism"))&gt;0,"Commerce",IF((($AL196="Social Sciences and Humanities")+($AL196="Law Studies")+($AL196="Education and Training")+($AL196="Art, Design")+($AL196="Entertainment and Mass Media")+($AL196="Community and Social Service")+($AL196="Personal Care and Services")+($AL196="Government and Public Administration")+($AL196="Defence/ Protective Service")+($AL196="Sports"))&gt;0,"Arts / Humanities",""))))</f>
        <v/>
      </c>
      <c r="BD196" s="5" t="str">
        <f aca="false">IF($B196="","",--(F196&gt;=10)+--(G196&gt;=10)+--(H196&gt;=10)+--(I196&gt;=10)+--(J196&gt;=10)+--(K196&gt;=10)+--(L196&gt;=10)+--(M196&gt;=10)+--(N196&gt;=10)+--(O196&gt;=10))</f>
        <v/>
      </c>
      <c r="BE196" s="5" t="str">
        <f aca="false">IF($B196="","",--(AND(F196&lt;&gt;"",F196&lt;=8))+--(AND(G196&lt;&gt;"",G196&lt;=8))+--(AND(H196&lt;&gt;"",H196&lt;=8))+--(AND(I196&lt;&gt;"",I196&lt;=8))+--(AND(J196&lt;&gt;"",J196&lt;=8))+--(AND(K196&lt;&gt;"",K196&lt;=8))+--(AND(L196&lt;&gt;"",L196&lt;=8))+--(AND(M196&lt;&gt;"",M196&lt;=8))+--(AND(N196&lt;&gt;"",N196&lt;=8))+--(AND(O196&lt;&gt;"",O196&lt;=8)))</f>
        <v/>
      </c>
    </row>
    <row r="197" customFormat="false" ht="15" hidden="false" customHeight="false" outlineLevel="0" collapsed="false">
      <c r="AZ197" s="5" t="str">
        <f aca="false">IF($B197="","",SUMPRODUCT(($AL197:$AO197&lt;&gt;"")*(COUNTIF($AP197:$AX197,$AL197:$AO197)&gt;0)))</f>
        <v/>
      </c>
      <c r="BA197" s="5" t="str">
        <f aca="false">IF($B197="","",IF(AZ197&gt;0,1,0))</f>
        <v/>
      </c>
      <c r="BB197" s="5" t="str">
        <f aca="false">IF($AP197="","",IF((($AP197="Engineering and Technology")+($AP197="Science and Mathematics")+($AP197="Computer Science, IT and Allied Fields")+($AP197="Life Sciences /Medicine and Healthcare")+($AP197="Paramedical")+($AP197="Architecture")+($AP197="Environmental Service")+($AP197="Agriculture, Food Industry and Forestry"))&gt;0,"Science",IF((($AP197="Banking and Finance")+($AP197="Management and Administration")+($AP197="Marketing")+($AP197="Sales")+($AP197="Entrepreneurship")+($AP197="Hospitality and Tourism"))&gt;0,"Commerce",IF((($AP197="Social Sciences and Humanities")+($AP197="Law Studies")+($AP197="Education and Training")+($AP197="Art, Design")+($AP197="Entertainment and Mass Media")+($AP197="Community and Social Service")+($AP197="Personal Care and Services")+($AP197="Government and Public Administration")+($AP197="Defence/ Protective Service")+($AP197="Sports"))&gt;0,"Arts / Humanities",""))))</f>
        <v/>
      </c>
      <c r="BC197" s="5" t="str">
        <f aca="false">IF($AL197="","",IF((($AL197="Engineering and Technology")+($AL197="Science and Mathematics")+($AL197="Computer Science, IT and Allied Fields")+($AL197="Life Sciences /Medicine and Healthcare")+($AL197="Paramedical")+($AL197="Architecture")+($AL197="Environmental Service")+($AL197="Agriculture, Food Industry and Forestry"))&gt;0,"Science",IF((($AL197="Banking and Finance")+($AL197="Management and Administration")+($AL197="Marketing")+($AL197="Sales")+($AL197="Entrepreneurship")+($AL197="Hospitality and Tourism"))&gt;0,"Commerce",IF((($AL197="Social Sciences and Humanities")+($AL197="Law Studies")+($AL197="Education and Training")+($AL197="Art, Design")+($AL197="Entertainment and Mass Media")+($AL197="Community and Social Service")+($AL197="Personal Care and Services")+($AL197="Government and Public Administration")+($AL197="Defence/ Protective Service")+($AL197="Sports"))&gt;0,"Arts / Humanities",""))))</f>
        <v/>
      </c>
      <c r="BD197" s="5" t="str">
        <f aca="false">IF($B197="","",--(F197&gt;=10)+--(G197&gt;=10)+--(H197&gt;=10)+--(I197&gt;=10)+--(J197&gt;=10)+--(K197&gt;=10)+--(L197&gt;=10)+--(M197&gt;=10)+--(N197&gt;=10)+--(O197&gt;=10))</f>
        <v/>
      </c>
      <c r="BE197" s="5" t="str">
        <f aca="false">IF($B197="","",--(AND(F197&lt;&gt;"",F197&lt;=8))+--(AND(G197&lt;&gt;"",G197&lt;=8))+--(AND(H197&lt;&gt;"",H197&lt;=8))+--(AND(I197&lt;&gt;"",I197&lt;=8))+--(AND(J197&lt;&gt;"",J197&lt;=8))+--(AND(K197&lt;&gt;"",K197&lt;=8))+--(AND(L197&lt;&gt;"",L197&lt;=8))+--(AND(M197&lt;&gt;"",M197&lt;=8))+--(AND(N197&lt;&gt;"",N197&lt;=8))+--(AND(O197&lt;&gt;"",O197&lt;=8)))</f>
        <v/>
      </c>
    </row>
    <row r="198" customFormat="false" ht="15" hidden="false" customHeight="false" outlineLevel="0" collapsed="false">
      <c r="AZ198" s="5" t="str">
        <f aca="false">IF($B198="","",SUMPRODUCT(($AL198:$AO198&lt;&gt;"")*(COUNTIF($AP198:$AX198,$AL198:$AO198)&gt;0)))</f>
        <v/>
      </c>
      <c r="BA198" s="5" t="str">
        <f aca="false">IF($B198="","",IF(AZ198&gt;0,1,0))</f>
        <v/>
      </c>
      <c r="BB198" s="5" t="str">
        <f aca="false">IF($AP198="","",IF((($AP198="Engineering and Technology")+($AP198="Science and Mathematics")+($AP198="Computer Science, IT and Allied Fields")+($AP198="Life Sciences /Medicine and Healthcare")+($AP198="Paramedical")+($AP198="Architecture")+($AP198="Environmental Service")+($AP198="Agriculture, Food Industry and Forestry"))&gt;0,"Science",IF((($AP198="Banking and Finance")+($AP198="Management and Administration")+($AP198="Marketing")+($AP198="Sales")+($AP198="Entrepreneurship")+($AP198="Hospitality and Tourism"))&gt;0,"Commerce",IF((($AP198="Social Sciences and Humanities")+($AP198="Law Studies")+($AP198="Education and Training")+($AP198="Art, Design")+($AP198="Entertainment and Mass Media")+($AP198="Community and Social Service")+($AP198="Personal Care and Services")+($AP198="Government and Public Administration")+($AP198="Defence/ Protective Service")+($AP198="Sports"))&gt;0,"Arts / Humanities",""))))</f>
        <v/>
      </c>
      <c r="BC198" s="5" t="str">
        <f aca="false">IF($AL198="","",IF((($AL198="Engineering and Technology")+($AL198="Science and Mathematics")+($AL198="Computer Science, IT and Allied Fields")+($AL198="Life Sciences /Medicine and Healthcare")+($AL198="Paramedical")+($AL198="Architecture")+($AL198="Environmental Service")+($AL198="Agriculture, Food Industry and Forestry"))&gt;0,"Science",IF((($AL198="Banking and Finance")+($AL198="Management and Administration")+($AL198="Marketing")+($AL198="Sales")+($AL198="Entrepreneurship")+($AL198="Hospitality and Tourism"))&gt;0,"Commerce",IF((($AL198="Social Sciences and Humanities")+($AL198="Law Studies")+($AL198="Education and Training")+($AL198="Art, Design")+($AL198="Entertainment and Mass Media")+($AL198="Community and Social Service")+($AL198="Personal Care and Services")+($AL198="Government and Public Administration")+($AL198="Defence/ Protective Service")+($AL198="Sports"))&gt;0,"Arts / Humanities",""))))</f>
        <v/>
      </c>
      <c r="BD198" s="5" t="str">
        <f aca="false">IF($B198="","",--(F198&gt;=10)+--(G198&gt;=10)+--(H198&gt;=10)+--(I198&gt;=10)+--(J198&gt;=10)+--(K198&gt;=10)+--(L198&gt;=10)+--(M198&gt;=10)+--(N198&gt;=10)+--(O198&gt;=10))</f>
        <v/>
      </c>
      <c r="BE198" s="5" t="str">
        <f aca="false">IF($B198="","",--(AND(F198&lt;&gt;"",F198&lt;=8))+--(AND(G198&lt;&gt;"",G198&lt;=8))+--(AND(H198&lt;&gt;"",H198&lt;=8))+--(AND(I198&lt;&gt;"",I198&lt;=8))+--(AND(J198&lt;&gt;"",J198&lt;=8))+--(AND(K198&lt;&gt;"",K198&lt;=8))+--(AND(L198&lt;&gt;"",L198&lt;=8))+--(AND(M198&lt;&gt;"",M198&lt;=8))+--(AND(N198&lt;&gt;"",N198&lt;=8))+--(AND(O198&lt;&gt;"",O198&lt;=8)))</f>
        <v/>
      </c>
    </row>
    <row r="199" customFormat="false" ht="15" hidden="false" customHeight="false" outlineLevel="0" collapsed="false">
      <c r="AZ199" s="5" t="str">
        <f aca="false">IF($B199="","",SUMPRODUCT(($AL199:$AO199&lt;&gt;"")*(COUNTIF($AP199:$AX199,$AL199:$AO199)&gt;0)))</f>
        <v/>
      </c>
      <c r="BA199" s="5" t="str">
        <f aca="false">IF($B199="","",IF(AZ199&gt;0,1,0))</f>
        <v/>
      </c>
      <c r="BB199" s="5" t="str">
        <f aca="false">IF($AP199="","",IF((($AP199="Engineering and Technology")+($AP199="Science and Mathematics")+($AP199="Computer Science, IT and Allied Fields")+($AP199="Life Sciences /Medicine and Healthcare")+($AP199="Paramedical")+($AP199="Architecture")+($AP199="Environmental Service")+($AP199="Agriculture, Food Industry and Forestry"))&gt;0,"Science",IF((($AP199="Banking and Finance")+($AP199="Management and Administration")+($AP199="Marketing")+($AP199="Sales")+($AP199="Entrepreneurship")+($AP199="Hospitality and Tourism"))&gt;0,"Commerce",IF((($AP199="Social Sciences and Humanities")+($AP199="Law Studies")+($AP199="Education and Training")+($AP199="Art, Design")+($AP199="Entertainment and Mass Media")+($AP199="Community and Social Service")+($AP199="Personal Care and Services")+($AP199="Government and Public Administration")+($AP199="Defence/ Protective Service")+($AP199="Sports"))&gt;0,"Arts / Humanities",""))))</f>
        <v/>
      </c>
      <c r="BC199" s="5" t="str">
        <f aca="false">IF($AL199="","",IF((($AL199="Engineering and Technology")+($AL199="Science and Mathematics")+($AL199="Computer Science, IT and Allied Fields")+($AL199="Life Sciences /Medicine and Healthcare")+($AL199="Paramedical")+($AL199="Architecture")+($AL199="Environmental Service")+($AL199="Agriculture, Food Industry and Forestry"))&gt;0,"Science",IF((($AL199="Banking and Finance")+($AL199="Management and Administration")+($AL199="Marketing")+($AL199="Sales")+($AL199="Entrepreneurship")+($AL199="Hospitality and Tourism"))&gt;0,"Commerce",IF((($AL199="Social Sciences and Humanities")+($AL199="Law Studies")+($AL199="Education and Training")+($AL199="Art, Design")+($AL199="Entertainment and Mass Media")+($AL199="Community and Social Service")+($AL199="Personal Care and Services")+($AL199="Government and Public Administration")+($AL199="Defence/ Protective Service")+($AL199="Sports"))&gt;0,"Arts / Humanities",""))))</f>
        <v/>
      </c>
      <c r="BD199" s="5" t="str">
        <f aca="false">IF($B199="","",--(F199&gt;=10)+--(G199&gt;=10)+--(H199&gt;=10)+--(I199&gt;=10)+--(J199&gt;=10)+--(K199&gt;=10)+--(L199&gt;=10)+--(M199&gt;=10)+--(N199&gt;=10)+--(O199&gt;=10))</f>
        <v/>
      </c>
      <c r="BE199" s="5" t="str">
        <f aca="false">IF($B199="","",--(AND(F199&lt;&gt;"",F199&lt;=8))+--(AND(G199&lt;&gt;"",G199&lt;=8))+--(AND(H199&lt;&gt;"",H199&lt;=8))+--(AND(I199&lt;&gt;"",I199&lt;=8))+--(AND(J199&lt;&gt;"",J199&lt;=8))+--(AND(K199&lt;&gt;"",K199&lt;=8))+--(AND(L199&lt;&gt;"",L199&lt;=8))+--(AND(M199&lt;&gt;"",M199&lt;=8))+--(AND(N199&lt;&gt;"",N199&lt;=8))+--(AND(O199&lt;&gt;"",O199&lt;=8)))</f>
        <v/>
      </c>
    </row>
    <row r="200" customFormat="false" ht="15" hidden="false" customHeight="false" outlineLevel="0" collapsed="false">
      <c r="AZ200" s="5" t="str">
        <f aca="false">IF($B200="","",SUMPRODUCT(($AL200:$AO200&lt;&gt;"")*(COUNTIF($AP200:$AX200,$AL200:$AO200)&gt;0)))</f>
        <v/>
      </c>
      <c r="BA200" s="5" t="str">
        <f aca="false">IF($B200="","",IF(AZ200&gt;0,1,0))</f>
        <v/>
      </c>
      <c r="BB200" s="5" t="str">
        <f aca="false">IF($AP200="","",IF((($AP200="Engineering and Technology")+($AP200="Science and Mathematics")+($AP200="Computer Science, IT and Allied Fields")+($AP200="Life Sciences /Medicine and Healthcare")+($AP200="Paramedical")+($AP200="Architecture")+($AP200="Environmental Service")+($AP200="Agriculture, Food Industry and Forestry"))&gt;0,"Science",IF((($AP200="Banking and Finance")+($AP200="Management and Administration")+($AP200="Marketing")+($AP200="Sales")+($AP200="Entrepreneurship")+($AP200="Hospitality and Tourism"))&gt;0,"Commerce",IF((($AP200="Social Sciences and Humanities")+($AP200="Law Studies")+($AP200="Education and Training")+($AP200="Art, Design")+($AP200="Entertainment and Mass Media")+($AP200="Community and Social Service")+($AP200="Personal Care and Services")+($AP200="Government and Public Administration")+($AP200="Defence/ Protective Service")+($AP200="Sports"))&gt;0,"Arts / Humanities",""))))</f>
        <v/>
      </c>
      <c r="BC200" s="5" t="str">
        <f aca="false">IF($AL200="","",IF((($AL200="Engineering and Technology")+($AL200="Science and Mathematics")+($AL200="Computer Science, IT and Allied Fields")+($AL200="Life Sciences /Medicine and Healthcare")+($AL200="Paramedical")+($AL200="Architecture")+($AL200="Environmental Service")+($AL200="Agriculture, Food Industry and Forestry"))&gt;0,"Science",IF((($AL200="Banking and Finance")+($AL200="Management and Administration")+($AL200="Marketing")+($AL200="Sales")+($AL200="Entrepreneurship")+($AL200="Hospitality and Tourism"))&gt;0,"Commerce",IF((($AL200="Social Sciences and Humanities")+($AL200="Law Studies")+($AL200="Education and Training")+($AL200="Art, Design")+($AL200="Entertainment and Mass Media")+($AL200="Community and Social Service")+($AL200="Personal Care and Services")+($AL200="Government and Public Administration")+($AL200="Defence/ Protective Service")+($AL200="Sports"))&gt;0,"Arts / Humanities",""))))</f>
        <v/>
      </c>
      <c r="BD200" s="5" t="str">
        <f aca="false">IF($B200="","",--(F200&gt;=10)+--(G200&gt;=10)+--(H200&gt;=10)+--(I200&gt;=10)+--(J200&gt;=10)+--(K200&gt;=10)+--(L200&gt;=10)+--(M200&gt;=10)+--(N200&gt;=10)+--(O200&gt;=10))</f>
        <v/>
      </c>
      <c r="BE200" s="5" t="str">
        <f aca="false">IF($B200="","",--(AND(F200&lt;&gt;"",F200&lt;=8))+--(AND(G200&lt;&gt;"",G200&lt;=8))+--(AND(H200&lt;&gt;"",H200&lt;=8))+--(AND(I200&lt;&gt;"",I200&lt;=8))+--(AND(J200&lt;&gt;"",J200&lt;=8))+--(AND(K200&lt;&gt;"",K200&lt;=8))+--(AND(L200&lt;&gt;"",L200&lt;=8))+--(AND(M200&lt;&gt;"",M200&lt;=8))+--(AND(N200&lt;&gt;"",N200&lt;=8))+--(AND(O200&lt;&gt;"",O200&lt;=8)))</f>
        <v/>
      </c>
    </row>
    <row r="201" customFormat="false" ht="15" hidden="false" customHeight="false" outlineLevel="0" collapsed="false">
      <c r="AZ201" s="5" t="str">
        <f aca="false">IF($B201="","",SUMPRODUCT(($AL201:$AO201&lt;&gt;"")*(COUNTIF($AP201:$AX201,$AL201:$AO201)&gt;0)))</f>
        <v/>
      </c>
      <c r="BA201" s="5" t="str">
        <f aca="false">IF($B201="","",IF(AZ201&gt;0,1,0))</f>
        <v/>
      </c>
      <c r="BB201" s="5" t="str">
        <f aca="false">IF($AP201="","",IF((($AP201="Engineering and Technology")+($AP201="Science and Mathematics")+($AP201="Computer Science, IT and Allied Fields")+($AP201="Life Sciences /Medicine and Healthcare")+($AP201="Paramedical")+($AP201="Architecture")+($AP201="Environmental Service")+($AP201="Agriculture, Food Industry and Forestry"))&gt;0,"Science",IF((($AP201="Banking and Finance")+($AP201="Management and Administration")+($AP201="Marketing")+($AP201="Sales")+($AP201="Entrepreneurship")+($AP201="Hospitality and Tourism"))&gt;0,"Commerce",IF((($AP201="Social Sciences and Humanities")+($AP201="Law Studies")+($AP201="Education and Training")+($AP201="Art, Design")+($AP201="Entertainment and Mass Media")+($AP201="Community and Social Service")+($AP201="Personal Care and Services")+($AP201="Government and Public Administration")+($AP201="Defence/ Protective Service")+($AP201="Sports"))&gt;0,"Arts / Humanities",""))))</f>
        <v/>
      </c>
      <c r="BC201" s="5" t="str">
        <f aca="false">IF($AL201="","",IF((($AL201="Engineering and Technology")+($AL201="Science and Mathematics")+($AL201="Computer Science, IT and Allied Fields")+($AL201="Life Sciences /Medicine and Healthcare")+($AL201="Paramedical")+($AL201="Architecture")+($AL201="Environmental Service")+($AL201="Agriculture, Food Industry and Forestry"))&gt;0,"Science",IF((($AL201="Banking and Finance")+($AL201="Management and Administration")+($AL201="Marketing")+($AL201="Sales")+($AL201="Entrepreneurship")+($AL201="Hospitality and Tourism"))&gt;0,"Commerce",IF((($AL201="Social Sciences and Humanities")+($AL201="Law Studies")+($AL201="Education and Training")+($AL201="Art, Design")+($AL201="Entertainment and Mass Media")+($AL201="Community and Social Service")+($AL201="Personal Care and Services")+($AL201="Government and Public Administration")+($AL201="Defence/ Protective Service")+($AL201="Sports"))&gt;0,"Arts / Humanities",""))))</f>
        <v/>
      </c>
      <c r="BD201" s="5" t="str">
        <f aca="false">IF($B201="","",--(F201&gt;=10)+--(G201&gt;=10)+--(H201&gt;=10)+--(I201&gt;=10)+--(J201&gt;=10)+--(K201&gt;=10)+--(L201&gt;=10)+--(M201&gt;=10)+--(N201&gt;=10)+--(O201&gt;=10))</f>
        <v/>
      </c>
      <c r="BE201" s="5" t="str">
        <f aca="false">IF($B201="","",--(AND(F201&lt;&gt;"",F201&lt;=8))+--(AND(G201&lt;&gt;"",G201&lt;=8))+--(AND(H201&lt;&gt;"",H201&lt;=8))+--(AND(I201&lt;&gt;"",I201&lt;=8))+--(AND(J201&lt;&gt;"",J201&lt;=8))+--(AND(K201&lt;&gt;"",K201&lt;=8))+--(AND(L201&lt;&gt;"",L201&lt;=8))+--(AND(M201&lt;&gt;"",M201&lt;=8))+--(AND(N201&lt;&gt;"",N201&lt;=8))+--(AND(O201&lt;&gt;"",O201&lt;=8)))</f>
        <v/>
      </c>
    </row>
    <row r="202" customFormat="false" ht="15" hidden="false" customHeight="false" outlineLevel="0" collapsed="false">
      <c r="AZ202" s="5" t="str">
        <f aca="false">IF($B202="","",SUMPRODUCT(($AL202:$AO202&lt;&gt;"")*(COUNTIF($AP202:$AX202,$AL202:$AO202)&gt;0)))</f>
        <v/>
      </c>
      <c r="BA202" s="5" t="str">
        <f aca="false">IF($B202="","",IF(AZ202&gt;0,1,0))</f>
        <v/>
      </c>
      <c r="BB202" s="5" t="str">
        <f aca="false">IF($AP202="","",IF((($AP202="Engineering and Technology")+($AP202="Science and Mathematics")+($AP202="Computer Science, IT and Allied Fields")+($AP202="Life Sciences /Medicine and Healthcare")+($AP202="Paramedical")+($AP202="Architecture")+($AP202="Environmental Service")+($AP202="Agriculture, Food Industry and Forestry"))&gt;0,"Science",IF((($AP202="Banking and Finance")+($AP202="Management and Administration")+($AP202="Marketing")+($AP202="Sales")+($AP202="Entrepreneurship")+($AP202="Hospitality and Tourism"))&gt;0,"Commerce",IF((($AP202="Social Sciences and Humanities")+($AP202="Law Studies")+($AP202="Education and Training")+($AP202="Art, Design")+($AP202="Entertainment and Mass Media")+($AP202="Community and Social Service")+($AP202="Personal Care and Services")+($AP202="Government and Public Administration")+($AP202="Defence/ Protective Service")+($AP202="Sports"))&gt;0,"Arts / Humanities",""))))</f>
        <v/>
      </c>
      <c r="BC202" s="5" t="str">
        <f aca="false">IF($AL202="","",IF((($AL202="Engineering and Technology")+($AL202="Science and Mathematics")+($AL202="Computer Science, IT and Allied Fields")+($AL202="Life Sciences /Medicine and Healthcare")+($AL202="Paramedical")+($AL202="Architecture")+($AL202="Environmental Service")+($AL202="Agriculture, Food Industry and Forestry"))&gt;0,"Science",IF((($AL202="Banking and Finance")+($AL202="Management and Administration")+($AL202="Marketing")+($AL202="Sales")+($AL202="Entrepreneurship")+($AL202="Hospitality and Tourism"))&gt;0,"Commerce",IF((($AL202="Social Sciences and Humanities")+($AL202="Law Studies")+($AL202="Education and Training")+($AL202="Art, Design")+($AL202="Entertainment and Mass Media")+($AL202="Community and Social Service")+($AL202="Personal Care and Services")+($AL202="Government and Public Administration")+($AL202="Defence/ Protective Service")+($AL202="Sports"))&gt;0,"Arts / Humanities",""))))</f>
        <v/>
      </c>
      <c r="BD202" s="5" t="str">
        <f aca="false">IF($B202="","",--(F202&gt;=10)+--(G202&gt;=10)+--(H202&gt;=10)+--(I202&gt;=10)+--(J202&gt;=10)+--(K202&gt;=10)+--(L202&gt;=10)+--(M202&gt;=10)+--(N202&gt;=10)+--(O202&gt;=10))</f>
        <v/>
      </c>
      <c r="BE202" s="5" t="str">
        <f aca="false">IF($B202="","",--(AND(F202&lt;&gt;"",F202&lt;=8))+--(AND(G202&lt;&gt;"",G202&lt;=8))+--(AND(H202&lt;&gt;"",H202&lt;=8))+--(AND(I202&lt;&gt;"",I202&lt;=8))+--(AND(J202&lt;&gt;"",J202&lt;=8))+--(AND(K202&lt;&gt;"",K202&lt;=8))+--(AND(L202&lt;&gt;"",L202&lt;=8))+--(AND(M202&lt;&gt;"",M202&lt;=8))+--(AND(N202&lt;&gt;"",N202&lt;=8))+--(AND(O202&lt;&gt;"",O202&lt;=8)))</f>
        <v/>
      </c>
    </row>
    <row r="203" customFormat="false" ht="15" hidden="false" customHeight="false" outlineLevel="0" collapsed="false">
      <c r="AZ203" s="5" t="str">
        <f aca="false">IF($B203="","",SUMPRODUCT(($AL203:$AO203&lt;&gt;"")*(COUNTIF($AP203:$AX203,$AL203:$AO203)&gt;0)))</f>
        <v/>
      </c>
      <c r="BA203" s="5" t="str">
        <f aca="false">IF($B203="","",IF(AZ203&gt;0,1,0))</f>
        <v/>
      </c>
      <c r="BB203" s="5" t="str">
        <f aca="false">IF($AP203="","",IF((($AP203="Engineering and Technology")+($AP203="Science and Mathematics")+($AP203="Computer Science, IT and Allied Fields")+($AP203="Life Sciences /Medicine and Healthcare")+($AP203="Paramedical")+($AP203="Architecture")+($AP203="Environmental Service")+($AP203="Agriculture, Food Industry and Forestry"))&gt;0,"Science",IF((($AP203="Banking and Finance")+($AP203="Management and Administration")+($AP203="Marketing")+($AP203="Sales")+($AP203="Entrepreneurship")+($AP203="Hospitality and Tourism"))&gt;0,"Commerce",IF((($AP203="Social Sciences and Humanities")+($AP203="Law Studies")+($AP203="Education and Training")+($AP203="Art, Design")+($AP203="Entertainment and Mass Media")+($AP203="Community and Social Service")+($AP203="Personal Care and Services")+($AP203="Government and Public Administration")+($AP203="Defence/ Protective Service")+($AP203="Sports"))&gt;0,"Arts / Humanities",""))))</f>
        <v/>
      </c>
      <c r="BC203" s="5" t="str">
        <f aca="false">IF($AL203="","",IF((($AL203="Engineering and Technology")+($AL203="Science and Mathematics")+($AL203="Computer Science, IT and Allied Fields")+($AL203="Life Sciences /Medicine and Healthcare")+($AL203="Paramedical")+($AL203="Architecture")+($AL203="Environmental Service")+($AL203="Agriculture, Food Industry and Forestry"))&gt;0,"Science",IF((($AL203="Banking and Finance")+($AL203="Management and Administration")+($AL203="Marketing")+($AL203="Sales")+($AL203="Entrepreneurship")+($AL203="Hospitality and Tourism"))&gt;0,"Commerce",IF((($AL203="Social Sciences and Humanities")+($AL203="Law Studies")+($AL203="Education and Training")+($AL203="Art, Design")+($AL203="Entertainment and Mass Media")+($AL203="Community and Social Service")+($AL203="Personal Care and Services")+($AL203="Government and Public Administration")+($AL203="Defence/ Protective Service")+($AL203="Sports"))&gt;0,"Arts / Humanities",""))))</f>
        <v/>
      </c>
      <c r="BD203" s="5" t="str">
        <f aca="false">IF($B203="","",--(F203&gt;=10)+--(G203&gt;=10)+--(H203&gt;=10)+--(I203&gt;=10)+--(J203&gt;=10)+--(K203&gt;=10)+--(L203&gt;=10)+--(M203&gt;=10)+--(N203&gt;=10)+--(O203&gt;=10))</f>
        <v/>
      </c>
      <c r="BE203" s="5" t="str">
        <f aca="false">IF($B203="","",--(AND(F203&lt;&gt;"",F203&lt;=8))+--(AND(G203&lt;&gt;"",G203&lt;=8))+--(AND(H203&lt;&gt;"",H203&lt;=8))+--(AND(I203&lt;&gt;"",I203&lt;=8))+--(AND(J203&lt;&gt;"",J203&lt;=8))+--(AND(K203&lt;&gt;"",K203&lt;=8))+--(AND(L203&lt;&gt;"",L203&lt;=8))+--(AND(M203&lt;&gt;"",M203&lt;=8))+--(AND(N203&lt;&gt;"",N203&lt;=8))+--(AND(O203&lt;&gt;"",O203&lt;=8)))</f>
        <v/>
      </c>
    </row>
    <row r="204" customFormat="false" ht="15" hidden="false" customHeight="false" outlineLevel="0" collapsed="false">
      <c r="AZ204" s="5" t="str">
        <f aca="false">IF($B204="","",SUMPRODUCT(($AL204:$AO204&lt;&gt;"")*(COUNTIF($AP204:$AX204,$AL204:$AO204)&gt;0)))</f>
        <v/>
      </c>
      <c r="BA204" s="5" t="str">
        <f aca="false">IF($B204="","",IF(AZ204&gt;0,1,0))</f>
        <v/>
      </c>
      <c r="BB204" s="5" t="str">
        <f aca="false">IF($AP204="","",IF((($AP204="Engineering and Technology")+($AP204="Science and Mathematics")+($AP204="Computer Science, IT and Allied Fields")+($AP204="Life Sciences /Medicine and Healthcare")+($AP204="Paramedical")+($AP204="Architecture")+($AP204="Environmental Service")+($AP204="Agriculture, Food Industry and Forestry"))&gt;0,"Science",IF((($AP204="Banking and Finance")+($AP204="Management and Administration")+($AP204="Marketing")+($AP204="Sales")+($AP204="Entrepreneurship")+($AP204="Hospitality and Tourism"))&gt;0,"Commerce",IF((($AP204="Social Sciences and Humanities")+($AP204="Law Studies")+($AP204="Education and Training")+($AP204="Art, Design")+($AP204="Entertainment and Mass Media")+($AP204="Community and Social Service")+($AP204="Personal Care and Services")+($AP204="Government and Public Administration")+($AP204="Defence/ Protective Service")+($AP204="Sports"))&gt;0,"Arts / Humanities",""))))</f>
        <v/>
      </c>
      <c r="BC204" s="5" t="str">
        <f aca="false">IF($AL204="","",IF((($AL204="Engineering and Technology")+($AL204="Science and Mathematics")+($AL204="Computer Science, IT and Allied Fields")+($AL204="Life Sciences /Medicine and Healthcare")+($AL204="Paramedical")+($AL204="Architecture")+($AL204="Environmental Service")+($AL204="Agriculture, Food Industry and Forestry"))&gt;0,"Science",IF((($AL204="Banking and Finance")+($AL204="Management and Administration")+($AL204="Marketing")+($AL204="Sales")+($AL204="Entrepreneurship")+($AL204="Hospitality and Tourism"))&gt;0,"Commerce",IF((($AL204="Social Sciences and Humanities")+($AL204="Law Studies")+($AL204="Education and Training")+($AL204="Art, Design")+($AL204="Entertainment and Mass Media")+($AL204="Community and Social Service")+($AL204="Personal Care and Services")+($AL204="Government and Public Administration")+($AL204="Defence/ Protective Service")+($AL204="Sports"))&gt;0,"Arts / Humanities",""))))</f>
        <v/>
      </c>
      <c r="BD204" s="5" t="str">
        <f aca="false">IF($B204="","",--(F204&gt;=10)+--(G204&gt;=10)+--(H204&gt;=10)+--(I204&gt;=10)+--(J204&gt;=10)+--(K204&gt;=10)+--(L204&gt;=10)+--(M204&gt;=10)+--(N204&gt;=10)+--(O204&gt;=10))</f>
        <v/>
      </c>
      <c r="BE204" s="5" t="str">
        <f aca="false">IF($B204="","",--(AND(F204&lt;&gt;"",F204&lt;=8))+--(AND(G204&lt;&gt;"",G204&lt;=8))+--(AND(H204&lt;&gt;"",H204&lt;=8))+--(AND(I204&lt;&gt;"",I204&lt;=8))+--(AND(J204&lt;&gt;"",J204&lt;=8))+--(AND(K204&lt;&gt;"",K204&lt;=8))+--(AND(L204&lt;&gt;"",L204&lt;=8))+--(AND(M204&lt;&gt;"",M204&lt;=8))+--(AND(N204&lt;&gt;"",N204&lt;=8))+--(AND(O204&lt;&gt;"",O204&lt;=8)))</f>
        <v/>
      </c>
    </row>
    <row r="205" customFormat="false" ht="15" hidden="false" customHeight="false" outlineLevel="0" collapsed="false">
      <c r="AZ205" s="5" t="str">
        <f aca="false">IF($B205="","",SUMPRODUCT(($AL205:$AO205&lt;&gt;"")*(COUNTIF($AP205:$AX205,$AL205:$AO205)&gt;0)))</f>
        <v/>
      </c>
      <c r="BA205" s="5" t="str">
        <f aca="false">IF($B205="","",IF(AZ205&gt;0,1,0))</f>
        <v/>
      </c>
      <c r="BB205" s="5" t="str">
        <f aca="false">IF($AP205="","",IF((($AP205="Engineering and Technology")+($AP205="Science and Mathematics")+($AP205="Computer Science, IT and Allied Fields")+($AP205="Life Sciences /Medicine and Healthcare")+($AP205="Paramedical")+($AP205="Architecture")+($AP205="Environmental Service")+($AP205="Agriculture, Food Industry and Forestry"))&gt;0,"Science",IF((($AP205="Banking and Finance")+($AP205="Management and Administration")+($AP205="Marketing")+($AP205="Sales")+($AP205="Entrepreneurship")+($AP205="Hospitality and Tourism"))&gt;0,"Commerce",IF((($AP205="Social Sciences and Humanities")+($AP205="Law Studies")+($AP205="Education and Training")+($AP205="Art, Design")+($AP205="Entertainment and Mass Media")+($AP205="Community and Social Service")+($AP205="Personal Care and Services")+($AP205="Government and Public Administration")+($AP205="Defence/ Protective Service")+($AP205="Sports"))&gt;0,"Arts / Humanities",""))))</f>
        <v/>
      </c>
      <c r="BC205" s="5" t="str">
        <f aca="false">IF($AL205="","",IF((($AL205="Engineering and Technology")+($AL205="Science and Mathematics")+($AL205="Computer Science, IT and Allied Fields")+($AL205="Life Sciences /Medicine and Healthcare")+($AL205="Paramedical")+($AL205="Architecture")+($AL205="Environmental Service")+($AL205="Agriculture, Food Industry and Forestry"))&gt;0,"Science",IF((($AL205="Banking and Finance")+($AL205="Management and Administration")+($AL205="Marketing")+($AL205="Sales")+($AL205="Entrepreneurship")+($AL205="Hospitality and Tourism"))&gt;0,"Commerce",IF((($AL205="Social Sciences and Humanities")+($AL205="Law Studies")+($AL205="Education and Training")+($AL205="Art, Design")+($AL205="Entertainment and Mass Media")+($AL205="Community and Social Service")+($AL205="Personal Care and Services")+($AL205="Government and Public Administration")+($AL205="Defence/ Protective Service")+($AL205="Sports"))&gt;0,"Arts / Humanities",""))))</f>
        <v/>
      </c>
      <c r="BD205" s="5" t="str">
        <f aca="false">IF($B205="","",--(F205&gt;=10)+--(G205&gt;=10)+--(H205&gt;=10)+--(I205&gt;=10)+--(J205&gt;=10)+--(K205&gt;=10)+--(L205&gt;=10)+--(M205&gt;=10)+--(N205&gt;=10)+--(O205&gt;=10))</f>
        <v/>
      </c>
      <c r="BE205" s="5" t="str">
        <f aca="false">IF($B205="","",--(AND(F205&lt;&gt;"",F205&lt;=8))+--(AND(G205&lt;&gt;"",G205&lt;=8))+--(AND(H205&lt;&gt;"",H205&lt;=8))+--(AND(I205&lt;&gt;"",I205&lt;=8))+--(AND(J205&lt;&gt;"",J205&lt;=8))+--(AND(K205&lt;&gt;"",K205&lt;=8))+--(AND(L205&lt;&gt;"",L205&lt;=8))+--(AND(M205&lt;&gt;"",M205&lt;=8))+--(AND(N205&lt;&gt;"",N205&lt;=8))+--(AND(O205&lt;&gt;"",O205&lt;=8)))</f>
        <v/>
      </c>
    </row>
    <row r="206" customFormat="false" ht="15" hidden="false" customHeight="false" outlineLevel="0" collapsed="false">
      <c r="AZ206" s="5" t="str">
        <f aca="false">IF($B206="","",SUMPRODUCT(($AL206:$AO206&lt;&gt;"")*(COUNTIF($AP206:$AX206,$AL206:$AO206)&gt;0)))</f>
        <v/>
      </c>
      <c r="BA206" s="5" t="str">
        <f aca="false">IF($B206="","",IF(AZ206&gt;0,1,0))</f>
        <v/>
      </c>
      <c r="BB206" s="5" t="str">
        <f aca="false">IF($AP206="","",IF((($AP206="Engineering and Technology")+($AP206="Science and Mathematics")+($AP206="Computer Science, IT and Allied Fields")+($AP206="Life Sciences /Medicine and Healthcare")+($AP206="Paramedical")+($AP206="Architecture")+($AP206="Environmental Service")+($AP206="Agriculture, Food Industry and Forestry"))&gt;0,"Science",IF((($AP206="Banking and Finance")+($AP206="Management and Administration")+($AP206="Marketing")+($AP206="Sales")+($AP206="Entrepreneurship")+($AP206="Hospitality and Tourism"))&gt;0,"Commerce",IF((($AP206="Social Sciences and Humanities")+($AP206="Law Studies")+($AP206="Education and Training")+($AP206="Art, Design")+($AP206="Entertainment and Mass Media")+($AP206="Community and Social Service")+($AP206="Personal Care and Services")+($AP206="Government and Public Administration")+($AP206="Defence/ Protective Service")+($AP206="Sports"))&gt;0,"Arts / Humanities",""))))</f>
        <v/>
      </c>
      <c r="BC206" s="5" t="str">
        <f aca="false">IF($AL206="","",IF((($AL206="Engineering and Technology")+($AL206="Science and Mathematics")+($AL206="Computer Science, IT and Allied Fields")+($AL206="Life Sciences /Medicine and Healthcare")+($AL206="Paramedical")+($AL206="Architecture")+($AL206="Environmental Service")+($AL206="Agriculture, Food Industry and Forestry"))&gt;0,"Science",IF((($AL206="Banking and Finance")+($AL206="Management and Administration")+($AL206="Marketing")+($AL206="Sales")+($AL206="Entrepreneurship")+($AL206="Hospitality and Tourism"))&gt;0,"Commerce",IF((($AL206="Social Sciences and Humanities")+($AL206="Law Studies")+($AL206="Education and Training")+($AL206="Art, Design")+($AL206="Entertainment and Mass Media")+($AL206="Community and Social Service")+($AL206="Personal Care and Services")+($AL206="Government and Public Administration")+($AL206="Defence/ Protective Service")+($AL206="Sports"))&gt;0,"Arts / Humanities",""))))</f>
        <v/>
      </c>
      <c r="BD206" s="5" t="str">
        <f aca="false">IF($B206="","",--(F206&gt;=10)+--(G206&gt;=10)+--(H206&gt;=10)+--(I206&gt;=10)+--(J206&gt;=10)+--(K206&gt;=10)+--(L206&gt;=10)+--(M206&gt;=10)+--(N206&gt;=10)+--(O206&gt;=10))</f>
        <v/>
      </c>
      <c r="BE206" s="5" t="str">
        <f aca="false">IF($B206="","",--(AND(F206&lt;&gt;"",F206&lt;=8))+--(AND(G206&lt;&gt;"",G206&lt;=8))+--(AND(H206&lt;&gt;"",H206&lt;=8))+--(AND(I206&lt;&gt;"",I206&lt;=8))+--(AND(J206&lt;&gt;"",J206&lt;=8))+--(AND(K206&lt;&gt;"",K206&lt;=8))+--(AND(L206&lt;&gt;"",L206&lt;=8))+--(AND(M206&lt;&gt;"",M206&lt;=8))+--(AND(N206&lt;&gt;"",N206&lt;=8))+--(AND(O206&lt;&gt;"",O206&lt;=8)))</f>
        <v/>
      </c>
    </row>
    <row r="207" customFormat="false" ht="15" hidden="false" customHeight="false" outlineLevel="0" collapsed="false">
      <c r="AZ207" s="5" t="str">
        <f aca="false">IF($B207="","",SUMPRODUCT(($AL207:$AO207&lt;&gt;"")*(COUNTIF($AP207:$AX207,$AL207:$AO207)&gt;0)))</f>
        <v/>
      </c>
      <c r="BA207" s="5" t="str">
        <f aca="false">IF($B207="","",IF(AZ207&gt;0,1,0))</f>
        <v/>
      </c>
      <c r="BB207" s="5" t="str">
        <f aca="false">IF($AP207="","",IF((($AP207="Engineering and Technology")+($AP207="Science and Mathematics")+($AP207="Computer Science, IT and Allied Fields")+($AP207="Life Sciences /Medicine and Healthcare")+($AP207="Paramedical")+($AP207="Architecture")+($AP207="Environmental Service")+($AP207="Agriculture, Food Industry and Forestry"))&gt;0,"Science",IF((($AP207="Banking and Finance")+($AP207="Management and Administration")+($AP207="Marketing")+($AP207="Sales")+($AP207="Entrepreneurship")+($AP207="Hospitality and Tourism"))&gt;0,"Commerce",IF((($AP207="Social Sciences and Humanities")+($AP207="Law Studies")+($AP207="Education and Training")+($AP207="Art, Design")+($AP207="Entertainment and Mass Media")+($AP207="Community and Social Service")+($AP207="Personal Care and Services")+($AP207="Government and Public Administration")+($AP207="Defence/ Protective Service")+($AP207="Sports"))&gt;0,"Arts / Humanities",""))))</f>
        <v/>
      </c>
      <c r="BC207" s="5" t="str">
        <f aca="false">IF($AL207="","",IF((($AL207="Engineering and Technology")+($AL207="Science and Mathematics")+($AL207="Computer Science, IT and Allied Fields")+($AL207="Life Sciences /Medicine and Healthcare")+($AL207="Paramedical")+($AL207="Architecture")+($AL207="Environmental Service")+($AL207="Agriculture, Food Industry and Forestry"))&gt;0,"Science",IF((($AL207="Banking and Finance")+($AL207="Management and Administration")+($AL207="Marketing")+($AL207="Sales")+($AL207="Entrepreneurship")+($AL207="Hospitality and Tourism"))&gt;0,"Commerce",IF((($AL207="Social Sciences and Humanities")+($AL207="Law Studies")+($AL207="Education and Training")+($AL207="Art, Design")+($AL207="Entertainment and Mass Media")+($AL207="Community and Social Service")+($AL207="Personal Care and Services")+($AL207="Government and Public Administration")+($AL207="Defence/ Protective Service")+($AL207="Sports"))&gt;0,"Arts / Humanities",""))))</f>
        <v/>
      </c>
      <c r="BD207" s="5" t="str">
        <f aca="false">IF($B207="","",--(F207&gt;=10)+--(G207&gt;=10)+--(H207&gt;=10)+--(I207&gt;=10)+--(J207&gt;=10)+--(K207&gt;=10)+--(L207&gt;=10)+--(M207&gt;=10)+--(N207&gt;=10)+--(O207&gt;=10))</f>
        <v/>
      </c>
      <c r="BE207" s="5" t="str">
        <f aca="false">IF($B207="","",--(AND(F207&lt;&gt;"",F207&lt;=8))+--(AND(G207&lt;&gt;"",G207&lt;=8))+--(AND(H207&lt;&gt;"",H207&lt;=8))+--(AND(I207&lt;&gt;"",I207&lt;=8))+--(AND(J207&lt;&gt;"",J207&lt;=8))+--(AND(K207&lt;&gt;"",K207&lt;=8))+--(AND(L207&lt;&gt;"",L207&lt;=8))+--(AND(M207&lt;&gt;"",M207&lt;=8))+--(AND(N207&lt;&gt;"",N207&lt;=8))+--(AND(O207&lt;&gt;"",O207&lt;=8)))</f>
        <v/>
      </c>
    </row>
    <row r="208" customFormat="false" ht="15" hidden="false" customHeight="false" outlineLevel="0" collapsed="false">
      <c r="AZ208" s="5" t="str">
        <f aca="false">IF($B208="","",SUMPRODUCT(($AL208:$AO208&lt;&gt;"")*(COUNTIF($AP208:$AX208,$AL208:$AO208)&gt;0)))</f>
        <v/>
      </c>
      <c r="BA208" s="5" t="str">
        <f aca="false">IF($B208="","",IF(AZ208&gt;0,1,0))</f>
        <v/>
      </c>
      <c r="BB208" s="5" t="str">
        <f aca="false">IF($AP208="","",IF((($AP208="Engineering and Technology")+($AP208="Science and Mathematics")+($AP208="Computer Science, IT and Allied Fields")+($AP208="Life Sciences /Medicine and Healthcare")+($AP208="Paramedical")+($AP208="Architecture")+($AP208="Environmental Service")+($AP208="Agriculture, Food Industry and Forestry"))&gt;0,"Science",IF((($AP208="Banking and Finance")+($AP208="Management and Administration")+($AP208="Marketing")+($AP208="Sales")+($AP208="Entrepreneurship")+($AP208="Hospitality and Tourism"))&gt;0,"Commerce",IF((($AP208="Social Sciences and Humanities")+($AP208="Law Studies")+($AP208="Education and Training")+($AP208="Art, Design")+($AP208="Entertainment and Mass Media")+($AP208="Community and Social Service")+($AP208="Personal Care and Services")+($AP208="Government and Public Administration")+($AP208="Defence/ Protective Service")+($AP208="Sports"))&gt;0,"Arts / Humanities",""))))</f>
        <v/>
      </c>
      <c r="BC208" s="5" t="str">
        <f aca="false">IF($AL208="","",IF((($AL208="Engineering and Technology")+($AL208="Science and Mathematics")+($AL208="Computer Science, IT and Allied Fields")+($AL208="Life Sciences /Medicine and Healthcare")+($AL208="Paramedical")+($AL208="Architecture")+($AL208="Environmental Service")+($AL208="Agriculture, Food Industry and Forestry"))&gt;0,"Science",IF((($AL208="Banking and Finance")+($AL208="Management and Administration")+($AL208="Marketing")+($AL208="Sales")+($AL208="Entrepreneurship")+($AL208="Hospitality and Tourism"))&gt;0,"Commerce",IF((($AL208="Social Sciences and Humanities")+($AL208="Law Studies")+($AL208="Education and Training")+($AL208="Art, Design")+($AL208="Entertainment and Mass Media")+($AL208="Community and Social Service")+($AL208="Personal Care and Services")+($AL208="Government and Public Administration")+($AL208="Defence/ Protective Service")+($AL208="Sports"))&gt;0,"Arts / Humanities",""))))</f>
        <v/>
      </c>
      <c r="BD208" s="5" t="str">
        <f aca="false">IF($B208="","",--(F208&gt;=10)+--(G208&gt;=10)+--(H208&gt;=10)+--(I208&gt;=10)+--(J208&gt;=10)+--(K208&gt;=10)+--(L208&gt;=10)+--(M208&gt;=10)+--(N208&gt;=10)+--(O208&gt;=10))</f>
        <v/>
      </c>
      <c r="BE208" s="5" t="str">
        <f aca="false">IF($B208="","",--(AND(F208&lt;&gt;"",F208&lt;=8))+--(AND(G208&lt;&gt;"",G208&lt;=8))+--(AND(H208&lt;&gt;"",H208&lt;=8))+--(AND(I208&lt;&gt;"",I208&lt;=8))+--(AND(J208&lt;&gt;"",J208&lt;=8))+--(AND(K208&lt;&gt;"",K208&lt;=8))+--(AND(L208&lt;&gt;"",L208&lt;=8))+--(AND(M208&lt;&gt;"",M208&lt;=8))+--(AND(N208&lt;&gt;"",N208&lt;=8))+--(AND(O208&lt;&gt;"",O208&lt;=8)))</f>
        <v/>
      </c>
    </row>
    <row r="209" customFormat="false" ht="15" hidden="false" customHeight="false" outlineLevel="0" collapsed="false">
      <c r="AZ209" s="5" t="str">
        <f aca="false">IF($B209="","",SUMPRODUCT(($AL209:$AO209&lt;&gt;"")*(COUNTIF($AP209:$AX209,$AL209:$AO209)&gt;0)))</f>
        <v/>
      </c>
      <c r="BA209" s="5" t="str">
        <f aca="false">IF($B209="","",IF(AZ209&gt;0,1,0))</f>
        <v/>
      </c>
      <c r="BB209" s="5" t="str">
        <f aca="false">IF($AP209="","",IF((($AP209="Engineering and Technology")+($AP209="Science and Mathematics")+($AP209="Computer Science, IT and Allied Fields")+($AP209="Life Sciences /Medicine and Healthcare")+($AP209="Paramedical")+($AP209="Architecture")+($AP209="Environmental Service")+($AP209="Agriculture, Food Industry and Forestry"))&gt;0,"Science",IF((($AP209="Banking and Finance")+($AP209="Management and Administration")+($AP209="Marketing")+($AP209="Sales")+($AP209="Entrepreneurship")+($AP209="Hospitality and Tourism"))&gt;0,"Commerce",IF((($AP209="Social Sciences and Humanities")+($AP209="Law Studies")+($AP209="Education and Training")+($AP209="Art, Design")+($AP209="Entertainment and Mass Media")+($AP209="Community and Social Service")+($AP209="Personal Care and Services")+($AP209="Government and Public Administration")+($AP209="Defence/ Protective Service")+($AP209="Sports"))&gt;0,"Arts / Humanities",""))))</f>
        <v/>
      </c>
      <c r="BC209" s="5" t="str">
        <f aca="false">IF($AL209="","",IF((($AL209="Engineering and Technology")+($AL209="Science and Mathematics")+($AL209="Computer Science, IT and Allied Fields")+($AL209="Life Sciences /Medicine and Healthcare")+($AL209="Paramedical")+($AL209="Architecture")+($AL209="Environmental Service")+($AL209="Agriculture, Food Industry and Forestry"))&gt;0,"Science",IF((($AL209="Banking and Finance")+($AL209="Management and Administration")+($AL209="Marketing")+($AL209="Sales")+($AL209="Entrepreneurship")+($AL209="Hospitality and Tourism"))&gt;0,"Commerce",IF((($AL209="Social Sciences and Humanities")+($AL209="Law Studies")+($AL209="Education and Training")+($AL209="Art, Design")+($AL209="Entertainment and Mass Media")+($AL209="Community and Social Service")+($AL209="Personal Care and Services")+($AL209="Government and Public Administration")+($AL209="Defence/ Protective Service")+($AL209="Sports"))&gt;0,"Arts / Humanities",""))))</f>
        <v/>
      </c>
      <c r="BD209" s="5" t="str">
        <f aca="false">IF($B209="","",--(F209&gt;=10)+--(G209&gt;=10)+--(H209&gt;=10)+--(I209&gt;=10)+--(J209&gt;=10)+--(K209&gt;=10)+--(L209&gt;=10)+--(M209&gt;=10)+--(N209&gt;=10)+--(O209&gt;=10))</f>
        <v/>
      </c>
      <c r="BE209" s="5" t="str">
        <f aca="false">IF($B209="","",--(AND(F209&lt;&gt;"",F209&lt;=8))+--(AND(G209&lt;&gt;"",G209&lt;=8))+--(AND(H209&lt;&gt;"",H209&lt;=8))+--(AND(I209&lt;&gt;"",I209&lt;=8))+--(AND(J209&lt;&gt;"",J209&lt;=8))+--(AND(K209&lt;&gt;"",K209&lt;=8))+--(AND(L209&lt;&gt;"",L209&lt;=8))+--(AND(M209&lt;&gt;"",M209&lt;=8))+--(AND(N209&lt;&gt;"",N209&lt;=8))+--(AND(O209&lt;&gt;"",O209&lt;=8)))</f>
        <v/>
      </c>
    </row>
    <row r="210" customFormat="false" ht="15" hidden="false" customHeight="false" outlineLevel="0" collapsed="false">
      <c r="AZ210" s="5" t="str">
        <f aca="false">IF($B210="","",SUMPRODUCT(($AL210:$AO210&lt;&gt;"")*(COUNTIF($AP210:$AX210,$AL210:$AO210)&gt;0)))</f>
        <v/>
      </c>
      <c r="BA210" s="5" t="str">
        <f aca="false">IF($B210="","",IF(AZ210&gt;0,1,0))</f>
        <v/>
      </c>
      <c r="BB210" s="5" t="str">
        <f aca="false">IF($AP210="","",IF((($AP210="Engineering and Technology")+($AP210="Science and Mathematics")+($AP210="Computer Science, IT and Allied Fields")+($AP210="Life Sciences /Medicine and Healthcare")+($AP210="Paramedical")+($AP210="Architecture")+($AP210="Environmental Service")+($AP210="Agriculture, Food Industry and Forestry"))&gt;0,"Science",IF((($AP210="Banking and Finance")+($AP210="Management and Administration")+($AP210="Marketing")+($AP210="Sales")+($AP210="Entrepreneurship")+($AP210="Hospitality and Tourism"))&gt;0,"Commerce",IF((($AP210="Social Sciences and Humanities")+($AP210="Law Studies")+($AP210="Education and Training")+($AP210="Art, Design")+($AP210="Entertainment and Mass Media")+($AP210="Community and Social Service")+($AP210="Personal Care and Services")+($AP210="Government and Public Administration")+($AP210="Defence/ Protective Service")+($AP210="Sports"))&gt;0,"Arts / Humanities",""))))</f>
        <v/>
      </c>
      <c r="BC210" s="5" t="str">
        <f aca="false">IF($AL210="","",IF((($AL210="Engineering and Technology")+($AL210="Science and Mathematics")+($AL210="Computer Science, IT and Allied Fields")+($AL210="Life Sciences /Medicine and Healthcare")+($AL210="Paramedical")+($AL210="Architecture")+($AL210="Environmental Service")+($AL210="Agriculture, Food Industry and Forestry"))&gt;0,"Science",IF((($AL210="Banking and Finance")+($AL210="Management and Administration")+($AL210="Marketing")+($AL210="Sales")+($AL210="Entrepreneurship")+($AL210="Hospitality and Tourism"))&gt;0,"Commerce",IF((($AL210="Social Sciences and Humanities")+($AL210="Law Studies")+($AL210="Education and Training")+($AL210="Art, Design")+($AL210="Entertainment and Mass Media")+($AL210="Community and Social Service")+($AL210="Personal Care and Services")+($AL210="Government and Public Administration")+($AL210="Defence/ Protective Service")+($AL210="Sports"))&gt;0,"Arts / Humanities",""))))</f>
        <v/>
      </c>
      <c r="BD210" s="5" t="str">
        <f aca="false">IF($B210="","",--(F210&gt;=10)+--(G210&gt;=10)+--(H210&gt;=10)+--(I210&gt;=10)+--(J210&gt;=10)+--(K210&gt;=10)+--(L210&gt;=10)+--(M210&gt;=10)+--(N210&gt;=10)+--(O210&gt;=10))</f>
        <v/>
      </c>
      <c r="BE210" s="5" t="str">
        <f aca="false">IF($B210="","",--(AND(F210&lt;&gt;"",F210&lt;=8))+--(AND(G210&lt;&gt;"",G210&lt;=8))+--(AND(H210&lt;&gt;"",H210&lt;=8))+--(AND(I210&lt;&gt;"",I210&lt;=8))+--(AND(J210&lt;&gt;"",J210&lt;=8))+--(AND(K210&lt;&gt;"",K210&lt;=8))+--(AND(L210&lt;&gt;"",L210&lt;=8))+--(AND(M210&lt;&gt;"",M210&lt;=8))+--(AND(N210&lt;&gt;"",N210&lt;=8))+--(AND(O210&lt;&gt;"",O210&lt;=8)))</f>
        <v/>
      </c>
    </row>
    <row r="211" customFormat="false" ht="15" hidden="false" customHeight="false" outlineLevel="0" collapsed="false">
      <c r="AZ211" s="5" t="str">
        <f aca="false">IF($B211="","",SUMPRODUCT(($AL211:$AO211&lt;&gt;"")*(COUNTIF($AP211:$AX211,$AL211:$AO211)&gt;0)))</f>
        <v/>
      </c>
      <c r="BA211" s="5" t="str">
        <f aca="false">IF($B211="","",IF(AZ211&gt;0,1,0))</f>
        <v/>
      </c>
      <c r="BB211" s="5" t="str">
        <f aca="false">IF($AP211="","",IF((($AP211="Engineering and Technology")+($AP211="Science and Mathematics")+($AP211="Computer Science, IT and Allied Fields")+($AP211="Life Sciences /Medicine and Healthcare")+($AP211="Paramedical")+($AP211="Architecture")+($AP211="Environmental Service")+($AP211="Agriculture, Food Industry and Forestry"))&gt;0,"Science",IF((($AP211="Banking and Finance")+($AP211="Management and Administration")+($AP211="Marketing")+($AP211="Sales")+($AP211="Entrepreneurship")+($AP211="Hospitality and Tourism"))&gt;0,"Commerce",IF((($AP211="Social Sciences and Humanities")+($AP211="Law Studies")+($AP211="Education and Training")+($AP211="Art, Design")+($AP211="Entertainment and Mass Media")+($AP211="Community and Social Service")+($AP211="Personal Care and Services")+($AP211="Government and Public Administration")+($AP211="Defence/ Protective Service")+($AP211="Sports"))&gt;0,"Arts / Humanities",""))))</f>
        <v/>
      </c>
      <c r="BC211" s="5" t="str">
        <f aca="false">IF($AL211="","",IF((($AL211="Engineering and Technology")+($AL211="Science and Mathematics")+($AL211="Computer Science, IT and Allied Fields")+($AL211="Life Sciences /Medicine and Healthcare")+($AL211="Paramedical")+($AL211="Architecture")+($AL211="Environmental Service")+($AL211="Agriculture, Food Industry and Forestry"))&gt;0,"Science",IF((($AL211="Banking and Finance")+($AL211="Management and Administration")+($AL211="Marketing")+($AL211="Sales")+($AL211="Entrepreneurship")+($AL211="Hospitality and Tourism"))&gt;0,"Commerce",IF((($AL211="Social Sciences and Humanities")+($AL211="Law Studies")+($AL211="Education and Training")+($AL211="Art, Design")+($AL211="Entertainment and Mass Media")+($AL211="Community and Social Service")+($AL211="Personal Care and Services")+($AL211="Government and Public Administration")+($AL211="Defence/ Protective Service")+($AL211="Sports"))&gt;0,"Arts / Humanities",""))))</f>
        <v/>
      </c>
      <c r="BD211" s="5" t="str">
        <f aca="false">IF($B211="","",--(F211&gt;=10)+--(G211&gt;=10)+--(H211&gt;=10)+--(I211&gt;=10)+--(J211&gt;=10)+--(K211&gt;=10)+--(L211&gt;=10)+--(M211&gt;=10)+--(N211&gt;=10)+--(O211&gt;=10))</f>
        <v/>
      </c>
      <c r="BE211" s="5" t="str">
        <f aca="false">IF($B211="","",--(AND(F211&lt;&gt;"",F211&lt;=8))+--(AND(G211&lt;&gt;"",G211&lt;=8))+--(AND(H211&lt;&gt;"",H211&lt;=8))+--(AND(I211&lt;&gt;"",I211&lt;=8))+--(AND(J211&lt;&gt;"",J211&lt;=8))+--(AND(K211&lt;&gt;"",K211&lt;=8))+--(AND(L211&lt;&gt;"",L211&lt;=8))+--(AND(M211&lt;&gt;"",M211&lt;=8))+--(AND(N211&lt;&gt;"",N211&lt;=8))+--(AND(O211&lt;&gt;"",O211&lt;=8)))</f>
        <v/>
      </c>
    </row>
    <row r="212" customFormat="false" ht="15" hidden="false" customHeight="false" outlineLevel="0" collapsed="false">
      <c r="AZ212" s="5" t="str">
        <f aca="false">IF($B212="","",SUMPRODUCT(($AL212:$AO212&lt;&gt;"")*(COUNTIF($AP212:$AX212,$AL212:$AO212)&gt;0)))</f>
        <v/>
      </c>
      <c r="BA212" s="5" t="str">
        <f aca="false">IF($B212="","",IF(AZ212&gt;0,1,0))</f>
        <v/>
      </c>
      <c r="BB212" s="5" t="str">
        <f aca="false">IF($AP212="","",IF((($AP212="Engineering and Technology")+($AP212="Science and Mathematics")+($AP212="Computer Science, IT and Allied Fields")+($AP212="Life Sciences /Medicine and Healthcare")+($AP212="Paramedical")+($AP212="Architecture")+($AP212="Environmental Service")+($AP212="Agriculture, Food Industry and Forestry"))&gt;0,"Science",IF((($AP212="Banking and Finance")+($AP212="Management and Administration")+($AP212="Marketing")+($AP212="Sales")+($AP212="Entrepreneurship")+($AP212="Hospitality and Tourism"))&gt;0,"Commerce",IF((($AP212="Social Sciences and Humanities")+($AP212="Law Studies")+($AP212="Education and Training")+($AP212="Art, Design")+($AP212="Entertainment and Mass Media")+($AP212="Community and Social Service")+($AP212="Personal Care and Services")+($AP212="Government and Public Administration")+($AP212="Defence/ Protective Service")+($AP212="Sports"))&gt;0,"Arts / Humanities",""))))</f>
        <v/>
      </c>
      <c r="BC212" s="5" t="str">
        <f aca="false">IF($AL212="","",IF((($AL212="Engineering and Technology")+($AL212="Science and Mathematics")+($AL212="Computer Science, IT and Allied Fields")+($AL212="Life Sciences /Medicine and Healthcare")+($AL212="Paramedical")+($AL212="Architecture")+($AL212="Environmental Service")+($AL212="Agriculture, Food Industry and Forestry"))&gt;0,"Science",IF((($AL212="Banking and Finance")+($AL212="Management and Administration")+($AL212="Marketing")+($AL212="Sales")+($AL212="Entrepreneurship")+($AL212="Hospitality and Tourism"))&gt;0,"Commerce",IF((($AL212="Social Sciences and Humanities")+($AL212="Law Studies")+($AL212="Education and Training")+($AL212="Art, Design")+($AL212="Entertainment and Mass Media")+($AL212="Community and Social Service")+($AL212="Personal Care and Services")+($AL212="Government and Public Administration")+($AL212="Defence/ Protective Service")+($AL212="Sports"))&gt;0,"Arts / Humanities",""))))</f>
        <v/>
      </c>
      <c r="BD212" s="5" t="str">
        <f aca="false">IF($B212="","",--(F212&gt;=10)+--(G212&gt;=10)+--(H212&gt;=10)+--(I212&gt;=10)+--(J212&gt;=10)+--(K212&gt;=10)+--(L212&gt;=10)+--(M212&gt;=10)+--(N212&gt;=10)+--(O212&gt;=10))</f>
        <v/>
      </c>
      <c r="BE212" s="5" t="str">
        <f aca="false">IF($B212="","",--(AND(F212&lt;&gt;"",F212&lt;=8))+--(AND(G212&lt;&gt;"",G212&lt;=8))+--(AND(H212&lt;&gt;"",H212&lt;=8))+--(AND(I212&lt;&gt;"",I212&lt;=8))+--(AND(J212&lt;&gt;"",J212&lt;=8))+--(AND(K212&lt;&gt;"",K212&lt;=8))+--(AND(L212&lt;&gt;"",L212&lt;=8))+--(AND(M212&lt;&gt;"",M212&lt;=8))+--(AND(N212&lt;&gt;"",N212&lt;=8))+--(AND(O212&lt;&gt;"",O212&lt;=8)))</f>
        <v/>
      </c>
    </row>
    <row r="213" customFormat="false" ht="15" hidden="false" customHeight="false" outlineLevel="0" collapsed="false">
      <c r="AZ213" s="5" t="str">
        <f aca="false">IF($B213="","",SUMPRODUCT(($AL213:$AO213&lt;&gt;"")*(COUNTIF($AP213:$AX213,$AL213:$AO213)&gt;0)))</f>
        <v/>
      </c>
      <c r="BA213" s="5" t="str">
        <f aca="false">IF($B213="","",IF(AZ213&gt;0,1,0))</f>
        <v/>
      </c>
      <c r="BB213" s="5" t="str">
        <f aca="false">IF($AP213="","",IF((($AP213="Engineering and Technology")+($AP213="Science and Mathematics")+($AP213="Computer Science, IT and Allied Fields")+($AP213="Life Sciences /Medicine and Healthcare")+($AP213="Paramedical")+($AP213="Architecture")+($AP213="Environmental Service")+($AP213="Agriculture, Food Industry and Forestry"))&gt;0,"Science",IF((($AP213="Banking and Finance")+($AP213="Management and Administration")+($AP213="Marketing")+($AP213="Sales")+($AP213="Entrepreneurship")+($AP213="Hospitality and Tourism"))&gt;0,"Commerce",IF((($AP213="Social Sciences and Humanities")+($AP213="Law Studies")+($AP213="Education and Training")+($AP213="Art, Design")+($AP213="Entertainment and Mass Media")+($AP213="Community and Social Service")+($AP213="Personal Care and Services")+($AP213="Government and Public Administration")+($AP213="Defence/ Protective Service")+($AP213="Sports"))&gt;0,"Arts / Humanities",""))))</f>
        <v/>
      </c>
      <c r="BC213" s="5" t="str">
        <f aca="false">IF($AL213="","",IF((($AL213="Engineering and Technology")+($AL213="Science and Mathematics")+($AL213="Computer Science, IT and Allied Fields")+($AL213="Life Sciences /Medicine and Healthcare")+($AL213="Paramedical")+($AL213="Architecture")+($AL213="Environmental Service")+($AL213="Agriculture, Food Industry and Forestry"))&gt;0,"Science",IF((($AL213="Banking and Finance")+($AL213="Management and Administration")+($AL213="Marketing")+($AL213="Sales")+($AL213="Entrepreneurship")+($AL213="Hospitality and Tourism"))&gt;0,"Commerce",IF((($AL213="Social Sciences and Humanities")+($AL213="Law Studies")+($AL213="Education and Training")+($AL213="Art, Design")+($AL213="Entertainment and Mass Media")+($AL213="Community and Social Service")+($AL213="Personal Care and Services")+($AL213="Government and Public Administration")+($AL213="Defence/ Protective Service")+($AL213="Sports"))&gt;0,"Arts / Humanities",""))))</f>
        <v/>
      </c>
      <c r="BD213" s="5" t="str">
        <f aca="false">IF($B213="","",--(F213&gt;=10)+--(G213&gt;=10)+--(H213&gt;=10)+--(I213&gt;=10)+--(J213&gt;=10)+--(K213&gt;=10)+--(L213&gt;=10)+--(M213&gt;=10)+--(N213&gt;=10)+--(O213&gt;=10))</f>
        <v/>
      </c>
      <c r="BE213" s="5" t="str">
        <f aca="false">IF($B213="","",--(AND(F213&lt;&gt;"",F213&lt;=8))+--(AND(G213&lt;&gt;"",G213&lt;=8))+--(AND(H213&lt;&gt;"",H213&lt;=8))+--(AND(I213&lt;&gt;"",I213&lt;=8))+--(AND(J213&lt;&gt;"",J213&lt;=8))+--(AND(K213&lt;&gt;"",K213&lt;=8))+--(AND(L213&lt;&gt;"",L213&lt;=8))+--(AND(M213&lt;&gt;"",M213&lt;=8))+--(AND(N213&lt;&gt;"",N213&lt;=8))+--(AND(O213&lt;&gt;"",O213&lt;=8)))</f>
        <v/>
      </c>
    </row>
    <row r="214" customFormat="false" ht="15" hidden="false" customHeight="false" outlineLevel="0" collapsed="false">
      <c r="AZ214" s="5" t="str">
        <f aca="false">IF($B214="","",SUMPRODUCT(($AL214:$AO214&lt;&gt;"")*(COUNTIF($AP214:$AX214,$AL214:$AO214)&gt;0)))</f>
        <v/>
      </c>
      <c r="BA214" s="5" t="str">
        <f aca="false">IF($B214="","",IF(AZ214&gt;0,1,0))</f>
        <v/>
      </c>
      <c r="BB214" s="5" t="str">
        <f aca="false">IF($AP214="","",IF((($AP214="Engineering and Technology")+($AP214="Science and Mathematics")+($AP214="Computer Science, IT and Allied Fields")+($AP214="Life Sciences /Medicine and Healthcare")+($AP214="Paramedical")+($AP214="Architecture")+($AP214="Environmental Service")+($AP214="Agriculture, Food Industry and Forestry"))&gt;0,"Science",IF((($AP214="Banking and Finance")+($AP214="Management and Administration")+($AP214="Marketing")+($AP214="Sales")+($AP214="Entrepreneurship")+($AP214="Hospitality and Tourism"))&gt;0,"Commerce",IF((($AP214="Social Sciences and Humanities")+($AP214="Law Studies")+($AP214="Education and Training")+($AP214="Art, Design")+($AP214="Entertainment and Mass Media")+($AP214="Community and Social Service")+($AP214="Personal Care and Services")+($AP214="Government and Public Administration")+($AP214="Defence/ Protective Service")+($AP214="Sports"))&gt;0,"Arts / Humanities",""))))</f>
        <v/>
      </c>
      <c r="BC214" s="5" t="str">
        <f aca="false">IF($AL214="","",IF((($AL214="Engineering and Technology")+($AL214="Science and Mathematics")+($AL214="Computer Science, IT and Allied Fields")+($AL214="Life Sciences /Medicine and Healthcare")+($AL214="Paramedical")+($AL214="Architecture")+($AL214="Environmental Service")+($AL214="Agriculture, Food Industry and Forestry"))&gt;0,"Science",IF((($AL214="Banking and Finance")+($AL214="Management and Administration")+($AL214="Marketing")+($AL214="Sales")+($AL214="Entrepreneurship")+($AL214="Hospitality and Tourism"))&gt;0,"Commerce",IF((($AL214="Social Sciences and Humanities")+($AL214="Law Studies")+($AL214="Education and Training")+($AL214="Art, Design")+($AL214="Entertainment and Mass Media")+($AL214="Community and Social Service")+($AL214="Personal Care and Services")+($AL214="Government and Public Administration")+($AL214="Defence/ Protective Service")+($AL214="Sports"))&gt;0,"Arts / Humanities",""))))</f>
        <v/>
      </c>
      <c r="BD214" s="5" t="str">
        <f aca="false">IF($B214="","",--(F214&gt;=10)+--(G214&gt;=10)+--(H214&gt;=10)+--(I214&gt;=10)+--(J214&gt;=10)+--(K214&gt;=10)+--(L214&gt;=10)+--(M214&gt;=10)+--(N214&gt;=10)+--(O214&gt;=10))</f>
        <v/>
      </c>
      <c r="BE214" s="5" t="str">
        <f aca="false">IF($B214="","",--(AND(F214&lt;&gt;"",F214&lt;=8))+--(AND(G214&lt;&gt;"",G214&lt;=8))+--(AND(H214&lt;&gt;"",H214&lt;=8))+--(AND(I214&lt;&gt;"",I214&lt;=8))+--(AND(J214&lt;&gt;"",J214&lt;=8))+--(AND(K214&lt;&gt;"",K214&lt;=8))+--(AND(L214&lt;&gt;"",L214&lt;=8))+--(AND(M214&lt;&gt;"",M214&lt;=8))+--(AND(N214&lt;&gt;"",N214&lt;=8))+--(AND(O214&lt;&gt;"",O214&lt;=8)))</f>
        <v/>
      </c>
    </row>
    <row r="215" customFormat="false" ht="15" hidden="false" customHeight="false" outlineLevel="0" collapsed="false">
      <c r="AZ215" s="5" t="str">
        <f aca="false">IF($B215="","",SUMPRODUCT(($AL215:$AO215&lt;&gt;"")*(COUNTIF($AP215:$AX215,$AL215:$AO215)&gt;0)))</f>
        <v/>
      </c>
      <c r="BA215" s="5" t="str">
        <f aca="false">IF($B215="","",IF(AZ215&gt;0,1,0))</f>
        <v/>
      </c>
      <c r="BB215" s="5" t="str">
        <f aca="false">IF($AP215="","",IF((($AP215="Engineering and Technology")+($AP215="Science and Mathematics")+($AP215="Computer Science, IT and Allied Fields")+($AP215="Life Sciences /Medicine and Healthcare")+($AP215="Paramedical")+($AP215="Architecture")+($AP215="Environmental Service")+($AP215="Agriculture, Food Industry and Forestry"))&gt;0,"Science",IF((($AP215="Banking and Finance")+($AP215="Management and Administration")+($AP215="Marketing")+($AP215="Sales")+($AP215="Entrepreneurship")+($AP215="Hospitality and Tourism"))&gt;0,"Commerce",IF((($AP215="Social Sciences and Humanities")+($AP215="Law Studies")+($AP215="Education and Training")+($AP215="Art, Design")+($AP215="Entertainment and Mass Media")+($AP215="Community and Social Service")+($AP215="Personal Care and Services")+($AP215="Government and Public Administration")+($AP215="Defence/ Protective Service")+($AP215="Sports"))&gt;0,"Arts / Humanities",""))))</f>
        <v/>
      </c>
      <c r="BC215" s="5" t="str">
        <f aca="false">IF($AL215="","",IF((($AL215="Engineering and Technology")+($AL215="Science and Mathematics")+($AL215="Computer Science, IT and Allied Fields")+($AL215="Life Sciences /Medicine and Healthcare")+($AL215="Paramedical")+($AL215="Architecture")+($AL215="Environmental Service")+($AL215="Agriculture, Food Industry and Forestry"))&gt;0,"Science",IF((($AL215="Banking and Finance")+($AL215="Management and Administration")+($AL215="Marketing")+($AL215="Sales")+($AL215="Entrepreneurship")+($AL215="Hospitality and Tourism"))&gt;0,"Commerce",IF((($AL215="Social Sciences and Humanities")+($AL215="Law Studies")+($AL215="Education and Training")+($AL215="Art, Design")+($AL215="Entertainment and Mass Media")+($AL215="Community and Social Service")+($AL215="Personal Care and Services")+($AL215="Government and Public Administration")+($AL215="Defence/ Protective Service")+($AL215="Sports"))&gt;0,"Arts / Humanities",""))))</f>
        <v/>
      </c>
      <c r="BD215" s="5" t="str">
        <f aca="false">IF($B215="","",--(F215&gt;=10)+--(G215&gt;=10)+--(H215&gt;=10)+--(I215&gt;=10)+--(J215&gt;=10)+--(K215&gt;=10)+--(L215&gt;=10)+--(M215&gt;=10)+--(N215&gt;=10)+--(O215&gt;=10))</f>
        <v/>
      </c>
      <c r="BE215" s="5" t="str">
        <f aca="false">IF($B215="","",--(AND(F215&lt;&gt;"",F215&lt;=8))+--(AND(G215&lt;&gt;"",G215&lt;=8))+--(AND(H215&lt;&gt;"",H215&lt;=8))+--(AND(I215&lt;&gt;"",I215&lt;=8))+--(AND(J215&lt;&gt;"",J215&lt;=8))+--(AND(K215&lt;&gt;"",K215&lt;=8))+--(AND(L215&lt;&gt;"",L215&lt;=8))+--(AND(M215&lt;&gt;"",M215&lt;=8))+--(AND(N215&lt;&gt;"",N215&lt;=8))+--(AND(O215&lt;&gt;"",O215&lt;=8)))</f>
        <v/>
      </c>
    </row>
    <row r="216" customFormat="false" ht="15" hidden="false" customHeight="false" outlineLevel="0" collapsed="false">
      <c r="AZ216" s="5" t="str">
        <f aca="false">IF($B216="","",SUMPRODUCT(($AL216:$AO216&lt;&gt;"")*(COUNTIF($AP216:$AX216,$AL216:$AO216)&gt;0)))</f>
        <v/>
      </c>
      <c r="BA216" s="5" t="str">
        <f aca="false">IF($B216="","",IF(AZ216&gt;0,1,0))</f>
        <v/>
      </c>
      <c r="BB216" s="5" t="str">
        <f aca="false">IF($AP216="","",IF((($AP216="Engineering and Technology")+($AP216="Science and Mathematics")+($AP216="Computer Science, IT and Allied Fields")+($AP216="Life Sciences /Medicine and Healthcare")+($AP216="Paramedical")+($AP216="Architecture")+($AP216="Environmental Service")+($AP216="Agriculture, Food Industry and Forestry"))&gt;0,"Science",IF((($AP216="Banking and Finance")+($AP216="Management and Administration")+($AP216="Marketing")+($AP216="Sales")+($AP216="Entrepreneurship")+($AP216="Hospitality and Tourism"))&gt;0,"Commerce",IF((($AP216="Social Sciences and Humanities")+($AP216="Law Studies")+($AP216="Education and Training")+($AP216="Art, Design")+($AP216="Entertainment and Mass Media")+($AP216="Community and Social Service")+($AP216="Personal Care and Services")+($AP216="Government and Public Administration")+($AP216="Defence/ Protective Service")+($AP216="Sports"))&gt;0,"Arts / Humanities",""))))</f>
        <v/>
      </c>
      <c r="BC216" s="5" t="str">
        <f aca="false">IF($AL216="","",IF((($AL216="Engineering and Technology")+($AL216="Science and Mathematics")+($AL216="Computer Science, IT and Allied Fields")+($AL216="Life Sciences /Medicine and Healthcare")+($AL216="Paramedical")+($AL216="Architecture")+($AL216="Environmental Service")+($AL216="Agriculture, Food Industry and Forestry"))&gt;0,"Science",IF((($AL216="Banking and Finance")+($AL216="Management and Administration")+($AL216="Marketing")+($AL216="Sales")+($AL216="Entrepreneurship")+($AL216="Hospitality and Tourism"))&gt;0,"Commerce",IF((($AL216="Social Sciences and Humanities")+($AL216="Law Studies")+($AL216="Education and Training")+($AL216="Art, Design")+($AL216="Entertainment and Mass Media")+($AL216="Community and Social Service")+($AL216="Personal Care and Services")+($AL216="Government and Public Administration")+($AL216="Defence/ Protective Service")+($AL216="Sports"))&gt;0,"Arts / Humanities",""))))</f>
        <v/>
      </c>
      <c r="BD216" s="5" t="str">
        <f aca="false">IF($B216="","",--(F216&gt;=10)+--(G216&gt;=10)+--(H216&gt;=10)+--(I216&gt;=10)+--(J216&gt;=10)+--(K216&gt;=10)+--(L216&gt;=10)+--(M216&gt;=10)+--(N216&gt;=10)+--(O216&gt;=10))</f>
        <v/>
      </c>
      <c r="BE216" s="5" t="str">
        <f aca="false">IF($B216="","",--(AND(F216&lt;&gt;"",F216&lt;=8))+--(AND(G216&lt;&gt;"",G216&lt;=8))+--(AND(H216&lt;&gt;"",H216&lt;=8))+--(AND(I216&lt;&gt;"",I216&lt;=8))+--(AND(J216&lt;&gt;"",J216&lt;=8))+--(AND(K216&lt;&gt;"",K216&lt;=8))+--(AND(L216&lt;&gt;"",L216&lt;=8))+--(AND(M216&lt;&gt;"",M216&lt;=8))+--(AND(N216&lt;&gt;"",N216&lt;=8))+--(AND(O216&lt;&gt;"",O216&lt;=8)))</f>
        <v/>
      </c>
    </row>
    <row r="217" customFormat="false" ht="15" hidden="false" customHeight="false" outlineLevel="0" collapsed="false">
      <c r="AZ217" s="5" t="str">
        <f aca="false">IF($B217="","",SUMPRODUCT(($AL217:$AO217&lt;&gt;"")*(COUNTIF($AP217:$AX217,$AL217:$AO217)&gt;0)))</f>
        <v/>
      </c>
      <c r="BA217" s="5" t="str">
        <f aca="false">IF($B217="","",IF(AZ217&gt;0,1,0))</f>
        <v/>
      </c>
      <c r="BB217" s="5" t="str">
        <f aca="false">IF($AP217="","",IF((($AP217="Engineering and Technology")+($AP217="Science and Mathematics")+($AP217="Computer Science, IT and Allied Fields")+($AP217="Life Sciences /Medicine and Healthcare")+($AP217="Paramedical")+($AP217="Architecture")+($AP217="Environmental Service")+($AP217="Agriculture, Food Industry and Forestry"))&gt;0,"Science",IF((($AP217="Banking and Finance")+($AP217="Management and Administration")+($AP217="Marketing")+($AP217="Sales")+($AP217="Entrepreneurship")+($AP217="Hospitality and Tourism"))&gt;0,"Commerce",IF((($AP217="Social Sciences and Humanities")+($AP217="Law Studies")+($AP217="Education and Training")+($AP217="Art, Design")+($AP217="Entertainment and Mass Media")+($AP217="Community and Social Service")+($AP217="Personal Care and Services")+($AP217="Government and Public Administration")+($AP217="Defence/ Protective Service")+($AP217="Sports"))&gt;0,"Arts / Humanities",""))))</f>
        <v/>
      </c>
      <c r="BC217" s="5" t="str">
        <f aca="false">IF($AL217="","",IF((($AL217="Engineering and Technology")+($AL217="Science and Mathematics")+($AL217="Computer Science, IT and Allied Fields")+($AL217="Life Sciences /Medicine and Healthcare")+($AL217="Paramedical")+($AL217="Architecture")+($AL217="Environmental Service")+($AL217="Agriculture, Food Industry and Forestry"))&gt;0,"Science",IF((($AL217="Banking and Finance")+($AL217="Management and Administration")+($AL217="Marketing")+($AL217="Sales")+($AL217="Entrepreneurship")+($AL217="Hospitality and Tourism"))&gt;0,"Commerce",IF((($AL217="Social Sciences and Humanities")+($AL217="Law Studies")+($AL217="Education and Training")+($AL217="Art, Design")+($AL217="Entertainment and Mass Media")+($AL217="Community and Social Service")+($AL217="Personal Care and Services")+($AL217="Government and Public Administration")+($AL217="Defence/ Protective Service")+($AL217="Sports"))&gt;0,"Arts / Humanities",""))))</f>
        <v/>
      </c>
      <c r="BD217" s="5" t="str">
        <f aca="false">IF($B217="","",--(F217&gt;=10)+--(G217&gt;=10)+--(H217&gt;=10)+--(I217&gt;=10)+--(J217&gt;=10)+--(K217&gt;=10)+--(L217&gt;=10)+--(M217&gt;=10)+--(N217&gt;=10)+--(O217&gt;=10))</f>
        <v/>
      </c>
      <c r="BE217" s="5" t="str">
        <f aca="false">IF($B217="","",--(AND(F217&lt;&gt;"",F217&lt;=8))+--(AND(G217&lt;&gt;"",G217&lt;=8))+--(AND(H217&lt;&gt;"",H217&lt;=8))+--(AND(I217&lt;&gt;"",I217&lt;=8))+--(AND(J217&lt;&gt;"",J217&lt;=8))+--(AND(K217&lt;&gt;"",K217&lt;=8))+--(AND(L217&lt;&gt;"",L217&lt;=8))+--(AND(M217&lt;&gt;"",M217&lt;=8))+--(AND(N217&lt;&gt;"",N217&lt;=8))+--(AND(O217&lt;&gt;"",O217&lt;=8)))</f>
        <v/>
      </c>
    </row>
    <row r="218" customFormat="false" ht="15" hidden="false" customHeight="false" outlineLevel="0" collapsed="false">
      <c r="AZ218" s="5" t="str">
        <f aca="false">IF($B218="","",SUMPRODUCT(($AL218:$AO218&lt;&gt;"")*(COUNTIF($AP218:$AX218,$AL218:$AO218)&gt;0)))</f>
        <v/>
      </c>
      <c r="BA218" s="5" t="str">
        <f aca="false">IF($B218="","",IF(AZ218&gt;0,1,0))</f>
        <v/>
      </c>
      <c r="BB218" s="5" t="str">
        <f aca="false">IF($AP218="","",IF((($AP218="Engineering and Technology")+($AP218="Science and Mathematics")+($AP218="Computer Science, IT and Allied Fields")+($AP218="Life Sciences /Medicine and Healthcare")+($AP218="Paramedical")+($AP218="Architecture")+($AP218="Environmental Service")+($AP218="Agriculture, Food Industry and Forestry"))&gt;0,"Science",IF((($AP218="Banking and Finance")+($AP218="Management and Administration")+($AP218="Marketing")+($AP218="Sales")+($AP218="Entrepreneurship")+($AP218="Hospitality and Tourism"))&gt;0,"Commerce",IF((($AP218="Social Sciences and Humanities")+($AP218="Law Studies")+($AP218="Education and Training")+($AP218="Art, Design")+($AP218="Entertainment and Mass Media")+($AP218="Community and Social Service")+($AP218="Personal Care and Services")+($AP218="Government and Public Administration")+($AP218="Defence/ Protective Service")+($AP218="Sports"))&gt;0,"Arts / Humanities",""))))</f>
        <v/>
      </c>
      <c r="BC218" s="5" t="str">
        <f aca="false">IF($AL218="","",IF((($AL218="Engineering and Technology")+($AL218="Science and Mathematics")+($AL218="Computer Science, IT and Allied Fields")+($AL218="Life Sciences /Medicine and Healthcare")+($AL218="Paramedical")+($AL218="Architecture")+($AL218="Environmental Service")+($AL218="Agriculture, Food Industry and Forestry"))&gt;0,"Science",IF((($AL218="Banking and Finance")+($AL218="Management and Administration")+($AL218="Marketing")+($AL218="Sales")+($AL218="Entrepreneurship")+($AL218="Hospitality and Tourism"))&gt;0,"Commerce",IF((($AL218="Social Sciences and Humanities")+($AL218="Law Studies")+($AL218="Education and Training")+($AL218="Art, Design")+($AL218="Entertainment and Mass Media")+($AL218="Community and Social Service")+($AL218="Personal Care and Services")+($AL218="Government and Public Administration")+($AL218="Defence/ Protective Service")+($AL218="Sports"))&gt;0,"Arts / Humanities",""))))</f>
        <v/>
      </c>
      <c r="BD218" s="5" t="str">
        <f aca="false">IF($B218="","",--(F218&gt;=10)+--(G218&gt;=10)+--(H218&gt;=10)+--(I218&gt;=10)+--(J218&gt;=10)+--(K218&gt;=10)+--(L218&gt;=10)+--(M218&gt;=10)+--(N218&gt;=10)+--(O218&gt;=10))</f>
        <v/>
      </c>
      <c r="BE218" s="5" t="str">
        <f aca="false">IF($B218="","",--(AND(F218&lt;&gt;"",F218&lt;=8))+--(AND(G218&lt;&gt;"",G218&lt;=8))+--(AND(H218&lt;&gt;"",H218&lt;=8))+--(AND(I218&lt;&gt;"",I218&lt;=8))+--(AND(J218&lt;&gt;"",J218&lt;=8))+--(AND(K218&lt;&gt;"",K218&lt;=8))+--(AND(L218&lt;&gt;"",L218&lt;=8))+--(AND(M218&lt;&gt;"",M218&lt;=8))+--(AND(N218&lt;&gt;"",N218&lt;=8))+--(AND(O218&lt;&gt;"",O218&lt;=8)))</f>
        <v/>
      </c>
    </row>
    <row r="219" customFormat="false" ht="15" hidden="false" customHeight="false" outlineLevel="0" collapsed="false">
      <c r="AZ219" s="5" t="str">
        <f aca="false">IF($B219="","",SUMPRODUCT(($AL219:$AO219&lt;&gt;"")*(COUNTIF($AP219:$AX219,$AL219:$AO219)&gt;0)))</f>
        <v/>
      </c>
      <c r="BA219" s="5" t="str">
        <f aca="false">IF($B219="","",IF(AZ219&gt;0,1,0))</f>
        <v/>
      </c>
      <c r="BB219" s="5" t="str">
        <f aca="false">IF($AP219="","",IF((($AP219="Engineering and Technology")+($AP219="Science and Mathematics")+($AP219="Computer Science, IT and Allied Fields")+($AP219="Life Sciences /Medicine and Healthcare")+($AP219="Paramedical")+($AP219="Architecture")+($AP219="Environmental Service")+($AP219="Agriculture, Food Industry and Forestry"))&gt;0,"Science",IF((($AP219="Banking and Finance")+($AP219="Management and Administration")+($AP219="Marketing")+($AP219="Sales")+($AP219="Entrepreneurship")+($AP219="Hospitality and Tourism"))&gt;0,"Commerce",IF((($AP219="Social Sciences and Humanities")+($AP219="Law Studies")+($AP219="Education and Training")+($AP219="Art, Design")+($AP219="Entertainment and Mass Media")+($AP219="Community and Social Service")+($AP219="Personal Care and Services")+($AP219="Government and Public Administration")+($AP219="Defence/ Protective Service")+($AP219="Sports"))&gt;0,"Arts / Humanities",""))))</f>
        <v/>
      </c>
      <c r="BC219" s="5" t="str">
        <f aca="false">IF($AL219="","",IF((($AL219="Engineering and Technology")+($AL219="Science and Mathematics")+($AL219="Computer Science, IT and Allied Fields")+($AL219="Life Sciences /Medicine and Healthcare")+($AL219="Paramedical")+($AL219="Architecture")+($AL219="Environmental Service")+($AL219="Agriculture, Food Industry and Forestry"))&gt;0,"Science",IF((($AL219="Banking and Finance")+($AL219="Management and Administration")+($AL219="Marketing")+($AL219="Sales")+($AL219="Entrepreneurship")+($AL219="Hospitality and Tourism"))&gt;0,"Commerce",IF((($AL219="Social Sciences and Humanities")+($AL219="Law Studies")+($AL219="Education and Training")+($AL219="Art, Design")+($AL219="Entertainment and Mass Media")+($AL219="Community and Social Service")+($AL219="Personal Care and Services")+($AL219="Government and Public Administration")+($AL219="Defence/ Protective Service")+($AL219="Sports"))&gt;0,"Arts / Humanities",""))))</f>
        <v/>
      </c>
      <c r="BD219" s="5" t="str">
        <f aca="false">IF($B219="","",--(F219&gt;=10)+--(G219&gt;=10)+--(H219&gt;=10)+--(I219&gt;=10)+--(J219&gt;=10)+--(K219&gt;=10)+--(L219&gt;=10)+--(M219&gt;=10)+--(N219&gt;=10)+--(O219&gt;=10))</f>
        <v/>
      </c>
      <c r="BE219" s="5" t="str">
        <f aca="false">IF($B219="","",--(AND(F219&lt;&gt;"",F219&lt;=8))+--(AND(G219&lt;&gt;"",G219&lt;=8))+--(AND(H219&lt;&gt;"",H219&lt;=8))+--(AND(I219&lt;&gt;"",I219&lt;=8))+--(AND(J219&lt;&gt;"",J219&lt;=8))+--(AND(K219&lt;&gt;"",K219&lt;=8))+--(AND(L219&lt;&gt;"",L219&lt;=8))+--(AND(M219&lt;&gt;"",M219&lt;=8))+--(AND(N219&lt;&gt;"",N219&lt;=8))+--(AND(O219&lt;&gt;"",O219&lt;=8)))</f>
        <v/>
      </c>
    </row>
    <row r="220" customFormat="false" ht="15" hidden="false" customHeight="false" outlineLevel="0" collapsed="false">
      <c r="AZ220" s="5" t="str">
        <f aca="false">IF($B220="","",SUMPRODUCT(($AL220:$AO220&lt;&gt;"")*(COUNTIF($AP220:$AX220,$AL220:$AO220)&gt;0)))</f>
        <v/>
      </c>
      <c r="BA220" s="5" t="str">
        <f aca="false">IF($B220="","",IF(AZ220&gt;0,1,0))</f>
        <v/>
      </c>
      <c r="BB220" s="5" t="str">
        <f aca="false">IF($AP220="","",IF((($AP220="Engineering and Technology")+($AP220="Science and Mathematics")+($AP220="Computer Science, IT and Allied Fields")+($AP220="Life Sciences /Medicine and Healthcare")+($AP220="Paramedical")+($AP220="Architecture")+($AP220="Environmental Service")+($AP220="Agriculture, Food Industry and Forestry"))&gt;0,"Science",IF((($AP220="Banking and Finance")+($AP220="Management and Administration")+($AP220="Marketing")+($AP220="Sales")+($AP220="Entrepreneurship")+($AP220="Hospitality and Tourism"))&gt;0,"Commerce",IF((($AP220="Social Sciences and Humanities")+($AP220="Law Studies")+($AP220="Education and Training")+($AP220="Art, Design")+($AP220="Entertainment and Mass Media")+($AP220="Community and Social Service")+($AP220="Personal Care and Services")+($AP220="Government and Public Administration")+($AP220="Defence/ Protective Service")+($AP220="Sports"))&gt;0,"Arts / Humanities",""))))</f>
        <v/>
      </c>
      <c r="BC220" s="5" t="str">
        <f aca="false">IF($AL220="","",IF((($AL220="Engineering and Technology")+($AL220="Science and Mathematics")+($AL220="Computer Science, IT and Allied Fields")+($AL220="Life Sciences /Medicine and Healthcare")+($AL220="Paramedical")+($AL220="Architecture")+($AL220="Environmental Service")+($AL220="Agriculture, Food Industry and Forestry"))&gt;0,"Science",IF((($AL220="Banking and Finance")+($AL220="Management and Administration")+($AL220="Marketing")+($AL220="Sales")+($AL220="Entrepreneurship")+($AL220="Hospitality and Tourism"))&gt;0,"Commerce",IF((($AL220="Social Sciences and Humanities")+($AL220="Law Studies")+($AL220="Education and Training")+($AL220="Art, Design")+($AL220="Entertainment and Mass Media")+($AL220="Community and Social Service")+($AL220="Personal Care and Services")+($AL220="Government and Public Administration")+($AL220="Defence/ Protective Service")+($AL220="Sports"))&gt;0,"Arts / Humanities",""))))</f>
        <v/>
      </c>
      <c r="BD220" s="5" t="str">
        <f aca="false">IF($B220="","",--(F220&gt;=10)+--(G220&gt;=10)+--(H220&gt;=10)+--(I220&gt;=10)+--(J220&gt;=10)+--(K220&gt;=10)+--(L220&gt;=10)+--(M220&gt;=10)+--(N220&gt;=10)+--(O220&gt;=10))</f>
        <v/>
      </c>
      <c r="BE220" s="5" t="str">
        <f aca="false">IF($B220="","",--(AND(F220&lt;&gt;"",F220&lt;=8))+--(AND(G220&lt;&gt;"",G220&lt;=8))+--(AND(H220&lt;&gt;"",H220&lt;=8))+--(AND(I220&lt;&gt;"",I220&lt;=8))+--(AND(J220&lt;&gt;"",J220&lt;=8))+--(AND(K220&lt;&gt;"",K220&lt;=8))+--(AND(L220&lt;&gt;"",L220&lt;=8))+--(AND(M220&lt;&gt;"",M220&lt;=8))+--(AND(N220&lt;&gt;"",N220&lt;=8))+--(AND(O220&lt;&gt;"",O220&lt;=8)))</f>
        <v/>
      </c>
    </row>
    <row r="221" customFormat="false" ht="15" hidden="false" customHeight="false" outlineLevel="0" collapsed="false">
      <c r="AZ221" s="5" t="str">
        <f aca="false">IF($B221="","",SUMPRODUCT(($AL221:$AO221&lt;&gt;"")*(COUNTIF($AP221:$AX221,$AL221:$AO221)&gt;0)))</f>
        <v/>
      </c>
      <c r="BA221" s="5" t="str">
        <f aca="false">IF($B221="","",IF(AZ221&gt;0,1,0))</f>
        <v/>
      </c>
      <c r="BB221" s="5" t="str">
        <f aca="false">IF($AP221="","",IF((($AP221="Engineering and Technology")+($AP221="Science and Mathematics")+($AP221="Computer Science, IT and Allied Fields")+($AP221="Life Sciences /Medicine and Healthcare")+($AP221="Paramedical")+($AP221="Architecture")+($AP221="Environmental Service")+($AP221="Agriculture, Food Industry and Forestry"))&gt;0,"Science",IF((($AP221="Banking and Finance")+($AP221="Management and Administration")+($AP221="Marketing")+($AP221="Sales")+($AP221="Entrepreneurship")+($AP221="Hospitality and Tourism"))&gt;0,"Commerce",IF((($AP221="Social Sciences and Humanities")+($AP221="Law Studies")+($AP221="Education and Training")+($AP221="Art, Design")+($AP221="Entertainment and Mass Media")+($AP221="Community and Social Service")+($AP221="Personal Care and Services")+($AP221="Government and Public Administration")+($AP221="Defence/ Protective Service")+($AP221="Sports"))&gt;0,"Arts / Humanities",""))))</f>
        <v/>
      </c>
      <c r="BC221" s="5" t="str">
        <f aca="false">IF($AL221="","",IF((($AL221="Engineering and Technology")+($AL221="Science and Mathematics")+($AL221="Computer Science, IT and Allied Fields")+($AL221="Life Sciences /Medicine and Healthcare")+($AL221="Paramedical")+($AL221="Architecture")+($AL221="Environmental Service")+($AL221="Agriculture, Food Industry and Forestry"))&gt;0,"Science",IF((($AL221="Banking and Finance")+($AL221="Management and Administration")+($AL221="Marketing")+($AL221="Sales")+($AL221="Entrepreneurship")+($AL221="Hospitality and Tourism"))&gt;0,"Commerce",IF((($AL221="Social Sciences and Humanities")+($AL221="Law Studies")+($AL221="Education and Training")+($AL221="Art, Design")+($AL221="Entertainment and Mass Media")+($AL221="Community and Social Service")+($AL221="Personal Care and Services")+($AL221="Government and Public Administration")+($AL221="Defence/ Protective Service")+($AL221="Sports"))&gt;0,"Arts / Humanities",""))))</f>
        <v/>
      </c>
      <c r="BD221" s="5" t="str">
        <f aca="false">IF($B221="","",--(F221&gt;=10)+--(G221&gt;=10)+--(H221&gt;=10)+--(I221&gt;=10)+--(J221&gt;=10)+--(K221&gt;=10)+--(L221&gt;=10)+--(M221&gt;=10)+--(N221&gt;=10)+--(O221&gt;=10))</f>
        <v/>
      </c>
      <c r="BE221" s="5" t="str">
        <f aca="false">IF($B221="","",--(AND(F221&lt;&gt;"",F221&lt;=8))+--(AND(G221&lt;&gt;"",G221&lt;=8))+--(AND(H221&lt;&gt;"",H221&lt;=8))+--(AND(I221&lt;&gt;"",I221&lt;=8))+--(AND(J221&lt;&gt;"",J221&lt;=8))+--(AND(K221&lt;&gt;"",K221&lt;=8))+--(AND(L221&lt;&gt;"",L221&lt;=8))+--(AND(M221&lt;&gt;"",M221&lt;=8))+--(AND(N221&lt;&gt;"",N221&lt;=8))+--(AND(O221&lt;&gt;"",O221&lt;=8)))</f>
        <v/>
      </c>
    </row>
    <row r="222" customFormat="false" ht="15" hidden="false" customHeight="false" outlineLevel="0" collapsed="false">
      <c r="AZ222" s="5" t="str">
        <f aca="false">IF($B222="","",SUMPRODUCT(($AL222:$AO222&lt;&gt;"")*(COUNTIF($AP222:$AX222,$AL222:$AO222)&gt;0)))</f>
        <v/>
      </c>
      <c r="BA222" s="5" t="str">
        <f aca="false">IF($B222="","",IF(AZ222&gt;0,1,0))</f>
        <v/>
      </c>
      <c r="BB222" s="5" t="str">
        <f aca="false">IF($AP222="","",IF((($AP222="Engineering and Technology")+($AP222="Science and Mathematics")+($AP222="Computer Science, IT and Allied Fields")+($AP222="Life Sciences /Medicine and Healthcare")+($AP222="Paramedical")+($AP222="Architecture")+($AP222="Environmental Service")+($AP222="Agriculture, Food Industry and Forestry"))&gt;0,"Science",IF((($AP222="Banking and Finance")+($AP222="Management and Administration")+($AP222="Marketing")+($AP222="Sales")+($AP222="Entrepreneurship")+($AP222="Hospitality and Tourism"))&gt;0,"Commerce",IF((($AP222="Social Sciences and Humanities")+($AP222="Law Studies")+($AP222="Education and Training")+($AP222="Art, Design")+($AP222="Entertainment and Mass Media")+($AP222="Community and Social Service")+($AP222="Personal Care and Services")+($AP222="Government and Public Administration")+($AP222="Defence/ Protective Service")+($AP222="Sports"))&gt;0,"Arts / Humanities",""))))</f>
        <v/>
      </c>
      <c r="BC222" s="5" t="str">
        <f aca="false">IF($AL222="","",IF((($AL222="Engineering and Technology")+($AL222="Science and Mathematics")+($AL222="Computer Science, IT and Allied Fields")+($AL222="Life Sciences /Medicine and Healthcare")+($AL222="Paramedical")+($AL222="Architecture")+($AL222="Environmental Service")+($AL222="Agriculture, Food Industry and Forestry"))&gt;0,"Science",IF((($AL222="Banking and Finance")+($AL222="Management and Administration")+($AL222="Marketing")+($AL222="Sales")+($AL222="Entrepreneurship")+($AL222="Hospitality and Tourism"))&gt;0,"Commerce",IF((($AL222="Social Sciences and Humanities")+($AL222="Law Studies")+($AL222="Education and Training")+($AL222="Art, Design")+($AL222="Entertainment and Mass Media")+($AL222="Community and Social Service")+($AL222="Personal Care and Services")+($AL222="Government and Public Administration")+($AL222="Defence/ Protective Service")+($AL222="Sports"))&gt;0,"Arts / Humanities",""))))</f>
        <v/>
      </c>
      <c r="BD222" s="5" t="str">
        <f aca="false">IF($B222="","",--(F222&gt;=10)+--(G222&gt;=10)+--(H222&gt;=10)+--(I222&gt;=10)+--(J222&gt;=10)+--(K222&gt;=10)+--(L222&gt;=10)+--(M222&gt;=10)+--(N222&gt;=10)+--(O222&gt;=10))</f>
        <v/>
      </c>
      <c r="BE222" s="5" t="str">
        <f aca="false">IF($B222="","",--(AND(F222&lt;&gt;"",F222&lt;=8))+--(AND(G222&lt;&gt;"",G222&lt;=8))+--(AND(H222&lt;&gt;"",H222&lt;=8))+--(AND(I222&lt;&gt;"",I222&lt;=8))+--(AND(J222&lt;&gt;"",J222&lt;=8))+--(AND(K222&lt;&gt;"",K222&lt;=8))+--(AND(L222&lt;&gt;"",L222&lt;=8))+--(AND(M222&lt;&gt;"",M222&lt;=8))+--(AND(N222&lt;&gt;"",N222&lt;=8))+--(AND(O222&lt;&gt;"",O222&lt;=8)))</f>
        <v/>
      </c>
    </row>
    <row r="223" customFormat="false" ht="15" hidden="false" customHeight="false" outlineLevel="0" collapsed="false">
      <c r="AZ223" s="5" t="str">
        <f aca="false">IF($B223="","",SUMPRODUCT(($AL223:$AO223&lt;&gt;"")*(COUNTIF($AP223:$AX223,$AL223:$AO223)&gt;0)))</f>
        <v/>
      </c>
      <c r="BA223" s="5" t="str">
        <f aca="false">IF($B223="","",IF(AZ223&gt;0,1,0))</f>
        <v/>
      </c>
      <c r="BB223" s="5" t="str">
        <f aca="false">IF($AP223="","",IF((($AP223="Engineering and Technology")+($AP223="Science and Mathematics")+($AP223="Computer Science, IT and Allied Fields")+($AP223="Life Sciences /Medicine and Healthcare")+($AP223="Paramedical")+($AP223="Architecture")+($AP223="Environmental Service")+($AP223="Agriculture, Food Industry and Forestry"))&gt;0,"Science",IF((($AP223="Banking and Finance")+($AP223="Management and Administration")+($AP223="Marketing")+($AP223="Sales")+($AP223="Entrepreneurship")+($AP223="Hospitality and Tourism"))&gt;0,"Commerce",IF((($AP223="Social Sciences and Humanities")+($AP223="Law Studies")+($AP223="Education and Training")+($AP223="Art, Design")+($AP223="Entertainment and Mass Media")+($AP223="Community and Social Service")+($AP223="Personal Care and Services")+($AP223="Government and Public Administration")+($AP223="Defence/ Protective Service")+($AP223="Sports"))&gt;0,"Arts / Humanities",""))))</f>
        <v/>
      </c>
      <c r="BC223" s="5" t="str">
        <f aca="false">IF($AL223="","",IF((($AL223="Engineering and Technology")+($AL223="Science and Mathematics")+($AL223="Computer Science, IT and Allied Fields")+($AL223="Life Sciences /Medicine and Healthcare")+($AL223="Paramedical")+($AL223="Architecture")+($AL223="Environmental Service")+($AL223="Agriculture, Food Industry and Forestry"))&gt;0,"Science",IF((($AL223="Banking and Finance")+($AL223="Management and Administration")+($AL223="Marketing")+($AL223="Sales")+($AL223="Entrepreneurship")+($AL223="Hospitality and Tourism"))&gt;0,"Commerce",IF((($AL223="Social Sciences and Humanities")+($AL223="Law Studies")+($AL223="Education and Training")+($AL223="Art, Design")+($AL223="Entertainment and Mass Media")+($AL223="Community and Social Service")+($AL223="Personal Care and Services")+($AL223="Government and Public Administration")+($AL223="Defence/ Protective Service")+($AL223="Sports"))&gt;0,"Arts / Humanities",""))))</f>
        <v/>
      </c>
      <c r="BD223" s="5" t="str">
        <f aca="false">IF($B223="","",--(F223&gt;=10)+--(G223&gt;=10)+--(H223&gt;=10)+--(I223&gt;=10)+--(J223&gt;=10)+--(K223&gt;=10)+--(L223&gt;=10)+--(M223&gt;=10)+--(N223&gt;=10)+--(O223&gt;=10))</f>
        <v/>
      </c>
      <c r="BE223" s="5" t="str">
        <f aca="false">IF($B223="","",--(AND(F223&lt;&gt;"",F223&lt;=8))+--(AND(G223&lt;&gt;"",G223&lt;=8))+--(AND(H223&lt;&gt;"",H223&lt;=8))+--(AND(I223&lt;&gt;"",I223&lt;=8))+--(AND(J223&lt;&gt;"",J223&lt;=8))+--(AND(K223&lt;&gt;"",K223&lt;=8))+--(AND(L223&lt;&gt;"",L223&lt;=8))+--(AND(M223&lt;&gt;"",M223&lt;=8))+--(AND(N223&lt;&gt;"",N223&lt;=8))+--(AND(O223&lt;&gt;"",O223&lt;=8)))</f>
        <v/>
      </c>
    </row>
    <row r="224" customFormat="false" ht="15" hidden="false" customHeight="false" outlineLevel="0" collapsed="false">
      <c r="AZ224" s="5" t="str">
        <f aca="false">IF($B224="","",SUMPRODUCT(($AL224:$AO224&lt;&gt;"")*(COUNTIF($AP224:$AX224,$AL224:$AO224)&gt;0)))</f>
        <v/>
      </c>
      <c r="BA224" s="5" t="str">
        <f aca="false">IF($B224="","",IF(AZ224&gt;0,1,0))</f>
        <v/>
      </c>
      <c r="BB224" s="5" t="str">
        <f aca="false">IF($AP224="","",IF((($AP224="Engineering and Technology")+($AP224="Science and Mathematics")+($AP224="Computer Science, IT and Allied Fields")+($AP224="Life Sciences /Medicine and Healthcare")+($AP224="Paramedical")+($AP224="Architecture")+($AP224="Environmental Service")+($AP224="Agriculture, Food Industry and Forestry"))&gt;0,"Science",IF((($AP224="Banking and Finance")+($AP224="Management and Administration")+($AP224="Marketing")+($AP224="Sales")+($AP224="Entrepreneurship")+($AP224="Hospitality and Tourism"))&gt;0,"Commerce",IF((($AP224="Social Sciences and Humanities")+($AP224="Law Studies")+($AP224="Education and Training")+($AP224="Art, Design")+($AP224="Entertainment and Mass Media")+($AP224="Community and Social Service")+($AP224="Personal Care and Services")+($AP224="Government and Public Administration")+($AP224="Defence/ Protective Service")+($AP224="Sports"))&gt;0,"Arts / Humanities",""))))</f>
        <v/>
      </c>
      <c r="BC224" s="5" t="str">
        <f aca="false">IF($AL224="","",IF((($AL224="Engineering and Technology")+($AL224="Science and Mathematics")+($AL224="Computer Science, IT and Allied Fields")+($AL224="Life Sciences /Medicine and Healthcare")+($AL224="Paramedical")+($AL224="Architecture")+($AL224="Environmental Service")+($AL224="Agriculture, Food Industry and Forestry"))&gt;0,"Science",IF((($AL224="Banking and Finance")+($AL224="Management and Administration")+($AL224="Marketing")+($AL224="Sales")+($AL224="Entrepreneurship")+($AL224="Hospitality and Tourism"))&gt;0,"Commerce",IF((($AL224="Social Sciences and Humanities")+($AL224="Law Studies")+($AL224="Education and Training")+($AL224="Art, Design")+($AL224="Entertainment and Mass Media")+($AL224="Community and Social Service")+($AL224="Personal Care and Services")+($AL224="Government and Public Administration")+($AL224="Defence/ Protective Service")+($AL224="Sports"))&gt;0,"Arts / Humanities",""))))</f>
        <v/>
      </c>
      <c r="BD224" s="5" t="str">
        <f aca="false">IF($B224="","",--(F224&gt;=10)+--(G224&gt;=10)+--(H224&gt;=10)+--(I224&gt;=10)+--(J224&gt;=10)+--(K224&gt;=10)+--(L224&gt;=10)+--(M224&gt;=10)+--(N224&gt;=10)+--(O224&gt;=10))</f>
        <v/>
      </c>
      <c r="BE224" s="5" t="str">
        <f aca="false">IF($B224="","",--(AND(F224&lt;&gt;"",F224&lt;=8))+--(AND(G224&lt;&gt;"",G224&lt;=8))+--(AND(H224&lt;&gt;"",H224&lt;=8))+--(AND(I224&lt;&gt;"",I224&lt;=8))+--(AND(J224&lt;&gt;"",J224&lt;=8))+--(AND(K224&lt;&gt;"",K224&lt;=8))+--(AND(L224&lt;&gt;"",L224&lt;=8))+--(AND(M224&lt;&gt;"",M224&lt;=8))+--(AND(N224&lt;&gt;"",N224&lt;=8))+--(AND(O224&lt;&gt;"",O224&lt;=8)))</f>
        <v/>
      </c>
    </row>
    <row r="225" customFormat="false" ht="15" hidden="false" customHeight="false" outlineLevel="0" collapsed="false">
      <c r="AZ225" s="5" t="str">
        <f aca="false">IF($B225="","",SUMPRODUCT(($AL225:$AO225&lt;&gt;"")*(COUNTIF($AP225:$AX225,$AL225:$AO225)&gt;0)))</f>
        <v/>
      </c>
      <c r="BA225" s="5" t="str">
        <f aca="false">IF($B225="","",IF(AZ225&gt;0,1,0))</f>
        <v/>
      </c>
      <c r="BB225" s="5" t="str">
        <f aca="false">IF($AP225="","",IF((($AP225="Engineering and Technology")+($AP225="Science and Mathematics")+($AP225="Computer Science, IT and Allied Fields")+($AP225="Life Sciences /Medicine and Healthcare")+($AP225="Paramedical")+($AP225="Architecture")+($AP225="Environmental Service")+($AP225="Agriculture, Food Industry and Forestry"))&gt;0,"Science",IF((($AP225="Banking and Finance")+($AP225="Management and Administration")+($AP225="Marketing")+($AP225="Sales")+($AP225="Entrepreneurship")+($AP225="Hospitality and Tourism"))&gt;0,"Commerce",IF((($AP225="Social Sciences and Humanities")+($AP225="Law Studies")+($AP225="Education and Training")+($AP225="Art, Design")+($AP225="Entertainment and Mass Media")+($AP225="Community and Social Service")+($AP225="Personal Care and Services")+($AP225="Government and Public Administration")+($AP225="Defence/ Protective Service")+($AP225="Sports"))&gt;0,"Arts / Humanities",""))))</f>
        <v/>
      </c>
      <c r="BC225" s="5" t="str">
        <f aca="false">IF($AL225="","",IF((($AL225="Engineering and Technology")+($AL225="Science and Mathematics")+($AL225="Computer Science, IT and Allied Fields")+($AL225="Life Sciences /Medicine and Healthcare")+($AL225="Paramedical")+($AL225="Architecture")+($AL225="Environmental Service")+($AL225="Agriculture, Food Industry and Forestry"))&gt;0,"Science",IF((($AL225="Banking and Finance")+($AL225="Management and Administration")+($AL225="Marketing")+($AL225="Sales")+($AL225="Entrepreneurship")+($AL225="Hospitality and Tourism"))&gt;0,"Commerce",IF((($AL225="Social Sciences and Humanities")+($AL225="Law Studies")+($AL225="Education and Training")+($AL225="Art, Design")+($AL225="Entertainment and Mass Media")+($AL225="Community and Social Service")+($AL225="Personal Care and Services")+($AL225="Government and Public Administration")+($AL225="Defence/ Protective Service")+($AL225="Sports"))&gt;0,"Arts / Humanities",""))))</f>
        <v/>
      </c>
      <c r="BD225" s="5" t="str">
        <f aca="false">IF($B225="","",--(F225&gt;=10)+--(G225&gt;=10)+--(H225&gt;=10)+--(I225&gt;=10)+--(J225&gt;=10)+--(K225&gt;=10)+--(L225&gt;=10)+--(M225&gt;=10)+--(N225&gt;=10)+--(O225&gt;=10))</f>
        <v/>
      </c>
      <c r="BE225" s="5" t="str">
        <f aca="false">IF($B225="","",--(AND(F225&lt;&gt;"",F225&lt;=8))+--(AND(G225&lt;&gt;"",G225&lt;=8))+--(AND(H225&lt;&gt;"",H225&lt;=8))+--(AND(I225&lt;&gt;"",I225&lt;=8))+--(AND(J225&lt;&gt;"",J225&lt;=8))+--(AND(K225&lt;&gt;"",K225&lt;=8))+--(AND(L225&lt;&gt;"",L225&lt;=8))+--(AND(M225&lt;&gt;"",M225&lt;=8))+--(AND(N225&lt;&gt;"",N225&lt;=8))+--(AND(O225&lt;&gt;"",O225&lt;=8)))</f>
        <v/>
      </c>
    </row>
    <row r="226" customFormat="false" ht="15" hidden="false" customHeight="false" outlineLevel="0" collapsed="false">
      <c r="AZ226" s="5" t="str">
        <f aca="false">IF($B226="","",SUMPRODUCT(($AL226:$AO226&lt;&gt;"")*(COUNTIF($AP226:$AX226,$AL226:$AO226)&gt;0)))</f>
        <v/>
      </c>
      <c r="BA226" s="5" t="str">
        <f aca="false">IF($B226="","",IF(AZ226&gt;0,1,0))</f>
        <v/>
      </c>
      <c r="BB226" s="5" t="str">
        <f aca="false">IF($AP226="","",IF((($AP226="Engineering and Technology")+($AP226="Science and Mathematics")+($AP226="Computer Science, IT and Allied Fields")+($AP226="Life Sciences /Medicine and Healthcare")+($AP226="Paramedical")+($AP226="Architecture")+($AP226="Environmental Service")+($AP226="Agriculture, Food Industry and Forestry"))&gt;0,"Science",IF((($AP226="Banking and Finance")+($AP226="Management and Administration")+($AP226="Marketing")+($AP226="Sales")+($AP226="Entrepreneurship")+($AP226="Hospitality and Tourism"))&gt;0,"Commerce",IF((($AP226="Social Sciences and Humanities")+($AP226="Law Studies")+($AP226="Education and Training")+($AP226="Art, Design")+($AP226="Entertainment and Mass Media")+($AP226="Community and Social Service")+($AP226="Personal Care and Services")+($AP226="Government and Public Administration")+($AP226="Defence/ Protective Service")+($AP226="Sports"))&gt;0,"Arts / Humanities",""))))</f>
        <v/>
      </c>
      <c r="BC226" s="5" t="str">
        <f aca="false">IF($AL226="","",IF((($AL226="Engineering and Technology")+($AL226="Science and Mathematics")+($AL226="Computer Science, IT and Allied Fields")+($AL226="Life Sciences /Medicine and Healthcare")+($AL226="Paramedical")+($AL226="Architecture")+($AL226="Environmental Service")+($AL226="Agriculture, Food Industry and Forestry"))&gt;0,"Science",IF((($AL226="Banking and Finance")+($AL226="Management and Administration")+($AL226="Marketing")+($AL226="Sales")+($AL226="Entrepreneurship")+($AL226="Hospitality and Tourism"))&gt;0,"Commerce",IF((($AL226="Social Sciences and Humanities")+($AL226="Law Studies")+($AL226="Education and Training")+($AL226="Art, Design")+($AL226="Entertainment and Mass Media")+($AL226="Community and Social Service")+($AL226="Personal Care and Services")+($AL226="Government and Public Administration")+($AL226="Defence/ Protective Service")+($AL226="Sports"))&gt;0,"Arts / Humanities",""))))</f>
        <v/>
      </c>
      <c r="BD226" s="5" t="str">
        <f aca="false">IF($B226="","",--(F226&gt;=10)+--(G226&gt;=10)+--(H226&gt;=10)+--(I226&gt;=10)+--(J226&gt;=10)+--(K226&gt;=10)+--(L226&gt;=10)+--(M226&gt;=10)+--(N226&gt;=10)+--(O226&gt;=10))</f>
        <v/>
      </c>
      <c r="BE226" s="5" t="str">
        <f aca="false">IF($B226="","",--(AND(F226&lt;&gt;"",F226&lt;=8))+--(AND(G226&lt;&gt;"",G226&lt;=8))+--(AND(H226&lt;&gt;"",H226&lt;=8))+--(AND(I226&lt;&gt;"",I226&lt;=8))+--(AND(J226&lt;&gt;"",J226&lt;=8))+--(AND(K226&lt;&gt;"",K226&lt;=8))+--(AND(L226&lt;&gt;"",L226&lt;=8))+--(AND(M226&lt;&gt;"",M226&lt;=8))+--(AND(N226&lt;&gt;"",N226&lt;=8))+--(AND(O226&lt;&gt;"",O226&lt;=8)))</f>
        <v/>
      </c>
    </row>
    <row r="227" customFormat="false" ht="15" hidden="false" customHeight="false" outlineLevel="0" collapsed="false">
      <c r="AZ227" s="5" t="str">
        <f aca="false">IF($B227="","",SUMPRODUCT(($AL227:$AO227&lt;&gt;"")*(COUNTIF($AP227:$AX227,$AL227:$AO227)&gt;0)))</f>
        <v/>
      </c>
      <c r="BA227" s="5" t="str">
        <f aca="false">IF($B227="","",IF(AZ227&gt;0,1,0))</f>
        <v/>
      </c>
      <c r="BB227" s="5" t="str">
        <f aca="false">IF($AP227="","",IF((($AP227="Engineering and Technology")+($AP227="Science and Mathematics")+($AP227="Computer Science, IT and Allied Fields")+($AP227="Life Sciences /Medicine and Healthcare")+($AP227="Paramedical")+($AP227="Architecture")+($AP227="Environmental Service")+($AP227="Agriculture, Food Industry and Forestry"))&gt;0,"Science",IF((($AP227="Banking and Finance")+($AP227="Management and Administration")+($AP227="Marketing")+($AP227="Sales")+($AP227="Entrepreneurship")+($AP227="Hospitality and Tourism"))&gt;0,"Commerce",IF((($AP227="Social Sciences and Humanities")+($AP227="Law Studies")+($AP227="Education and Training")+($AP227="Art, Design")+($AP227="Entertainment and Mass Media")+($AP227="Community and Social Service")+($AP227="Personal Care and Services")+($AP227="Government and Public Administration")+($AP227="Defence/ Protective Service")+($AP227="Sports"))&gt;0,"Arts / Humanities",""))))</f>
        <v/>
      </c>
      <c r="BC227" s="5" t="str">
        <f aca="false">IF($AL227="","",IF((($AL227="Engineering and Technology")+($AL227="Science and Mathematics")+($AL227="Computer Science, IT and Allied Fields")+($AL227="Life Sciences /Medicine and Healthcare")+($AL227="Paramedical")+($AL227="Architecture")+($AL227="Environmental Service")+($AL227="Agriculture, Food Industry and Forestry"))&gt;0,"Science",IF((($AL227="Banking and Finance")+($AL227="Management and Administration")+($AL227="Marketing")+($AL227="Sales")+($AL227="Entrepreneurship")+($AL227="Hospitality and Tourism"))&gt;0,"Commerce",IF((($AL227="Social Sciences and Humanities")+($AL227="Law Studies")+($AL227="Education and Training")+($AL227="Art, Design")+($AL227="Entertainment and Mass Media")+($AL227="Community and Social Service")+($AL227="Personal Care and Services")+($AL227="Government and Public Administration")+($AL227="Defence/ Protective Service")+($AL227="Sports"))&gt;0,"Arts / Humanities",""))))</f>
        <v/>
      </c>
      <c r="BD227" s="5" t="str">
        <f aca="false">IF($B227="","",--(F227&gt;=10)+--(G227&gt;=10)+--(H227&gt;=10)+--(I227&gt;=10)+--(J227&gt;=10)+--(K227&gt;=10)+--(L227&gt;=10)+--(M227&gt;=10)+--(N227&gt;=10)+--(O227&gt;=10))</f>
        <v/>
      </c>
      <c r="BE227" s="5" t="str">
        <f aca="false">IF($B227="","",--(AND(F227&lt;&gt;"",F227&lt;=8))+--(AND(G227&lt;&gt;"",G227&lt;=8))+--(AND(H227&lt;&gt;"",H227&lt;=8))+--(AND(I227&lt;&gt;"",I227&lt;=8))+--(AND(J227&lt;&gt;"",J227&lt;=8))+--(AND(K227&lt;&gt;"",K227&lt;=8))+--(AND(L227&lt;&gt;"",L227&lt;=8))+--(AND(M227&lt;&gt;"",M227&lt;=8))+--(AND(N227&lt;&gt;"",N227&lt;=8))+--(AND(O227&lt;&gt;"",O227&lt;=8)))</f>
        <v/>
      </c>
    </row>
    <row r="228" customFormat="false" ht="15" hidden="false" customHeight="false" outlineLevel="0" collapsed="false">
      <c r="AZ228" s="5" t="str">
        <f aca="false">IF($B228="","",SUMPRODUCT(($AL228:$AO228&lt;&gt;"")*(COUNTIF($AP228:$AX228,$AL228:$AO228)&gt;0)))</f>
        <v/>
      </c>
      <c r="BA228" s="5" t="str">
        <f aca="false">IF($B228="","",IF(AZ228&gt;0,1,0))</f>
        <v/>
      </c>
      <c r="BB228" s="5" t="str">
        <f aca="false">IF($AP228="","",IF((($AP228="Engineering and Technology")+($AP228="Science and Mathematics")+($AP228="Computer Science, IT and Allied Fields")+($AP228="Life Sciences /Medicine and Healthcare")+($AP228="Paramedical")+($AP228="Architecture")+($AP228="Environmental Service")+($AP228="Agriculture, Food Industry and Forestry"))&gt;0,"Science",IF((($AP228="Banking and Finance")+($AP228="Management and Administration")+($AP228="Marketing")+($AP228="Sales")+($AP228="Entrepreneurship")+($AP228="Hospitality and Tourism"))&gt;0,"Commerce",IF((($AP228="Social Sciences and Humanities")+($AP228="Law Studies")+($AP228="Education and Training")+($AP228="Art, Design")+($AP228="Entertainment and Mass Media")+($AP228="Community and Social Service")+($AP228="Personal Care and Services")+($AP228="Government and Public Administration")+($AP228="Defence/ Protective Service")+($AP228="Sports"))&gt;0,"Arts / Humanities",""))))</f>
        <v/>
      </c>
      <c r="BC228" s="5" t="str">
        <f aca="false">IF($AL228="","",IF((($AL228="Engineering and Technology")+($AL228="Science and Mathematics")+($AL228="Computer Science, IT and Allied Fields")+($AL228="Life Sciences /Medicine and Healthcare")+($AL228="Paramedical")+($AL228="Architecture")+($AL228="Environmental Service")+($AL228="Agriculture, Food Industry and Forestry"))&gt;0,"Science",IF((($AL228="Banking and Finance")+($AL228="Management and Administration")+($AL228="Marketing")+($AL228="Sales")+($AL228="Entrepreneurship")+($AL228="Hospitality and Tourism"))&gt;0,"Commerce",IF((($AL228="Social Sciences and Humanities")+($AL228="Law Studies")+($AL228="Education and Training")+($AL228="Art, Design")+($AL228="Entertainment and Mass Media")+($AL228="Community and Social Service")+($AL228="Personal Care and Services")+($AL228="Government and Public Administration")+($AL228="Defence/ Protective Service")+($AL228="Sports"))&gt;0,"Arts / Humanities",""))))</f>
        <v/>
      </c>
      <c r="BD228" s="5" t="str">
        <f aca="false">IF($B228="","",--(F228&gt;=10)+--(G228&gt;=10)+--(H228&gt;=10)+--(I228&gt;=10)+--(J228&gt;=10)+--(K228&gt;=10)+--(L228&gt;=10)+--(M228&gt;=10)+--(N228&gt;=10)+--(O228&gt;=10))</f>
        <v/>
      </c>
      <c r="BE228" s="5" t="str">
        <f aca="false">IF($B228="","",--(AND(F228&lt;&gt;"",F228&lt;=8))+--(AND(G228&lt;&gt;"",G228&lt;=8))+--(AND(H228&lt;&gt;"",H228&lt;=8))+--(AND(I228&lt;&gt;"",I228&lt;=8))+--(AND(J228&lt;&gt;"",J228&lt;=8))+--(AND(K228&lt;&gt;"",K228&lt;=8))+--(AND(L228&lt;&gt;"",L228&lt;=8))+--(AND(M228&lt;&gt;"",M228&lt;=8))+--(AND(N228&lt;&gt;"",N228&lt;=8))+--(AND(O228&lt;&gt;"",O228&lt;=8)))</f>
        <v/>
      </c>
    </row>
    <row r="229" customFormat="false" ht="15" hidden="false" customHeight="false" outlineLevel="0" collapsed="false">
      <c r="AZ229" s="5" t="str">
        <f aca="false">IF($B229="","",SUMPRODUCT(($AL229:$AO229&lt;&gt;"")*(COUNTIF($AP229:$AX229,$AL229:$AO229)&gt;0)))</f>
        <v/>
      </c>
      <c r="BA229" s="5" t="str">
        <f aca="false">IF($B229="","",IF(AZ229&gt;0,1,0))</f>
        <v/>
      </c>
      <c r="BB229" s="5" t="str">
        <f aca="false">IF($AP229="","",IF((($AP229="Engineering and Technology")+($AP229="Science and Mathematics")+($AP229="Computer Science, IT and Allied Fields")+($AP229="Life Sciences /Medicine and Healthcare")+($AP229="Paramedical")+($AP229="Architecture")+($AP229="Environmental Service")+($AP229="Agriculture, Food Industry and Forestry"))&gt;0,"Science",IF((($AP229="Banking and Finance")+($AP229="Management and Administration")+($AP229="Marketing")+($AP229="Sales")+($AP229="Entrepreneurship")+($AP229="Hospitality and Tourism"))&gt;0,"Commerce",IF((($AP229="Social Sciences and Humanities")+($AP229="Law Studies")+($AP229="Education and Training")+($AP229="Art, Design")+($AP229="Entertainment and Mass Media")+($AP229="Community and Social Service")+($AP229="Personal Care and Services")+($AP229="Government and Public Administration")+($AP229="Defence/ Protective Service")+($AP229="Sports"))&gt;0,"Arts / Humanities",""))))</f>
        <v/>
      </c>
      <c r="BC229" s="5" t="str">
        <f aca="false">IF($AL229="","",IF((($AL229="Engineering and Technology")+($AL229="Science and Mathematics")+($AL229="Computer Science, IT and Allied Fields")+($AL229="Life Sciences /Medicine and Healthcare")+($AL229="Paramedical")+($AL229="Architecture")+($AL229="Environmental Service")+($AL229="Agriculture, Food Industry and Forestry"))&gt;0,"Science",IF((($AL229="Banking and Finance")+($AL229="Management and Administration")+($AL229="Marketing")+($AL229="Sales")+($AL229="Entrepreneurship")+($AL229="Hospitality and Tourism"))&gt;0,"Commerce",IF((($AL229="Social Sciences and Humanities")+($AL229="Law Studies")+($AL229="Education and Training")+($AL229="Art, Design")+($AL229="Entertainment and Mass Media")+($AL229="Community and Social Service")+($AL229="Personal Care and Services")+($AL229="Government and Public Administration")+($AL229="Defence/ Protective Service")+($AL229="Sports"))&gt;0,"Arts / Humanities",""))))</f>
        <v/>
      </c>
      <c r="BD229" s="5" t="str">
        <f aca="false">IF($B229="","",--(F229&gt;=10)+--(G229&gt;=10)+--(H229&gt;=10)+--(I229&gt;=10)+--(J229&gt;=10)+--(K229&gt;=10)+--(L229&gt;=10)+--(M229&gt;=10)+--(N229&gt;=10)+--(O229&gt;=10))</f>
        <v/>
      </c>
      <c r="BE229" s="5" t="str">
        <f aca="false">IF($B229="","",--(AND(F229&lt;&gt;"",F229&lt;=8))+--(AND(G229&lt;&gt;"",G229&lt;=8))+--(AND(H229&lt;&gt;"",H229&lt;=8))+--(AND(I229&lt;&gt;"",I229&lt;=8))+--(AND(J229&lt;&gt;"",J229&lt;=8))+--(AND(K229&lt;&gt;"",K229&lt;=8))+--(AND(L229&lt;&gt;"",L229&lt;=8))+--(AND(M229&lt;&gt;"",M229&lt;=8))+--(AND(N229&lt;&gt;"",N229&lt;=8))+--(AND(O229&lt;&gt;"",O229&lt;=8)))</f>
        <v/>
      </c>
    </row>
    <row r="230" customFormat="false" ht="15" hidden="false" customHeight="false" outlineLevel="0" collapsed="false">
      <c r="AZ230" s="5" t="str">
        <f aca="false">IF($B230="","",SUMPRODUCT(($AL230:$AO230&lt;&gt;"")*(COUNTIF($AP230:$AX230,$AL230:$AO230)&gt;0)))</f>
        <v/>
      </c>
      <c r="BA230" s="5" t="str">
        <f aca="false">IF($B230="","",IF(AZ230&gt;0,1,0))</f>
        <v/>
      </c>
      <c r="BB230" s="5" t="str">
        <f aca="false">IF($AP230="","",IF((($AP230="Engineering and Technology")+($AP230="Science and Mathematics")+($AP230="Computer Science, IT and Allied Fields")+($AP230="Life Sciences /Medicine and Healthcare")+($AP230="Paramedical")+($AP230="Architecture")+($AP230="Environmental Service")+($AP230="Agriculture, Food Industry and Forestry"))&gt;0,"Science",IF((($AP230="Banking and Finance")+($AP230="Management and Administration")+($AP230="Marketing")+($AP230="Sales")+($AP230="Entrepreneurship")+($AP230="Hospitality and Tourism"))&gt;0,"Commerce",IF((($AP230="Social Sciences and Humanities")+($AP230="Law Studies")+($AP230="Education and Training")+($AP230="Art, Design")+($AP230="Entertainment and Mass Media")+($AP230="Community and Social Service")+($AP230="Personal Care and Services")+($AP230="Government and Public Administration")+($AP230="Defence/ Protective Service")+($AP230="Sports"))&gt;0,"Arts / Humanities",""))))</f>
        <v/>
      </c>
      <c r="BC230" s="5" t="str">
        <f aca="false">IF($AL230="","",IF((($AL230="Engineering and Technology")+($AL230="Science and Mathematics")+($AL230="Computer Science, IT and Allied Fields")+($AL230="Life Sciences /Medicine and Healthcare")+($AL230="Paramedical")+($AL230="Architecture")+($AL230="Environmental Service")+($AL230="Agriculture, Food Industry and Forestry"))&gt;0,"Science",IF((($AL230="Banking and Finance")+($AL230="Management and Administration")+($AL230="Marketing")+($AL230="Sales")+($AL230="Entrepreneurship")+($AL230="Hospitality and Tourism"))&gt;0,"Commerce",IF((($AL230="Social Sciences and Humanities")+($AL230="Law Studies")+($AL230="Education and Training")+($AL230="Art, Design")+($AL230="Entertainment and Mass Media")+($AL230="Community and Social Service")+($AL230="Personal Care and Services")+($AL230="Government and Public Administration")+($AL230="Defence/ Protective Service")+($AL230="Sports"))&gt;0,"Arts / Humanities",""))))</f>
        <v/>
      </c>
      <c r="BD230" s="5" t="str">
        <f aca="false">IF($B230="","",--(F230&gt;=10)+--(G230&gt;=10)+--(H230&gt;=10)+--(I230&gt;=10)+--(J230&gt;=10)+--(K230&gt;=10)+--(L230&gt;=10)+--(M230&gt;=10)+--(N230&gt;=10)+--(O230&gt;=10))</f>
        <v/>
      </c>
      <c r="BE230" s="5" t="str">
        <f aca="false">IF($B230="","",--(AND(F230&lt;&gt;"",F230&lt;=8))+--(AND(G230&lt;&gt;"",G230&lt;=8))+--(AND(H230&lt;&gt;"",H230&lt;=8))+--(AND(I230&lt;&gt;"",I230&lt;=8))+--(AND(J230&lt;&gt;"",J230&lt;=8))+--(AND(K230&lt;&gt;"",K230&lt;=8))+--(AND(L230&lt;&gt;"",L230&lt;=8))+--(AND(M230&lt;&gt;"",M230&lt;=8))+--(AND(N230&lt;&gt;"",N230&lt;=8))+--(AND(O230&lt;&gt;"",O230&lt;=8)))</f>
        <v/>
      </c>
    </row>
    <row r="231" customFormat="false" ht="15" hidden="false" customHeight="false" outlineLevel="0" collapsed="false">
      <c r="AZ231" s="5" t="str">
        <f aca="false">IF($B231="","",SUMPRODUCT(($AL231:$AO231&lt;&gt;"")*(COUNTIF($AP231:$AX231,$AL231:$AO231)&gt;0)))</f>
        <v/>
      </c>
      <c r="BA231" s="5" t="str">
        <f aca="false">IF($B231="","",IF(AZ231&gt;0,1,0))</f>
        <v/>
      </c>
      <c r="BB231" s="5" t="str">
        <f aca="false">IF($AP231="","",IF((($AP231="Engineering and Technology")+($AP231="Science and Mathematics")+($AP231="Computer Science, IT and Allied Fields")+($AP231="Life Sciences /Medicine and Healthcare")+($AP231="Paramedical")+($AP231="Architecture")+($AP231="Environmental Service")+($AP231="Agriculture, Food Industry and Forestry"))&gt;0,"Science",IF((($AP231="Banking and Finance")+($AP231="Management and Administration")+($AP231="Marketing")+($AP231="Sales")+($AP231="Entrepreneurship")+($AP231="Hospitality and Tourism"))&gt;0,"Commerce",IF((($AP231="Social Sciences and Humanities")+($AP231="Law Studies")+($AP231="Education and Training")+($AP231="Art, Design")+($AP231="Entertainment and Mass Media")+($AP231="Community and Social Service")+($AP231="Personal Care and Services")+($AP231="Government and Public Administration")+($AP231="Defence/ Protective Service")+($AP231="Sports"))&gt;0,"Arts / Humanities",""))))</f>
        <v/>
      </c>
      <c r="BC231" s="5" t="str">
        <f aca="false">IF($AL231="","",IF((($AL231="Engineering and Technology")+($AL231="Science and Mathematics")+($AL231="Computer Science, IT and Allied Fields")+($AL231="Life Sciences /Medicine and Healthcare")+($AL231="Paramedical")+($AL231="Architecture")+($AL231="Environmental Service")+($AL231="Agriculture, Food Industry and Forestry"))&gt;0,"Science",IF((($AL231="Banking and Finance")+($AL231="Management and Administration")+($AL231="Marketing")+($AL231="Sales")+($AL231="Entrepreneurship")+($AL231="Hospitality and Tourism"))&gt;0,"Commerce",IF((($AL231="Social Sciences and Humanities")+($AL231="Law Studies")+($AL231="Education and Training")+($AL231="Art, Design")+($AL231="Entertainment and Mass Media")+($AL231="Community and Social Service")+($AL231="Personal Care and Services")+($AL231="Government and Public Administration")+($AL231="Defence/ Protective Service")+($AL231="Sports"))&gt;0,"Arts / Humanities",""))))</f>
        <v/>
      </c>
      <c r="BD231" s="5" t="str">
        <f aca="false">IF($B231="","",--(F231&gt;=10)+--(G231&gt;=10)+--(H231&gt;=10)+--(I231&gt;=10)+--(J231&gt;=10)+--(K231&gt;=10)+--(L231&gt;=10)+--(M231&gt;=10)+--(N231&gt;=10)+--(O231&gt;=10))</f>
        <v/>
      </c>
      <c r="BE231" s="5" t="str">
        <f aca="false">IF($B231="","",--(AND(F231&lt;&gt;"",F231&lt;=8))+--(AND(G231&lt;&gt;"",G231&lt;=8))+--(AND(H231&lt;&gt;"",H231&lt;=8))+--(AND(I231&lt;&gt;"",I231&lt;=8))+--(AND(J231&lt;&gt;"",J231&lt;=8))+--(AND(K231&lt;&gt;"",K231&lt;=8))+--(AND(L231&lt;&gt;"",L231&lt;=8))+--(AND(M231&lt;&gt;"",M231&lt;=8))+--(AND(N231&lt;&gt;"",N231&lt;=8))+--(AND(O231&lt;&gt;"",O231&lt;=8)))</f>
        <v/>
      </c>
    </row>
    <row r="232" customFormat="false" ht="15" hidden="false" customHeight="false" outlineLevel="0" collapsed="false">
      <c r="AZ232" s="5" t="str">
        <f aca="false">IF($B232="","",SUMPRODUCT(($AL232:$AO232&lt;&gt;"")*(COUNTIF($AP232:$AX232,$AL232:$AO232)&gt;0)))</f>
        <v/>
      </c>
      <c r="BA232" s="5" t="str">
        <f aca="false">IF($B232="","",IF(AZ232&gt;0,1,0))</f>
        <v/>
      </c>
      <c r="BB232" s="5" t="str">
        <f aca="false">IF($AP232="","",IF((($AP232="Engineering and Technology")+($AP232="Science and Mathematics")+($AP232="Computer Science, IT and Allied Fields")+($AP232="Life Sciences /Medicine and Healthcare")+($AP232="Paramedical")+($AP232="Architecture")+($AP232="Environmental Service")+($AP232="Agriculture, Food Industry and Forestry"))&gt;0,"Science",IF((($AP232="Banking and Finance")+($AP232="Management and Administration")+($AP232="Marketing")+($AP232="Sales")+($AP232="Entrepreneurship")+($AP232="Hospitality and Tourism"))&gt;0,"Commerce",IF((($AP232="Social Sciences and Humanities")+($AP232="Law Studies")+($AP232="Education and Training")+($AP232="Art, Design")+($AP232="Entertainment and Mass Media")+($AP232="Community and Social Service")+($AP232="Personal Care and Services")+($AP232="Government and Public Administration")+($AP232="Defence/ Protective Service")+($AP232="Sports"))&gt;0,"Arts / Humanities",""))))</f>
        <v/>
      </c>
      <c r="BC232" s="5" t="str">
        <f aca="false">IF($AL232="","",IF((($AL232="Engineering and Technology")+($AL232="Science and Mathematics")+($AL232="Computer Science, IT and Allied Fields")+($AL232="Life Sciences /Medicine and Healthcare")+($AL232="Paramedical")+($AL232="Architecture")+($AL232="Environmental Service")+($AL232="Agriculture, Food Industry and Forestry"))&gt;0,"Science",IF((($AL232="Banking and Finance")+($AL232="Management and Administration")+($AL232="Marketing")+($AL232="Sales")+($AL232="Entrepreneurship")+($AL232="Hospitality and Tourism"))&gt;0,"Commerce",IF((($AL232="Social Sciences and Humanities")+($AL232="Law Studies")+($AL232="Education and Training")+($AL232="Art, Design")+($AL232="Entertainment and Mass Media")+($AL232="Community and Social Service")+($AL232="Personal Care and Services")+($AL232="Government and Public Administration")+($AL232="Defence/ Protective Service")+($AL232="Sports"))&gt;0,"Arts / Humanities",""))))</f>
        <v/>
      </c>
      <c r="BD232" s="5" t="str">
        <f aca="false">IF($B232="","",--(F232&gt;=10)+--(G232&gt;=10)+--(H232&gt;=10)+--(I232&gt;=10)+--(J232&gt;=10)+--(K232&gt;=10)+--(L232&gt;=10)+--(M232&gt;=10)+--(N232&gt;=10)+--(O232&gt;=10))</f>
        <v/>
      </c>
      <c r="BE232" s="5" t="str">
        <f aca="false">IF($B232="","",--(AND(F232&lt;&gt;"",F232&lt;=8))+--(AND(G232&lt;&gt;"",G232&lt;=8))+--(AND(H232&lt;&gt;"",H232&lt;=8))+--(AND(I232&lt;&gt;"",I232&lt;=8))+--(AND(J232&lt;&gt;"",J232&lt;=8))+--(AND(K232&lt;&gt;"",K232&lt;=8))+--(AND(L232&lt;&gt;"",L232&lt;=8))+--(AND(M232&lt;&gt;"",M232&lt;=8))+--(AND(N232&lt;&gt;"",N232&lt;=8))+--(AND(O232&lt;&gt;"",O232&lt;=8)))</f>
        <v/>
      </c>
    </row>
    <row r="233" customFormat="false" ht="15" hidden="false" customHeight="false" outlineLevel="0" collapsed="false">
      <c r="AZ233" s="5" t="str">
        <f aca="false">IF($B233="","",SUMPRODUCT(($AL233:$AO233&lt;&gt;"")*(COUNTIF($AP233:$AX233,$AL233:$AO233)&gt;0)))</f>
        <v/>
      </c>
      <c r="BA233" s="5" t="str">
        <f aca="false">IF($B233="","",IF(AZ233&gt;0,1,0))</f>
        <v/>
      </c>
      <c r="BB233" s="5" t="str">
        <f aca="false">IF($AP233="","",IF((($AP233="Engineering and Technology")+($AP233="Science and Mathematics")+($AP233="Computer Science, IT and Allied Fields")+($AP233="Life Sciences /Medicine and Healthcare")+($AP233="Paramedical")+($AP233="Architecture")+($AP233="Environmental Service")+($AP233="Agriculture, Food Industry and Forestry"))&gt;0,"Science",IF((($AP233="Banking and Finance")+($AP233="Management and Administration")+($AP233="Marketing")+($AP233="Sales")+($AP233="Entrepreneurship")+($AP233="Hospitality and Tourism"))&gt;0,"Commerce",IF((($AP233="Social Sciences and Humanities")+($AP233="Law Studies")+($AP233="Education and Training")+($AP233="Art, Design")+($AP233="Entertainment and Mass Media")+($AP233="Community and Social Service")+($AP233="Personal Care and Services")+($AP233="Government and Public Administration")+($AP233="Defence/ Protective Service")+($AP233="Sports"))&gt;0,"Arts / Humanities",""))))</f>
        <v/>
      </c>
      <c r="BC233" s="5" t="str">
        <f aca="false">IF($AL233="","",IF((($AL233="Engineering and Technology")+($AL233="Science and Mathematics")+($AL233="Computer Science, IT and Allied Fields")+($AL233="Life Sciences /Medicine and Healthcare")+($AL233="Paramedical")+($AL233="Architecture")+($AL233="Environmental Service")+($AL233="Agriculture, Food Industry and Forestry"))&gt;0,"Science",IF((($AL233="Banking and Finance")+($AL233="Management and Administration")+($AL233="Marketing")+($AL233="Sales")+($AL233="Entrepreneurship")+($AL233="Hospitality and Tourism"))&gt;0,"Commerce",IF((($AL233="Social Sciences and Humanities")+($AL233="Law Studies")+($AL233="Education and Training")+($AL233="Art, Design")+($AL233="Entertainment and Mass Media")+($AL233="Community and Social Service")+($AL233="Personal Care and Services")+($AL233="Government and Public Administration")+($AL233="Defence/ Protective Service")+($AL233="Sports"))&gt;0,"Arts / Humanities",""))))</f>
        <v/>
      </c>
      <c r="BD233" s="5" t="str">
        <f aca="false">IF($B233="","",--(F233&gt;=10)+--(G233&gt;=10)+--(H233&gt;=10)+--(I233&gt;=10)+--(J233&gt;=10)+--(K233&gt;=10)+--(L233&gt;=10)+--(M233&gt;=10)+--(N233&gt;=10)+--(O233&gt;=10))</f>
        <v/>
      </c>
      <c r="BE233" s="5" t="str">
        <f aca="false">IF($B233="","",--(AND(F233&lt;&gt;"",F233&lt;=8))+--(AND(G233&lt;&gt;"",G233&lt;=8))+--(AND(H233&lt;&gt;"",H233&lt;=8))+--(AND(I233&lt;&gt;"",I233&lt;=8))+--(AND(J233&lt;&gt;"",J233&lt;=8))+--(AND(K233&lt;&gt;"",K233&lt;=8))+--(AND(L233&lt;&gt;"",L233&lt;=8))+--(AND(M233&lt;&gt;"",M233&lt;=8))+--(AND(N233&lt;&gt;"",N233&lt;=8))+--(AND(O233&lt;&gt;"",O233&lt;=8)))</f>
        <v/>
      </c>
    </row>
    <row r="234" customFormat="false" ht="15" hidden="false" customHeight="false" outlineLevel="0" collapsed="false">
      <c r="AZ234" s="5" t="str">
        <f aca="false">IF($B234="","",SUMPRODUCT(($AL234:$AO234&lt;&gt;"")*(COUNTIF($AP234:$AX234,$AL234:$AO234)&gt;0)))</f>
        <v/>
      </c>
      <c r="BA234" s="5" t="str">
        <f aca="false">IF($B234="","",IF(AZ234&gt;0,1,0))</f>
        <v/>
      </c>
      <c r="BB234" s="5" t="str">
        <f aca="false">IF($AP234="","",IF((($AP234="Engineering and Technology")+($AP234="Science and Mathematics")+($AP234="Computer Science, IT and Allied Fields")+($AP234="Life Sciences /Medicine and Healthcare")+($AP234="Paramedical")+($AP234="Architecture")+($AP234="Environmental Service")+($AP234="Agriculture, Food Industry and Forestry"))&gt;0,"Science",IF((($AP234="Banking and Finance")+($AP234="Management and Administration")+($AP234="Marketing")+($AP234="Sales")+($AP234="Entrepreneurship")+($AP234="Hospitality and Tourism"))&gt;0,"Commerce",IF((($AP234="Social Sciences and Humanities")+($AP234="Law Studies")+($AP234="Education and Training")+($AP234="Art, Design")+($AP234="Entertainment and Mass Media")+($AP234="Community and Social Service")+($AP234="Personal Care and Services")+($AP234="Government and Public Administration")+($AP234="Defence/ Protective Service")+($AP234="Sports"))&gt;0,"Arts / Humanities",""))))</f>
        <v/>
      </c>
      <c r="BC234" s="5" t="str">
        <f aca="false">IF($AL234="","",IF((($AL234="Engineering and Technology")+($AL234="Science and Mathematics")+($AL234="Computer Science, IT and Allied Fields")+($AL234="Life Sciences /Medicine and Healthcare")+($AL234="Paramedical")+($AL234="Architecture")+($AL234="Environmental Service")+($AL234="Agriculture, Food Industry and Forestry"))&gt;0,"Science",IF((($AL234="Banking and Finance")+($AL234="Management and Administration")+($AL234="Marketing")+($AL234="Sales")+($AL234="Entrepreneurship")+($AL234="Hospitality and Tourism"))&gt;0,"Commerce",IF((($AL234="Social Sciences and Humanities")+($AL234="Law Studies")+($AL234="Education and Training")+($AL234="Art, Design")+($AL234="Entertainment and Mass Media")+($AL234="Community and Social Service")+($AL234="Personal Care and Services")+($AL234="Government and Public Administration")+($AL234="Defence/ Protective Service")+($AL234="Sports"))&gt;0,"Arts / Humanities",""))))</f>
        <v/>
      </c>
      <c r="BD234" s="5" t="str">
        <f aca="false">IF($B234="","",--(F234&gt;=10)+--(G234&gt;=10)+--(H234&gt;=10)+--(I234&gt;=10)+--(J234&gt;=10)+--(K234&gt;=10)+--(L234&gt;=10)+--(M234&gt;=10)+--(N234&gt;=10)+--(O234&gt;=10))</f>
        <v/>
      </c>
      <c r="BE234" s="5" t="str">
        <f aca="false">IF($B234="","",--(AND(F234&lt;&gt;"",F234&lt;=8))+--(AND(G234&lt;&gt;"",G234&lt;=8))+--(AND(H234&lt;&gt;"",H234&lt;=8))+--(AND(I234&lt;&gt;"",I234&lt;=8))+--(AND(J234&lt;&gt;"",J234&lt;=8))+--(AND(K234&lt;&gt;"",K234&lt;=8))+--(AND(L234&lt;&gt;"",L234&lt;=8))+--(AND(M234&lt;&gt;"",M234&lt;=8))+--(AND(N234&lt;&gt;"",N234&lt;=8))+--(AND(O234&lt;&gt;"",O234&lt;=8)))</f>
        <v/>
      </c>
    </row>
    <row r="235" customFormat="false" ht="15" hidden="false" customHeight="false" outlineLevel="0" collapsed="false">
      <c r="AZ235" s="5" t="str">
        <f aca="false">IF($B235="","",SUMPRODUCT(($AL235:$AO235&lt;&gt;"")*(COUNTIF($AP235:$AX235,$AL235:$AO235)&gt;0)))</f>
        <v/>
      </c>
      <c r="BA235" s="5" t="str">
        <f aca="false">IF($B235="","",IF(AZ235&gt;0,1,0))</f>
        <v/>
      </c>
      <c r="BB235" s="5" t="str">
        <f aca="false">IF($AP235="","",IF((($AP235="Engineering and Technology")+($AP235="Science and Mathematics")+($AP235="Computer Science, IT and Allied Fields")+($AP235="Life Sciences /Medicine and Healthcare")+($AP235="Paramedical")+($AP235="Architecture")+($AP235="Environmental Service")+($AP235="Agriculture, Food Industry and Forestry"))&gt;0,"Science",IF((($AP235="Banking and Finance")+($AP235="Management and Administration")+($AP235="Marketing")+($AP235="Sales")+($AP235="Entrepreneurship")+($AP235="Hospitality and Tourism"))&gt;0,"Commerce",IF((($AP235="Social Sciences and Humanities")+($AP235="Law Studies")+($AP235="Education and Training")+($AP235="Art, Design")+($AP235="Entertainment and Mass Media")+($AP235="Community and Social Service")+($AP235="Personal Care and Services")+($AP235="Government and Public Administration")+($AP235="Defence/ Protective Service")+($AP235="Sports"))&gt;0,"Arts / Humanities",""))))</f>
        <v/>
      </c>
      <c r="BC235" s="5" t="str">
        <f aca="false">IF($AL235="","",IF((($AL235="Engineering and Technology")+($AL235="Science and Mathematics")+($AL235="Computer Science, IT and Allied Fields")+($AL235="Life Sciences /Medicine and Healthcare")+($AL235="Paramedical")+($AL235="Architecture")+($AL235="Environmental Service")+($AL235="Agriculture, Food Industry and Forestry"))&gt;0,"Science",IF((($AL235="Banking and Finance")+($AL235="Management and Administration")+($AL235="Marketing")+($AL235="Sales")+($AL235="Entrepreneurship")+($AL235="Hospitality and Tourism"))&gt;0,"Commerce",IF((($AL235="Social Sciences and Humanities")+($AL235="Law Studies")+($AL235="Education and Training")+($AL235="Art, Design")+($AL235="Entertainment and Mass Media")+($AL235="Community and Social Service")+($AL235="Personal Care and Services")+($AL235="Government and Public Administration")+($AL235="Defence/ Protective Service")+($AL235="Sports"))&gt;0,"Arts / Humanities",""))))</f>
        <v/>
      </c>
      <c r="BD235" s="5" t="str">
        <f aca="false">IF($B235="","",--(F235&gt;=10)+--(G235&gt;=10)+--(H235&gt;=10)+--(I235&gt;=10)+--(J235&gt;=10)+--(K235&gt;=10)+--(L235&gt;=10)+--(M235&gt;=10)+--(N235&gt;=10)+--(O235&gt;=10))</f>
        <v/>
      </c>
      <c r="BE235" s="5" t="str">
        <f aca="false">IF($B235="","",--(AND(F235&lt;&gt;"",F235&lt;=8))+--(AND(G235&lt;&gt;"",G235&lt;=8))+--(AND(H235&lt;&gt;"",H235&lt;=8))+--(AND(I235&lt;&gt;"",I235&lt;=8))+--(AND(J235&lt;&gt;"",J235&lt;=8))+--(AND(K235&lt;&gt;"",K235&lt;=8))+--(AND(L235&lt;&gt;"",L235&lt;=8))+--(AND(M235&lt;&gt;"",M235&lt;=8))+--(AND(N235&lt;&gt;"",N235&lt;=8))+--(AND(O235&lt;&gt;"",O235&lt;=8)))</f>
        <v/>
      </c>
    </row>
    <row r="236" customFormat="false" ht="15" hidden="false" customHeight="false" outlineLevel="0" collapsed="false">
      <c r="AZ236" s="5" t="str">
        <f aca="false">IF($B236="","",SUMPRODUCT(($AL236:$AO236&lt;&gt;"")*(COUNTIF($AP236:$AX236,$AL236:$AO236)&gt;0)))</f>
        <v/>
      </c>
      <c r="BA236" s="5" t="str">
        <f aca="false">IF($B236="","",IF(AZ236&gt;0,1,0))</f>
        <v/>
      </c>
      <c r="BB236" s="5" t="str">
        <f aca="false">IF($AP236="","",IF((($AP236="Engineering and Technology")+($AP236="Science and Mathematics")+($AP236="Computer Science, IT and Allied Fields")+($AP236="Life Sciences /Medicine and Healthcare")+($AP236="Paramedical")+($AP236="Architecture")+($AP236="Environmental Service")+($AP236="Agriculture, Food Industry and Forestry"))&gt;0,"Science",IF((($AP236="Banking and Finance")+($AP236="Management and Administration")+($AP236="Marketing")+($AP236="Sales")+($AP236="Entrepreneurship")+($AP236="Hospitality and Tourism"))&gt;0,"Commerce",IF((($AP236="Social Sciences and Humanities")+($AP236="Law Studies")+($AP236="Education and Training")+($AP236="Art, Design")+($AP236="Entertainment and Mass Media")+($AP236="Community and Social Service")+($AP236="Personal Care and Services")+($AP236="Government and Public Administration")+($AP236="Defence/ Protective Service")+($AP236="Sports"))&gt;0,"Arts / Humanities",""))))</f>
        <v/>
      </c>
      <c r="BC236" s="5" t="str">
        <f aca="false">IF($AL236="","",IF((($AL236="Engineering and Technology")+($AL236="Science and Mathematics")+($AL236="Computer Science, IT and Allied Fields")+($AL236="Life Sciences /Medicine and Healthcare")+($AL236="Paramedical")+($AL236="Architecture")+($AL236="Environmental Service")+($AL236="Agriculture, Food Industry and Forestry"))&gt;0,"Science",IF((($AL236="Banking and Finance")+($AL236="Management and Administration")+($AL236="Marketing")+($AL236="Sales")+($AL236="Entrepreneurship")+($AL236="Hospitality and Tourism"))&gt;0,"Commerce",IF((($AL236="Social Sciences and Humanities")+($AL236="Law Studies")+($AL236="Education and Training")+($AL236="Art, Design")+($AL236="Entertainment and Mass Media")+($AL236="Community and Social Service")+($AL236="Personal Care and Services")+($AL236="Government and Public Administration")+($AL236="Defence/ Protective Service")+($AL236="Sports"))&gt;0,"Arts / Humanities",""))))</f>
        <v/>
      </c>
      <c r="BD236" s="5" t="str">
        <f aca="false">IF($B236="","",--(F236&gt;=10)+--(G236&gt;=10)+--(H236&gt;=10)+--(I236&gt;=10)+--(J236&gt;=10)+--(K236&gt;=10)+--(L236&gt;=10)+--(M236&gt;=10)+--(N236&gt;=10)+--(O236&gt;=10))</f>
        <v/>
      </c>
      <c r="BE236" s="5" t="str">
        <f aca="false">IF($B236="","",--(AND(F236&lt;&gt;"",F236&lt;=8))+--(AND(G236&lt;&gt;"",G236&lt;=8))+--(AND(H236&lt;&gt;"",H236&lt;=8))+--(AND(I236&lt;&gt;"",I236&lt;=8))+--(AND(J236&lt;&gt;"",J236&lt;=8))+--(AND(K236&lt;&gt;"",K236&lt;=8))+--(AND(L236&lt;&gt;"",L236&lt;=8))+--(AND(M236&lt;&gt;"",M236&lt;=8))+--(AND(N236&lt;&gt;"",N236&lt;=8))+--(AND(O236&lt;&gt;"",O236&lt;=8)))</f>
        <v/>
      </c>
    </row>
    <row r="237" customFormat="false" ht="15" hidden="false" customHeight="false" outlineLevel="0" collapsed="false">
      <c r="AZ237" s="5" t="str">
        <f aca="false">IF($B237="","",SUMPRODUCT(($AL237:$AO237&lt;&gt;"")*(COUNTIF($AP237:$AX237,$AL237:$AO237)&gt;0)))</f>
        <v/>
      </c>
      <c r="BA237" s="5" t="str">
        <f aca="false">IF($B237="","",IF(AZ237&gt;0,1,0))</f>
        <v/>
      </c>
      <c r="BB237" s="5" t="str">
        <f aca="false">IF($AP237="","",IF((($AP237="Engineering and Technology")+($AP237="Science and Mathematics")+($AP237="Computer Science, IT and Allied Fields")+($AP237="Life Sciences /Medicine and Healthcare")+($AP237="Paramedical")+($AP237="Architecture")+($AP237="Environmental Service")+($AP237="Agriculture, Food Industry and Forestry"))&gt;0,"Science",IF((($AP237="Banking and Finance")+($AP237="Management and Administration")+($AP237="Marketing")+($AP237="Sales")+($AP237="Entrepreneurship")+($AP237="Hospitality and Tourism"))&gt;0,"Commerce",IF((($AP237="Social Sciences and Humanities")+($AP237="Law Studies")+($AP237="Education and Training")+($AP237="Art, Design")+($AP237="Entertainment and Mass Media")+($AP237="Community and Social Service")+($AP237="Personal Care and Services")+($AP237="Government and Public Administration")+($AP237="Defence/ Protective Service")+($AP237="Sports"))&gt;0,"Arts / Humanities",""))))</f>
        <v/>
      </c>
      <c r="BC237" s="5" t="str">
        <f aca="false">IF($AL237="","",IF((($AL237="Engineering and Technology")+($AL237="Science and Mathematics")+($AL237="Computer Science, IT and Allied Fields")+($AL237="Life Sciences /Medicine and Healthcare")+($AL237="Paramedical")+($AL237="Architecture")+($AL237="Environmental Service")+($AL237="Agriculture, Food Industry and Forestry"))&gt;0,"Science",IF((($AL237="Banking and Finance")+($AL237="Management and Administration")+($AL237="Marketing")+($AL237="Sales")+($AL237="Entrepreneurship")+($AL237="Hospitality and Tourism"))&gt;0,"Commerce",IF((($AL237="Social Sciences and Humanities")+($AL237="Law Studies")+($AL237="Education and Training")+($AL237="Art, Design")+($AL237="Entertainment and Mass Media")+($AL237="Community and Social Service")+($AL237="Personal Care and Services")+($AL237="Government and Public Administration")+($AL237="Defence/ Protective Service")+($AL237="Sports"))&gt;0,"Arts / Humanities",""))))</f>
        <v/>
      </c>
      <c r="BD237" s="5" t="str">
        <f aca="false">IF($B237="","",--(F237&gt;=10)+--(G237&gt;=10)+--(H237&gt;=10)+--(I237&gt;=10)+--(J237&gt;=10)+--(K237&gt;=10)+--(L237&gt;=10)+--(M237&gt;=10)+--(N237&gt;=10)+--(O237&gt;=10))</f>
        <v/>
      </c>
      <c r="BE237" s="5" t="str">
        <f aca="false">IF($B237="","",--(AND(F237&lt;&gt;"",F237&lt;=8))+--(AND(G237&lt;&gt;"",G237&lt;=8))+--(AND(H237&lt;&gt;"",H237&lt;=8))+--(AND(I237&lt;&gt;"",I237&lt;=8))+--(AND(J237&lt;&gt;"",J237&lt;=8))+--(AND(K237&lt;&gt;"",K237&lt;=8))+--(AND(L237&lt;&gt;"",L237&lt;=8))+--(AND(M237&lt;&gt;"",M237&lt;=8))+--(AND(N237&lt;&gt;"",N237&lt;=8))+--(AND(O237&lt;&gt;"",O237&lt;=8)))</f>
        <v/>
      </c>
    </row>
    <row r="238" customFormat="false" ht="15" hidden="false" customHeight="false" outlineLevel="0" collapsed="false">
      <c r="AZ238" s="5" t="str">
        <f aca="false">IF($B238="","",SUMPRODUCT(($AL238:$AO238&lt;&gt;"")*(COUNTIF($AP238:$AX238,$AL238:$AO238)&gt;0)))</f>
        <v/>
      </c>
      <c r="BA238" s="5" t="str">
        <f aca="false">IF($B238="","",IF(AZ238&gt;0,1,0))</f>
        <v/>
      </c>
      <c r="BB238" s="5" t="str">
        <f aca="false">IF($AP238="","",IF((($AP238="Engineering and Technology")+($AP238="Science and Mathematics")+($AP238="Computer Science, IT and Allied Fields")+($AP238="Life Sciences /Medicine and Healthcare")+($AP238="Paramedical")+($AP238="Architecture")+($AP238="Environmental Service")+($AP238="Agriculture, Food Industry and Forestry"))&gt;0,"Science",IF((($AP238="Banking and Finance")+($AP238="Management and Administration")+($AP238="Marketing")+($AP238="Sales")+($AP238="Entrepreneurship")+($AP238="Hospitality and Tourism"))&gt;0,"Commerce",IF((($AP238="Social Sciences and Humanities")+($AP238="Law Studies")+($AP238="Education and Training")+($AP238="Art, Design")+($AP238="Entertainment and Mass Media")+($AP238="Community and Social Service")+($AP238="Personal Care and Services")+($AP238="Government and Public Administration")+($AP238="Defence/ Protective Service")+($AP238="Sports"))&gt;0,"Arts / Humanities",""))))</f>
        <v/>
      </c>
      <c r="BC238" s="5" t="str">
        <f aca="false">IF($AL238="","",IF((($AL238="Engineering and Technology")+($AL238="Science and Mathematics")+($AL238="Computer Science, IT and Allied Fields")+($AL238="Life Sciences /Medicine and Healthcare")+($AL238="Paramedical")+($AL238="Architecture")+($AL238="Environmental Service")+($AL238="Agriculture, Food Industry and Forestry"))&gt;0,"Science",IF((($AL238="Banking and Finance")+($AL238="Management and Administration")+($AL238="Marketing")+($AL238="Sales")+($AL238="Entrepreneurship")+($AL238="Hospitality and Tourism"))&gt;0,"Commerce",IF((($AL238="Social Sciences and Humanities")+($AL238="Law Studies")+($AL238="Education and Training")+($AL238="Art, Design")+($AL238="Entertainment and Mass Media")+($AL238="Community and Social Service")+($AL238="Personal Care and Services")+($AL238="Government and Public Administration")+($AL238="Defence/ Protective Service")+($AL238="Sports"))&gt;0,"Arts / Humanities",""))))</f>
        <v/>
      </c>
      <c r="BD238" s="5" t="str">
        <f aca="false">IF($B238="","",--(F238&gt;=10)+--(G238&gt;=10)+--(H238&gt;=10)+--(I238&gt;=10)+--(J238&gt;=10)+--(K238&gt;=10)+--(L238&gt;=10)+--(M238&gt;=10)+--(N238&gt;=10)+--(O238&gt;=10))</f>
        <v/>
      </c>
      <c r="BE238" s="5" t="str">
        <f aca="false">IF($B238="","",--(AND(F238&lt;&gt;"",F238&lt;=8))+--(AND(G238&lt;&gt;"",G238&lt;=8))+--(AND(H238&lt;&gt;"",H238&lt;=8))+--(AND(I238&lt;&gt;"",I238&lt;=8))+--(AND(J238&lt;&gt;"",J238&lt;=8))+--(AND(K238&lt;&gt;"",K238&lt;=8))+--(AND(L238&lt;&gt;"",L238&lt;=8))+--(AND(M238&lt;&gt;"",M238&lt;=8))+--(AND(N238&lt;&gt;"",N238&lt;=8))+--(AND(O238&lt;&gt;"",O238&lt;=8)))</f>
        <v/>
      </c>
    </row>
    <row r="239" customFormat="false" ht="15" hidden="false" customHeight="false" outlineLevel="0" collapsed="false">
      <c r="AZ239" s="5" t="str">
        <f aca="false">IF($B239="","",SUMPRODUCT(($AL239:$AO239&lt;&gt;"")*(COUNTIF($AP239:$AX239,$AL239:$AO239)&gt;0)))</f>
        <v/>
      </c>
      <c r="BA239" s="5" t="str">
        <f aca="false">IF($B239="","",IF(AZ239&gt;0,1,0))</f>
        <v/>
      </c>
      <c r="BB239" s="5" t="str">
        <f aca="false">IF($AP239="","",IF((($AP239="Engineering and Technology")+($AP239="Science and Mathematics")+($AP239="Computer Science, IT and Allied Fields")+($AP239="Life Sciences /Medicine and Healthcare")+($AP239="Paramedical")+($AP239="Architecture")+($AP239="Environmental Service")+($AP239="Agriculture, Food Industry and Forestry"))&gt;0,"Science",IF((($AP239="Banking and Finance")+($AP239="Management and Administration")+($AP239="Marketing")+($AP239="Sales")+($AP239="Entrepreneurship")+($AP239="Hospitality and Tourism"))&gt;0,"Commerce",IF((($AP239="Social Sciences and Humanities")+($AP239="Law Studies")+($AP239="Education and Training")+($AP239="Art, Design")+($AP239="Entertainment and Mass Media")+($AP239="Community and Social Service")+($AP239="Personal Care and Services")+($AP239="Government and Public Administration")+($AP239="Defence/ Protective Service")+($AP239="Sports"))&gt;0,"Arts / Humanities",""))))</f>
        <v/>
      </c>
      <c r="BC239" s="5" t="str">
        <f aca="false">IF($AL239="","",IF((($AL239="Engineering and Technology")+($AL239="Science and Mathematics")+($AL239="Computer Science, IT and Allied Fields")+($AL239="Life Sciences /Medicine and Healthcare")+($AL239="Paramedical")+($AL239="Architecture")+($AL239="Environmental Service")+($AL239="Agriculture, Food Industry and Forestry"))&gt;0,"Science",IF((($AL239="Banking and Finance")+($AL239="Management and Administration")+($AL239="Marketing")+($AL239="Sales")+($AL239="Entrepreneurship")+($AL239="Hospitality and Tourism"))&gt;0,"Commerce",IF((($AL239="Social Sciences and Humanities")+($AL239="Law Studies")+($AL239="Education and Training")+($AL239="Art, Design")+($AL239="Entertainment and Mass Media")+($AL239="Community and Social Service")+($AL239="Personal Care and Services")+($AL239="Government and Public Administration")+($AL239="Defence/ Protective Service")+($AL239="Sports"))&gt;0,"Arts / Humanities",""))))</f>
        <v/>
      </c>
      <c r="BD239" s="5" t="str">
        <f aca="false">IF($B239="","",--(F239&gt;=10)+--(G239&gt;=10)+--(H239&gt;=10)+--(I239&gt;=10)+--(J239&gt;=10)+--(K239&gt;=10)+--(L239&gt;=10)+--(M239&gt;=10)+--(N239&gt;=10)+--(O239&gt;=10))</f>
        <v/>
      </c>
      <c r="BE239" s="5" t="str">
        <f aca="false">IF($B239="","",--(AND(F239&lt;&gt;"",F239&lt;=8))+--(AND(G239&lt;&gt;"",G239&lt;=8))+--(AND(H239&lt;&gt;"",H239&lt;=8))+--(AND(I239&lt;&gt;"",I239&lt;=8))+--(AND(J239&lt;&gt;"",J239&lt;=8))+--(AND(K239&lt;&gt;"",K239&lt;=8))+--(AND(L239&lt;&gt;"",L239&lt;=8))+--(AND(M239&lt;&gt;"",M239&lt;=8))+--(AND(N239&lt;&gt;"",N239&lt;=8))+--(AND(O239&lt;&gt;"",O239&lt;=8)))</f>
        <v/>
      </c>
    </row>
    <row r="240" customFormat="false" ht="15" hidden="false" customHeight="false" outlineLevel="0" collapsed="false">
      <c r="AZ240" s="5" t="str">
        <f aca="false">IF($B240="","",SUMPRODUCT(($AL240:$AO240&lt;&gt;"")*(COUNTIF($AP240:$AX240,$AL240:$AO240)&gt;0)))</f>
        <v/>
      </c>
      <c r="BA240" s="5" t="str">
        <f aca="false">IF($B240="","",IF(AZ240&gt;0,1,0))</f>
        <v/>
      </c>
      <c r="BB240" s="5" t="str">
        <f aca="false">IF($AP240="","",IF((($AP240="Engineering and Technology")+($AP240="Science and Mathematics")+($AP240="Computer Science, IT and Allied Fields")+($AP240="Life Sciences /Medicine and Healthcare")+($AP240="Paramedical")+($AP240="Architecture")+($AP240="Environmental Service")+($AP240="Agriculture, Food Industry and Forestry"))&gt;0,"Science",IF((($AP240="Banking and Finance")+($AP240="Management and Administration")+($AP240="Marketing")+($AP240="Sales")+($AP240="Entrepreneurship")+($AP240="Hospitality and Tourism"))&gt;0,"Commerce",IF((($AP240="Social Sciences and Humanities")+($AP240="Law Studies")+($AP240="Education and Training")+($AP240="Art, Design")+($AP240="Entertainment and Mass Media")+($AP240="Community and Social Service")+($AP240="Personal Care and Services")+($AP240="Government and Public Administration")+($AP240="Defence/ Protective Service")+($AP240="Sports"))&gt;0,"Arts / Humanities",""))))</f>
        <v/>
      </c>
      <c r="BC240" s="5" t="str">
        <f aca="false">IF($AL240="","",IF((($AL240="Engineering and Technology")+($AL240="Science and Mathematics")+($AL240="Computer Science, IT and Allied Fields")+($AL240="Life Sciences /Medicine and Healthcare")+($AL240="Paramedical")+($AL240="Architecture")+($AL240="Environmental Service")+($AL240="Agriculture, Food Industry and Forestry"))&gt;0,"Science",IF((($AL240="Banking and Finance")+($AL240="Management and Administration")+($AL240="Marketing")+($AL240="Sales")+($AL240="Entrepreneurship")+($AL240="Hospitality and Tourism"))&gt;0,"Commerce",IF((($AL240="Social Sciences and Humanities")+($AL240="Law Studies")+($AL240="Education and Training")+($AL240="Art, Design")+($AL240="Entertainment and Mass Media")+($AL240="Community and Social Service")+($AL240="Personal Care and Services")+($AL240="Government and Public Administration")+($AL240="Defence/ Protective Service")+($AL240="Sports"))&gt;0,"Arts / Humanities",""))))</f>
        <v/>
      </c>
      <c r="BD240" s="5" t="str">
        <f aca="false">IF($B240="","",--(F240&gt;=10)+--(G240&gt;=10)+--(H240&gt;=10)+--(I240&gt;=10)+--(J240&gt;=10)+--(K240&gt;=10)+--(L240&gt;=10)+--(M240&gt;=10)+--(N240&gt;=10)+--(O240&gt;=10))</f>
        <v/>
      </c>
      <c r="BE240" s="5" t="str">
        <f aca="false">IF($B240="","",--(AND(F240&lt;&gt;"",F240&lt;=8))+--(AND(G240&lt;&gt;"",G240&lt;=8))+--(AND(H240&lt;&gt;"",H240&lt;=8))+--(AND(I240&lt;&gt;"",I240&lt;=8))+--(AND(J240&lt;&gt;"",J240&lt;=8))+--(AND(K240&lt;&gt;"",K240&lt;=8))+--(AND(L240&lt;&gt;"",L240&lt;=8))+--(AND(M240&lt;&gt;"",M240&lt;=8))+--(AND(N240&lt;&gt;"",N240&lt;=8))+--(AND(O240&lt;&gt;"",O240&lt;=8)))</f>
        <v/>
      </c>
    </row>
    <row r="241" customFormat="false" ht="15" hidden="false" customHeight="false" outlineLevel="0" collapsed="false">
      <c r="AZ241" s="5" t="str">
        <f aca="false">IF($B241="","",SUMPRODUCT(($AL241:$AO241&lt;&gt;"")*(COUNTIF($AP241:$AX241,$AL241:$AO241)&gt;0)))</f>
        <v/>
      </c>
      <c r="BA241" s="5" t="str">
        <f aca="false">IF($B241="","",IF(AZ241&gt;0,1,0))</f>
        <v/>
      </c>
      <c r="BB241" s="5" t="str">
        <f aca="false">IF($AP241="","",IF((($AP241="Engineering and Technology")+($AP241="Science and Mathematics")+($AP241="Computer Science, IT and Allied Fields")+($AP241="Life Sciences /Medicine and Healthcare")+($AP241="Paramedical")+($AP241="Architecture")+($AP241="Environmental Service")+($AP241="Agriculture, Food Industry and Forestry"))&gt;0,"Science",IF((($AP241="Banking and Finance")+($AP241="Management and Administration")+($AP241="Marketing")+($AP241="Sales")+($AP241="Entrepreneurship")+($AP241="Hospitality and Tourism"))&gt;0,"Commerce",IF((($AP241="Social Sciences and Humanities")+($AP241="Law Studies")+($AP241="Education and Training")+($AP241="Art, Design")+($AP241="Entertainment and Mass Media")+($AP241="Community and Social Service")+($AP241="Personal Care and Services")+($AP241="Government and Public Administration")+($AP241="Defence/ Protective Service")+($AP241="Sports"))&gt;0,"Arts / Humanities",""))))</f>
        <v/>
      </c>
      <c r="BC241" s="5" t="str">
        <f aca="false">IF($AL241="","",IF((($AL241="Engineering and Technology")+($AL241="Science and Mathematics")+($AL241="Computer Science, IT and Allied Fields")+($AL241="Life Sciences /Medicine and Healthcare")+($AL241="Paramedical")+($AL241="Architecture")+($AL241="Environmental Service")+($AL241="Agriculture, Food Industry and Forestry"))&gt;0,"Science",IF((($AL241="Banking and Finance")+($AL241="Management and Administration")+($AL241="Marketing")+($AL241="Sales")+($AL241="Entrepreneurship")+($AL241="Hospitality and Tourism"))&gt;0,"Commerce",IF((($AL241="Social Sciences and Humanities")+($AL241="Law Studies")+($AL241="Education and Training")+($AL241="Art, Design")+($AL241="Entertainment and Mass Media")+($AL241="Community and Social Service")+($AL241="Personal Care and Services")+($AL241="Government and Public Administration")+($AL241="Defence/ Protective Service")+($AL241="Sports"))&gt;0,"Arts / Humanities",""))))</f>
        <v/>
      </c>
      <c r="BD241" s="5" t="str">
        <f aca="false">IF($B241="","",--(F241&gt;=10)+--(G241&gt;=10)+--(H241&gt;=10)+--(I241&gt;=10)+--(J241&gt;=10)+--(K241&gt;=10)+--(L241&gt;=10)+--(M241&gt;=10)+--(N241&gt;=10)+--(O241&gt;=10))</f>
        <v/>
      </c>
      <c r="BE241" s="5" t="str">
        <f aca="false">IF($B241="","",--(AND(F241&lt;&gt;"",F241&lt;=8))+--(AND(G241&lt;&gt;"",G241&lt;=8))+--(AND(H241&lt;&gt;"",H241&lt;=8))+--(AND(I241&lt;&gt;"",I241&lt;=8))+--(AND(J241&lt;&gt;"",J241&lt;=8))+--(AND(K241&lt;&gt;"",K241&lt;=8))+--(AND(L241&lt;&gt;"",L241&lt;=8))+--(AND(M241&lt;&gt;"",M241&lt;=8))+--(AND(N241&lt;&gt;"",N241&lt;=8))+--(AND(O241&lt;&gt;"",O241&lt;=8)))</f>
        <v/>
      </c>
    </row>
    <row r="242" customFormat="false" ht="15" hidden="false" customHeight="false" outlineLevel="0" collapsed="false">
      <c r="AZ242" s="5" t="str">
        <f aca="false">IF($B242="","",SUMPRODUCT(($AL242:$AO242&lt;&gt;"")*(COUNTIF($AP242:$AX242,$AL242:$AO242)&gt;0)))</f>
        <v/>
      </c>
      <c r="BA242" s="5" t="str">
        <f aca="false">IF($B242="","",IF(AZ242&gt;0,1,0))</f>
        <v/>
      </c>
      <c r="BB242" s="5" t="str">
        <f aca="false">IF($AP242="","",IF((($AP242="Engineering and Technology")+($AP242="Science and Mathematics")+($AP242="Computer Science, IT and Allied Fields")+($AP242="Life Sciences /Medicine and Healthcare")+($AP242="Paramedical")+($AP242="Architecture")+($AP242="Environmental Service")+($AP242="Agriculture, Food Industry and Forestry"))&gt;0,"Science",IF((($AP242="Banking and Finance")+($AP242="Management and Administration")+($AP242="Marketing")+($AP242="Sales")+($AP242="Entrepreneurship")+($AP242="Hospitality and Tourism"))&gt;0,"Commerce",IF((($AP242="Social Sciences and Humanities")+($AP242="Law Studies")+($AP242="Education and Training")+($AP242="Art, Design")+($AP242="Entertainment and Mass Media")+($AP242="Community and Social Service")+($AP242="Personal Care and Services")+($AP242="Government and Public Administration")+($AP242="Defence/ Protective Service")+($AP242="Sports"))&gt;0,"Arts / Humanities",""))))</f>
        <v/>
      </c>
      <c r="BC242" s="5" t="str">
        <f aca="false">IF($AL242="","",IF((($AL242="Engineering and Technology")+($AL242="Science and Mathematics")+($AL242="Computer Science, IT and Allied Fields")+($AL242="Life Sciences /Medicine and Healthcare")+($AL242="Paramedical")+($AL242="Architecture")+($AL242="Environmental Service")+($AL242="Agriculture, Food Industry and Forestry"))&gt;0,"Science",IF((($AL242="Banking and Finance")+($AL242="Management and Administration")+($AL242="Marketing")+($AL242="Sales")+($AL242="Entrepreneurship")+($AL242="Hospitality and Tourism"))&gt;0,"Commerce",IF((($AL242="Social Sciences and Humanities")+($AL242="Law Studies")+($AL242="Education and Training")+($AL242="Art, Design")+($AL242="Entertainment and Mass Media")+($AL242="Community and Social Service")+($AL242="Personal Care and Services")+($AL242="Government and Public Administration")+($AL242="Defence/ Protective Service")+($AL242="Sports"))&gt;0,"Arts / Humanities",""))))</f>
        <v/>
      </c>
      <c r="BD242" s="5" t="str">
        <f aca="false">IF($B242="","",--(F242&gt;=10)+--(G242&gt;=10)+--(H242&gt;=10)+--(I242&gt;=10)+--(J242&gt;=10)+--(K242&gt;=10)+--(L242&gt;=10)+--(M242&gt;=10)+--(N242&gt;=10)+--(O242&gt;=10))</f>
        <v/>
      </c>
      <c r="BE242" s="5" t="str">
        <f aca="false">IF($B242="","",--(AND(F242&lt;&gt;"",F242&lt;=8))+--(AND(G242&lt;&gt;"",G242&lt;=8))+--(AND(H242&lt;&gt;"",H242&lt;=8))+--(AND(I242&lt;&gt;"",I242&lt;=8))+--(AND(J242&lt;&gt;"",J242&lt;=8))+--(AND(K242&lt;&gt;"",K242&lt;=8))+--(AND(L242&lt;&gt;"",L242&lt;=8))+--(AND(M242&lt;&gt;"",M242&lt;=8))+--(AND(N242&lt;&gt;"",N242&lt;=8))+--(AND(O242&lt;&gt;"",O242&lt;=8)))</f>
        <v/>
      </c>
    </row>
    <row r="243" customFormat="false" ht="15" hidden="false" customHeight="false" outlineLevel="0" collapsed="false">
      <c r="AZ243" s="5" t="str">
        <f aca="false">IF($B243="","",SUMPRODUCT(($AL243:$AO243&lt;&gt;"")*(COUNTIF($AP243:$AX243,$AL243:$AO243)&gt;0)))</f>
        <v/>
      </c>
      <c r="BA243" s="5" t="str">
        <f aca="false">IF($B243="","",IF(AZ243&gt;0,1,0))</f>
        <v/>
      </c>
      <c r="BB243" s="5" t="str">
        <f aca="false">IF($AP243="","",IF((($AP243="Engineering and Technology")+($AP243="Science and Mathematics")+($AP243="Computer Science, IT and Allied Fields")+($AP243="Life Sciences /Medicine and Healthcare")+($AP243="Paramedical")+($AP243="Architecture")+($AP243="Environmental Service")+($AP243="Agriculture, Food Industry and Forestry"))&gt;0,"Science",IF((($AP243="Banking and Finance")+($AP243="Management and Administration")+($AP243="Marketing")+($AP243="Sales")+($AP243="Entrepreneurship")+($AP243="Hospitality and Tourism"))&gt;0,"Commerce",IF((($AP243="Social Sciences and Humanities")+($AP243="Law Studies")+($AP243="Education and Training")+($AP243="Art, Design")+($AP243="Entertainment and Mass Media")+($AP243="Community and Social Service")+($AP243="Personal Care and Services")+($AP243="Government and Public Administration")+($AP243="Defence/ Protective Service")+($AP243="Sports"))&gt;0,"Arts / Humanities",""))))</f>
        <v/>
      </c>
      <c r="BC243" s="5" t="str">
        <f aca="false">IF($AL243="","",IF((($AL243="Engineering and Technology")+($AL243="Science and Mathematics")+($AL243="Computer Science, IT and Allied Fields")+($AL243="Life Sciences /Medicine and Healthcare")+($AL243="Paramedical")+($AL243="Architecture")+($AL243="Environmental Service")+($AL243="Agriculture, Food Industry and Forestry"))&gt;0,"Science",IF((($AL243="Banking and Finance")+($AL243="Management and Administration")+($AL243="Marketing")+($AL243="Sales")+($AL243="Entrepreneurship")+($AL243="Hospitality and Tourism"))&gt;0,"Commerce",IF((($AL243="Social Sciences and Humanities")+($AL243="Law Studies")+($AL243="Education and Training")+($AL243="Art, Design")+($AL243="Entertainment and Mass Media")+($AL243="Community and Social Service")+($AL243="Personal Care and Services")+($AL243="Government and Public Administration")+($AL243="Defence/ Protective Service")+($AL243="Sports"))&gt;0,"Arts / Humanities",""))))</f>
        <v/>
      </c>
      <c r="BD243" s="5" t="str">
        <f aca="false">IF($B243="","",--(F243&gt;=10)+--(G243&gt;=10)+--(H243&gt;=10)+--(I243&gt;=10)+--(J243&gt;=10)+--(K243&gt;=10)+--(L243&gt;=10)+--(M243&gt;=10)+--(N243&gt;=10)+--(O243&gt;=10))</f>
        <v/>
      </c>
      <c r="BE243" s="5" t="str">
        <f aca="false">IF($B243="","",--(AND(F243&lt;&gt;"",F243&lt;=8))+--(AND(G243&lt;&gt;"",G243&lt;=8))+--(AND(H243&lt;&gt;"",H243&lt;=8))+--(AND(I243&lt;&gt;"",I243&lt;=8))+--(AND(J243&lt;&gt;"",J243&lt;=8))+--(AND(K243&lt;&gt;"",K243&lt;=8))+--(AND(L243&lt;&gt;"",L243&lt;=8))+--(AND(M243&lt;&gt;"",M243&lt;=8))+--(AND(N243&lt;&gt;"",N243&lt;=8))+--(AND(O243&lt;&gt;"",O243&lt;=8)))</f>
        <v/>
      </c>
    </row>
    <row r="244" customFormat="false" ht="15" hidden="false" customHeight="false" outlineLevel="0" collapsed="false">
      <c r="AZ244" s="5" t="str">
        <f aca="false">IF($B244="","",SUMPRODUCT(($AL244:$AO244&lt;&gt;"")*(COUNTIF($AP244:$AX244,$AL244:$AO244)&gt;0)))</f>
        <v/>
      </c>
      <c r="BA244" s="5" t="str">
        <f aca="false">IF($B244="","",IF(AZ244&gt;0,1,0))</f>
        <v/>
      </c>
      <c r="BB244" s="5" t="str">
        <f aca="false">IF($AP244="","",IF((($AP244="Engineering and Technology")+($AP244="Science and Mathematics")+($AP244="Computer Science, IT and Allied Fields")+($AP244="Life Sciences /Medicine and Healthcare")+($AP244="Paramedical")+($AP244="Architecture")+($AP244="Environmental Service")+($AP244="Agriculture, Food Industry and Forestry"))&gt;0,"Science",IF((($AP244="Banking and Finance")+($AP244="Management and Administration")+($AP244="Marketing")+($AP244="Sales")+($AP244="Entrepreneurship")+($AP244="Hospitality and Tourism"))&gt;0,"Commerce",IF((($AP244="Social Sciences and Humanities")+($AP244="Law Studies")+($AP244="Education and Training")+($AP244="Art, Design")+($AP244="Entertainment and Mass Media")+($AP244="Community and Social Service")+($AP244="Personal Care and Services")+($AP244="Government and Public Administration")+($AP244="Defence/ Protective Service")+($AP244="Sports"))&gt;0,"Arts / Humanities",""))))</f>
        <v/>
      </c>
      <c r="BC244" s="5" t="str">
        <f aca="false">IF($AL244="","",IF((($AL244="Engineering and Technology")+($AL244="Science and Mathematics")+($AL244="Computer Science, IT and Allied Fields")+($AL244="Life Sciences /Medicine and Healthcare")+($AL244="Paramedical")+($AL244="Architecture")+($AL244="Environmental Service")+($AL244="Agriculture, Food Industry and Forestry"))&gt;0,"Science",IF((($AL244="Banking and Finance")+($AL244="Management and Administration")+($AL244="Marketing")+($AL244="Sales")+($AL244="Entrepreneurship")+($AL244="Hospitality and Tourism"))&gt;0,"Commerce",IF((($AL244="Social Sciences and Humanities")+($AL244="Law Studies")+($AL244="Education and Training")+($AL244="Art, Design")+($AL244="Entertainment and Mass Media")+($AL244="Community and Social Service")+($AL244="Personal Care and Services")+($AL244="Government and Public Administration")+($AL244="Defence/ Protective Service")+($AL244="Sports"))&gt;0,"Arts / Humanities",""))))</f>
        <v/>
      </c>
      <c r="BD244" s="5" t="str">
        <f aca="false">IF($B244="","",--(F244&gt;=10)+--(G244&gt;=10)+--(H244&gt;=10)+--(I244&gt;=10)+--(J244&gt;=10)+--(K244&gt;=10)+--(L244&gt;=10)+--(M244&gt;=10)+--(N244&gt;=10)+--(O244&gt;=10))</f>
        <v/>
      </c>
      <c r="BE244" s="5" t="str">
        <f aca="false">IF($B244="","",--(AND(F244&lt;&gt;"",F244&lt;=8))+--(AND(G244&lt;&gt;"",G244&lt;=8))+--(AND(H244&lt;&gt;"",H244&lt;=8))+--(AND(I244&lt;&gt;"",I244&lt;=8))+--(AND(J244&lt;&gt;"",J244&lt;=8))+--(AND(K244&lt;&gt;"",K244&lt;=8))+--(AND(L244&lt;&gt;"",L244&lt;=8))+--(AND(M244&lt;&gt;"",M244&lt;=8))+--(AND(N244&lt;&gt;"",N244&lt;=8))+--(AND(O244&lt;&gt;"",O244&lt;=8)))</f>
        <v/>
      </c>
    </row>
    <row r="245" customFormat="false" ht="15" hidden="false" customHeight="false" outlineLevel="0" collapsed="false">
      <c r="AZ245" s="5" t="str">
        <f aca="false">IF($B245="","",SUMPRODUCT(($AL245:$AO245&lt;&gt;"")*(COUNTIF($AP245:$AX245,$AL245:$AO245)&gt;0)))</f>
        <v/>
      </c>
      <c r="BA245" s="5" t="str">
        <f aca="false">IF($B245="","",IF(AZ245&gt;0,1,0))</f>
        <v/>
      </c>
      <c r="BB245" s="5" t="str">
        <f aca="false">IF($AP245="","",IF((($AP245="Engineering and Technology")+($AP245="Science and Mathematics")+($AP245="Computer Science, IT and Allied Fields")+($AP245="Life Sciences /Medicine and Healthcare")+($AP245="Paramedical")+($AP245="Architecture")+($AP245="Environmental Service")+($AP245="Agriculture, Food Industry and Forestry"))&gt;0,"Science",IF((($AP245="Banking and Finance")+($AP245="Management and Administration")+($AP245="Marketing")+($AP245="Sales")+($AP245="Entrepreneurship")+($AP245="Hospitality and Tourism"))&gt;0,"Commerce",IF((($AP245="Social Sciences and Humanities")+($AP245="Law Studies")+($AP245="Education and Training")+($AP245="Art, Design")+($AP245="Entertainment and Mass Media")+($AP245="Community and Social Service")+($AP245="Personal Care and Services")+($AP245="Government and Public Administration")+($AP245="Defence/ Protective Service")+($AP245="Sports"))&gt;0,"Arts / Humanities",""))))</f>
        <v/>
      </c>
      <c r="BC245" s="5" t="str">
        <f aca="false">IF($AL245="","",IF((($AL245="Engineering and Technology")+($AL245="Science and Mathematics")+($AL245="Computer Science, IT and Allied Fields")+($AL245="Life Sciences /Medicine and Healthcare")+($AL245="Paramedical")+($AL245="Architecture")+($AL245="Environmental Service")+($AL245="Agriculture, Food Industry and Forestry"))&gt;0,"Science",IF((($AL245="Banking and Finance")+($AL245="Management and Administration")+($AL245="Marketing")+($AL245="Sales")+($AL245="Entrepreneurship")+($AL245="Hospitality and Tourism"))&gt;0,"Commerce",IF((($AL245="Social Sciences and Humanities")+($AL245="Law Studies")+($AL245="Education and Training")+($AL245="Art, Design")+($AL245="Entertainment and Mass Media")+($AL245="Community and Social Service")+($AL245="Personal Care and Services")+($AL245="Government and Public Administration")+($AL245="Defence/ Protective Service")+($AL245="Sports"))&gt;0,"Arts / Humanities",""))))</f>
        <v/>
      </c>
      <c r="BD245" s="5" t="str">
        <f aca="false">IF($B245="","",--(F245&gt;=10)+--(G245&gt;=10)+--(H245&gt;=10)+--(I245&gt;=10)+--(J245&gt;=10)+--(K245&gt;=10)+--(L245&gt;=10)+--(M245&gt;=10)+--(N245&gt;=10)+--(O245&gt;=10))</f>
        <v/>
      </c>
      <c r="BE245" s="5" t="str">
        <f aca="false">IF($B245="","",--(AND(F245&lt;&gt;"",F245&lt;=8))+--(AND(G245&lt;&gt;"",G245&lt;=8))+--(AND(H245&lt;&gt;"",H245&lt;=8))+--(AND(I245&lt;&gt;"",I245&lt;=8))+--(AND(J245&lt;&gt;"",J245&lt;=8))+--(AND(K245&lt;&gt;"",K245&lt;=8))+--(AND(L245&lt;&gt;"",L245&lt;=8))+--(AND(M245&lt;&gt;"",M245&lt;=8))+--(AND(N245&lt;&gt;"",N245&lt;=8))+--(AND(O245&lt;&gt;"",O245&lt;=8)))</f>
        <v/>
      </c>
    </row>
    <row r="246" customFormat="false" ht="15" hidden="false" customHeight="false" outlineLevel="0" collapsed="false">
      <c r="AZ246" s="5" t="str">
        <f aca="false">IF($B246="","",SUMPRODUCT(($AL246:$AO246&lt;&gt;"")*(COUNTIF($AP246:$AX246,$AL246:$AO246)&gt;0)))</f>
        <v/>
      </c>
      <c r="BA246" s="5" t="str">
        <f aca="false">IF($B246="","",IF(AZ246&gt;0,1,0))</f>
        <v/>
      </c>
      <c r="BB246" s="5" t="str">
        <f aca="false">IF($AP246="","",IF((($AP246="Engineering and Technology")+($AP246="Science and Mathematics")+($AP246="Computer Science, IT and Allied Fields")+($AP246="Life Sciences /Medicine and Healthcare")+($AP246="Paramedical")+($AP246="Architecture")+($AP246="Environmental Service")+($AP246="Agriculture, Food Industry and Forestry"))&gt;0,"Science",IF((($AP246="Banking and Finance")+($AP246="Management and Administration")+($AP246="Marketing")+($AP246="Sales")+($AP246="Entrepreneurship")+($AP246="Hospitality and Tourism"))&gt;0,"Commerce",IF((($AP246="Social Sciences and Humanities")+($AP246="Law Studies")+($AP246="Education and Training")+($AP246="Art, Design")+($AP246="Entertainment and Mass Media")+($AP246="Community and Social Service")+($AP246="Personal Care and Services")+($AP246="Government and Public Administration")+($AP246="Defence/ Protective Service")+($AP246="Sports"))&gt;0,"Arts / Humanities",""))))</f>
        <v/>
      </c>
      <c r="BC246" s="5" t="str">
        <f aca="false">IF($AL246="","",IF((($AL246="Engineering and Technology")+($AL246="Science and Mathematics")+($AL246="Computer Science, IT and Allied Fields")+($AL246="Life Sciences /Medicine and Healthcare")+($AL246="Paramedical")+($AL246="Architecture")+($AL246="Environmental Service")+($AL246="Agriculture, Food Industry and Forestry"))&gt;0,"Science",IF((($AL246="Banking and Finance")+($AL246="Management and Administration")+($AL246="Marketing")+($AL246="Sales")+($AL246="Entrepreneurship")+($AL246="Hospitality and Tourism"))&gt;0,"Commerce",IF((($AL246="Social Sciences and Humanities")+($AL246="Law Studies")+($AL246="Education and Training")+($AL246="Art, Design")+($AL246="Entertainment and Mass Media")+($AL246="Community and Social Service")+($AL246="Personal Care and Services")+($AL246="Government and Public Administration")+($AL246="Defence/ Protective Service")+($AL246="Sports"))&gt;0,"Arts / Humanities",""))))</f>
        <v/>
      </c>
      <c r="BD246" s="5" t="str">
        <f aca="false">IF($B246="","",--(F246&gt;=10)+--(G246&gt;=10)+--(H246&gt;=10)+--(I246&gt;=10)+--(J246&gt;=10)+--(K246&gt;=10)+--(L246&gt;=10)+--(M246&gt;=10)+--(N246&gt;=10)+--(O246&gt;=10))</f>
        <v/>
      </c>
      <c r="BE246" s="5" t="str">
        <f aca="false">IF($B246="","",--(AND(F246&lt;&gt;"",F246&lt;=8))+--(AND(G246&lt;&gt;"",G246&lt;=8))+--(AND(H246&lt;&gt;"",H246&lt;=8))+--(AND(I246&lt;&gt;"",I246&lt;=8))+--(AND(J246&lt;&gt;"",J246&lt;=8))+--(AND(K246&lt;&gt;"",K246&lt;=8))+--(AND(L246&lt;&gt;"",L246&lt;=8))+--(AND(M246&lt;&gt;"",M246&lt;=8))+--(AND(N246&lt;&gt;"",N246&lt;=8))+--(AND(O246&lt;&gt;"",O246&lt;=8)))</f>
        <v/>
      </c>
    </row>
    <row r="247" customFormat="false" ht="15" hidden="false" customHeight="false" outlineLevel="0" collapsed="false">
      <c r="AZ247" s="5" t="str">
        <f aca="false">IF($B247="","",SUMPRODUCT(($AL247:$AO247&lt;&gt;"")*(COUNTIF($AP247:$AX247,$AL247:$AO247)&gt;0)))</f>
        <v/>
      </c>
      <c r="BA247" s="5" t="str">
        <f aca="false">IF($B247="","",IF(AZ247&gt;0,1,0))</f>
        <v/>
      </c>
      <c r="BB247" s="5" t="str">
        <f aca="false">IF($AP247="","",IF((($AP247="Engineering and Technology")+($AP247="Science and Mathematics")+($AP247="Computer Science, IT and Allied Fields")+($AP247="Life Sciences /Medicine and Healthcare")+($AP247="Paramedical")+($AP247="Architecture")+($AP247="Environmental Service")+($AP247="Agriculture, Food Industry and Forestry"))&gt;0,"Science",IF((($AP247="Banking and Finance")+($AP247="Management and Administration")+($AP247="Marketing")+($AP247="Sales")+($AP247="Entrepreneurship")+($AP247="Hospitality and Tourism"))&gt;0,"Commerce",IF((($AP247="Social Sciences and Humanities")+($AP247="Law Studies")+($AP247="Education and Training")+($AP247="Art, Design")+($AP247="Entertainment and Mass Media")+($AP247="Community and Social Service")+($AP247="Personal Care and Services")+($AP247="Government and Public Administration")+($AP247="Defence/ Protective Service")+($AP247="Sports"))&gt;0,"Arts / Humanities",""))))</f>
        <v/>
      </c>
      <c r="BC247" s="5" t="str">
        <f aca="false">IF($AL247="","",IF((($AL247="Engineering and Technology")+($AL247="Science and Mathematics")+($AL247="Computer Science, IT and Allied Fields")+($AL247="Life Sciences /Medicine and Healthcare")+($AL247="Paramedical")+($AL247="Architecture")+($AL247="Environmental Service")+($AL247="Agriculture, Food Industry and Forestry"))&gt;0,"Science",IF((($AL247="Banking and Finance")+($AL247="Management and Administration")+($AL247="Marketing")+($AL247="Sales")+($AL247="Entrepreneurship")+($AL247="Hospitality and Tourism"))&gt;0,"Commerce",IF((($AL247="Social Sciences and Humanities")+($AL247="Law Studies")+($AL247="Education and Training")+($AL247="Art, Design")+($AL247="Entertainment and Mass Media")+($AL247="Community and Social Service")+($AL247="Personal Care and Services")+($AL247="Government and Public Administration")+($AL247="Defence/ Protective Service")+($AL247="Sports"))&gt;0,"Arts / Humanities",""))))</f>
        <v/>
      </c>
      <c r="BD247" s="5" t="str">
        <f aca="false">IF($B247="","",--(F247&gt;=10)+--(G247&gt;=10)+--(H247&gt;=10)+--(I247&gt;=10)+--(J247&gt;=10)+--(K247&gt;=10)+--(L247&gt;=10)+--(M247&gt;=10)+--(N247&gt;=10)+--(O247&gt;=10))</f>
        <v/>
      </c>
      <c r="BE247" s="5" t="str">
        <f aca="false">IF($B247="","",--(AND(F247&lt;&gt;"",F247&lt;=8))+--(AND(G247&lt;&gt;"",G247&lt;=8))+--(AND(H247&lt;&gt;"",H247&lt;=8))+--(AND(I247&lt;&gt;"",I247&lt;=8))+--(AND(J247&lt;&gt;"",J247&lt;=8))+--(AND(K247&lt;&gt;"",K247&lt;=8))+--(AND(L247&lt;&gt;"",L247&lt;=8))+--(AND(M247&lt;&gt;"",M247&lt;=8))+--(AND(N247&lt;&gt;"",N247&lt;=8))+--(AND(O247&lt;&gt;"",O247&lt;=8)))</f>
        <v/>
      </c>
    </row>
    <row r="248" customFormat="false" ht="15" hidden="false" customHeight="false" outlineLevel="0" collapsed="false">
      <c r="AZ248" s="5" t="str">
        <f aca="false">IF($B248="","",SUMPRODUCT(($AL248:$AO248&lt;&gt;"")*(COUNTIF($AP248:$AX248,$AL248:$AO248)&gt;0)))</f>
        <v/>
      </c>
      <c r="BA248" s="5" t="str">
        <f aca="false">IF($B248="","",IF(AZ248&gt;0,1,0))</f>
        <v/>
      </c>
      <c r="BB248" s="5" t="str">
        <f aca="false">IF($AP248="","",IF((($AP248="Engineering and Technology")+($AP248="Science and Mathematics")+($AP248="Computer Science, IT and Allied Fields")+($AP248="Life Sciences /Medicine and Healthcare")+($AP248="Paramedical")+($AP248="Architecture")+($AP248="Environmental Service")+($AP248="Agriculture, Food Industry and Forestry"))&gt;0,"Science",IF((($AP248="Banking and Finance")+($AP248="Management and Administration")+($AP248="Marketing")+($AP248="Sales")+($AP248="Entrepreneurship")+($AP248="Hospitality and Tourism"))&gt;0,"Commerce",IF((($AP248="Social Sciences and Humanities")+($AP248="Law Studies")+($AP248="Education and Training")+($AP248="Art, Design")+($AP248="Entertainment and Mass Media")+($AP248="Community and Social Service")+($AP248="Personal Care and Services")+($AP248="Government and Public Administration")+($AP248="Defence/ Protective Service")+($AP248="Sports"))&gt;0,"Arts / Humanities",""))))</f>
        <v/>
      </c>
      <c r="BC248" s="5" t="str">
        <f aca="false">IF($AL248="","",IF((($AL248="Engineering and Technology")+($AL248="Science and Mathematics")+($AL248="Computer Science, IT and Allied Fields")+($AL248="Life Sciences /Medicine and Healthcare")+($AL248="Paramedical")+($AL248="Architecture")+($AL248="Environmental Service")+($AL248="Agriculture, Food Industry and Forestry"))&gt;0,"Science",IF((($AL248="Banking and Finance")+($AL248="Management and Administration")+($AL248="Marketing")+($AL248="Sales")+($AL248="Entrepreneurship")+($AL248="Hospitality and Tourism"))&gt;0,"Commerce",IF((($AL248="Social Sciences and Humanities")+($AL248="Law Studies")+($AL248="Education and Training")+($AL248="Art, Design")+($AL248="Entertainment and Mass Media")+($AL248="Community and Social Service")+($AL248="Personal Care and Services")+($AL248="Government and Public Administration")+($AL248="Defence/ Protective Service")+($AL248="Sports"))&gt;0,"Arts / Humanities",""))))</f>
        <v/>
      </c>
      <c r="BD248" s="5" t="str">
        <f aca="false">IF($B248="","",--(F248&gt;=10)+--(G248&gt;=10)+--(H248&gt;=10)+--(I248&gt;=10)+--(J248&gt;=10)+--(K248&gt;=10)+--(L248&gt;=10)+--(M248&gt;=10)+--(N248&gt;=10)+--(O248&gt;=10))</f>
        <v/>
      </c>
      <c r="BE248" s="5" t="str">
        <f aca="false">IF($B248="","",--(AND(F248&lt;&gt;"",F248&lt;=8))+--(AND(G248&lt;&gt;"",G248&lt;=8))+--(AND(H248&lt;&gt;"",H248&lt;=8))+--(AND(I248&lt;&gt;"",I248&lt;=8))+--(AND(J248&lt;&gt;"",J248&lt;=8))+--(AND(K248&lt;&gt;"",K248&lt;=8))+--(AND(L248&lt;&gt;"",L248&lt;=8))+--(AND(M248&lt;&gt;"",M248&lt;=8))+--(AND(N248&lt;&gt;"",N248&lt;=8))+--(AND(O248&lt;&gt;"",O248&lt;=8)))</f>
        <v/>
      </c>
    </row>
    <row r="249" customFormat="false" ht="15" hidden="false" customHeight="false" outlineLevel="0" collapsed="false">
      <c r="AZ249" s="5" t="str">
        <f aca="false">IF($B249="","",SUMPRODUCT(($AL249:$AO249&lt;&gt;"")*(COUNTIF($AP249:$AX249,$AL249:$AO249)&gt;0)))</f>
        <v/>
      </c>
      <c r="BA249" s="5" t="str">
        <f aca="false">IF($B249="","",IF(AZ249&gt;0,1,0))</f>
        <v/>
      </c>
      <c r="BB249" s="5" t="str">
        <f aca="false">IF($AP249="","",IF((($AP249="Engineering and Technology")+($AP249="Science and Mathematics")+($AP249="Computer Science, IT and Allied Fields")+($AP249="Life Sciences /Medicine and Healthcare")+($AP249="Paramedical")+($AP249="Architecture")+($AP249="Environmental Service")+($AP249="Agriculture, Food Industry and Forestry"))&gt;0,"Science",IF((($AP249="Banking and Finance")+($AP249="Management and Administration")+($AP249="Marketing")+($AP249="Sales")+($AP249="Entrepreneurship")+($AP249="Hospitality and Tourism"))&gt;0,"Commerce",IF((($AP249="Social Sciences and Humanities")+($AP249="Law Studies")+($AP249="Education and Training")+($AP249="Art, Design")+($AP249="Entertainment and Mass Media")+($AP249="Community and Social Service")+($AP249="Personal Care and Services")+($AP249="Government and Public Administration")+($AP249="Defence/ Protective Service")+($AP249="Sports"))&gt;0,"Arts / Humanities",""))))</f>
        <v/>
      </c>
      <c r="BC249" s="5" t="str">
        <f aca="false">IF($AL249="","",IF((($AL249="Engineering and Technology")+($AL249="Science and Mathematics")+($AL249="Computer Science, IT and Allied Fields")+($AL249="Life Sciences /Medicine and Healthcare")+($AL249="Paramedical")+($AL249="Architecture")+($AL249="Environmental Service")+($AL249="Agriculture, Food Industry and Forestry"))&gt;0,"Science",IF((($AL249="Banking and Finance")+($AL249="Management and Administration")+($AL249="Marketing")+($AL249="Sales")+($AL249="Entrepreneurship")+($AL249="Hospitality and Tourism"))&gt;0,"Commerce",IF((($AL249="Social Sciences and Humanities")+($AL249="Law Studies")+($AL249="Education and Training")+($AL249="Art, Design")+($AL249="Entertainment and Mass Media")+($AL249="Community and Social Service")+($AL249="Personal Care and Services")+($AL249="Government and Public Administration")+($AL249="Defence/ Protective Service")+($AL249="Sports"))&gt;0,"Arts / Humanities",""))))</f>
        <v/>
      </c>
      <c r="BD249" s="5" t="str">
        <f aca="false">IF($B249="","",--(F249&gt;=10)+--(G249&gt;=10)+--(H249&gt;=10)+--(I249&gt;=10)+--(J249&gt;=10)+--(K249&gt;=10)+--(L249&gt;=10)+--(M249&gt;=10)+--(N249&gt;=10)+--(O249&gt;=10))</f>
        <v/>
      </c>
      <c r="BE249" s="5" t="str">
        <f aca="false">IF($B249="","",--(AND(F249&lt;&gt;"",F249&lt;=8))+--(AND(G249&lt;&gt;"",G249&lt;=8))+--(AND(H249&lt;&gt;"",H249&lt;=8))+--(AND(I249&lt;&gt;"",I249&lt;=8))+--(AND(J249&lt;&gt;"",J249&lt;=8))+--(AND(K249&lt;&gt;"",K249&lt;=8))+--(AND(L249&lt;&gt;"",L249&lt;=8))+--(AND(M249&lt;&gt;"",M249&lt;=8))+--(AND(N249&lt;&gt;"",N249&lt;=8))+--(AND(O249&lt;&gt;"",O249&lt;=8)))</f>
        <v/>
      </c>
    </row>
    <row r="250" customFormat="false" ht="15" hidden="false" customHeight="false" outlineLevel="0" collapsed="false">
      <c r="AZ250" s="5" t="str">
        <f aca="false">IF($B250="","",SUMPRODUCT(($AL250:$AO250&lt;&gt;"")*(COUNTIF($AP250:$AX250,$AL250:$AO250)&gt;0)))</f>
        <v/>
      </c>
      <c r="BA250" s="5" t="str">
        <f aca="false">IF($B250="","",IF(AZ250&gt;0,1,0))</f>
        <v/>
      </c>
      <c r="BB250" s="5" t="str">
        <f aca="false">IF($AP250="","",IF((($AP250="Engineering and Technology")+($AP250="Science and Mathematics")+($AP250="Computer Science, IT and Allied Fields")+($AP250="Life Sciences /Medicine and Healthcare")+($AP250="Paramedical")+($AP250="Architecture")+($AP250="Environmental Service")+($AP250="Agriculture, Food Industry and Forestry"))&gt;0,"Science",IF((($AP250="Banking and Finance")+($AP250="Management and Administration")+($AP250="Marketing")+($AP250="Sales")+($AP250="Entrepreneurship")+($AP250="Hospitality and Tourism"))&gt;0,"Commerce",IF((($AP250="Social Sciences and Humanities")+($AP250="Law Studies")+($AP250="Education and Training")+($AP250="Art, Design")+($AP250="Entertainment and Mass Media")+($AP250="Community and Social Service")+($AP250="Personal Care and Services")+($AP250="Government and Public Administration")+($AP250="Defence/ Protective Service")+($AP250="Sports"))&gt;0,"Arts / Humanities",""))))</f>
        <v/>
      </c>
      <c r="BC250" s="5" t="str">
        <f aca="false">IF($AL250="","",IF((($AL250="Engineering and Technology")+($AL250="Science and Mathematics")+($AL250="Computer Science, IT and Allied Fields")+($AL250="Life Sciences /Medicine and Healthcare")+($AL250="Paramedical")+($AL250="Architecture")+($AL250="Environmental Service")+($AL250="Agriculture, Food Industry and Forestry"))&gt;0,"Science",IF((($AL250="Banking and Finance")+($AL250="Management and Administration")+($AL250="Marketing")+($AL250="Sales")+($AL250="Entrepreneurship")+($AL250="Hospitality and Tourism"))&gt;0,"Commerce",IF((($AL250="Social Sciences and Humanities")+($AL250="Law Studies")+($AL250="Education and Training")+($AL250="Art, Design")+($AL250="Entertainment and Mass Media")+($AL250="Community and Social Service")+($AL250="Personal Care and Services")+($AL250="Government and Public Administration")+($AL250="Defence/ Protective Service")+($AL250="Sports"))&gt;0,"Arts / Humanities",""))))</f>
        <v/>
      </c>
      <c r="BD250" s="5" t="str">
        <f aca="false">IF($B250="","",--(F250&gt;=10)+--(G250&gt;=10)+--(H250&gt;=10)+--(I250&gt;=10)+--(J250&gt;=10)+--(K250&gt;=10)+--(L250&gt;=10)+--(M250&gt;=10)+--(N250&gt;=10)+--(O250&gt;=10))</f>
        <v/>
      </c>
      <c r="BE250" s="5" t="str">
        <f aca="false">IF($B250="","",--(AND(F250&lt;&gt;"",F250&lt;=8))+--(AND(G250&lt;&gt;"",G250&lt;=8))+--(AND(H250&lt;&gt;"",H250&lt;=8))+--(AND(I250&lt;&gt;"",I250&lt;=8))+--(AND(J250&lt;&gt;"",J250&lt;=8))+--(AND(K250&lt;&gt;"",K250&lt;=8))+--(AND(L250&lt;&gt;"",L250&lt;=8))+--(AND(M250&lt;&gt;"",M250&lt;=8))+--(AND(N250&lt;&gt;"",N250&lt;=8))+--(AND(O250&lt;&gt;"",O250&lt;=8)))</f>
        <v/>
      </c>
    </row>
    <row r="251" customFormat="false" ht="15" hidden="false" customHeight="false" outlineLevel="0" collapsed="false">
      <c r="AZ251" s="5" t="str">
        <f aca="false">IF($B251="","",SUMPRODUCT(($AL251:$AO251&lt;&gt;"")*(COUNTIF($AP251:$AX251,$AL251:$AO251)&gt;0)))</f>
        <v/>
      </c>
      <c r="BA251" s="5" t="str">
        <f aca="false">IF($B251="","",IF(AZ251&gt;0,1,0))</f>
        <v/>
      </c>
      <c r="BB251" s="5" t="str">
        <f aca="false">IF($AP251="","",IF((($AP251="Engineering and Technology")+($AP251="Science and Mathematics")+($AP251="Computer Science, IT and Allied Fields")+($AP251="Life Sciences /Medicine and Healthcare")+($AP251="Paramedical")+($AP251="Architecture")+($AP251="Environmental Service")+($AP251="Agriculture, Food Industry and Forestry"))&gt;0,"Science",IF((($AP251="Banking and Finance")+($AP251="Management and Administration")+($AP251="Marketing")+($AP251="Sales")+($AP251="Entrepreneurship")+($AP251="Hospitality and Tourism"))&gt;0,"Commerce",IF((($AP251="Social Sciences and Humanities")+($AP251="Law Studies")+($AP251="Education and Training")+($AP251="Art, Design")+($AP251="Entertainment and Mass Media")+($AP251="Community and Social Service")+($AP251="Personal Care and Services")+($AP251="Government and Public Administration")+($AP251="Defence/ Protective Service")+($AP251="Sports"))&gt;0,"Arts / Humanities",""))))</f>
        <v/>
      </c>
      <c r="BC251" s="5" t="str">
        <f aca="false">IF($AL251="","",IF((($AL251="Engineering and Technology")+($AL251="Science and Mathematics")+($AL251="Computer Science, IT and Allied Fields")+($AL251="Life Sciences /Medicine and Healthcare")+($AL251="Paramedical")+($AL251="Architecture")+($AL251="Environmental Service")+($AL251="Agriculture, Food Industry and Forestry"))&gt;0,"Science",IF((($AL251="Banking and Finance")+($AL251="Management and Administration")+($AL251="Marketing")+($AL251="Sales")+($AL251="Entrepreneurship")+($AL251="Hospitality and Tourism"))&gt;0,"Commerce",IF((($AL251="Social Sciences and Humanities")+($AL251="Law Studies")+($AL251="Education and Training")+($AL251="Art, Design")+($AL251="Entertainment and Mass Media")+($AL251="Community and Social Service")+($AL251="Personal Care and Services")+($AL251="Government and Public Administration")+($AL251="Defence/ Protective Service")+($AL251="Sports"))&gt;0,"Arts / Humanities",""))))</f>
        <v/>
      </c>
      <c r="BD251" s="5" t="str">
        <f aca="false">IF($B251="","",--(F251&gt;=10)+--(G251&gt;=10)+--(H251&gt;=10)+--(I251&gt;=10)+--(J251&gt;=10)+--(K251&gt;=10)+--(L251&gt;=10)+--(M251&gt;=10)+--(N251&gt;=10)+--(O251&gt;=10))</f>
        <v/>
      </c>
      <c r="BE251" s="5" t="str">
        <f aca="false">IF($B251="","",--(AND(F251&lt;&gt;"",F251&lt;=8))+--(AND(G251&lt;&gt;"",G251&lt;=8))+--(AND(H251&lt;&gt;"",H251&lt;=8))+--(AND(I251&lt;&gt;"",I251&lt;=8))+--(AND(J251&lt;&gt;"",J251&lt;=8))+--(AND(K251&lt;&gt;"",K251&lt;=8))+--(AND(L251&lt;&gt;"",L251&lt;=8))+--(AND(M251&lt;&gt;"",M251&lt;=8))+--(AND(N251&lt;&gt;"",N251&lt;=8))+--(AND(O251&lt;&gt;"",O251&lt;=8)))</f>
        <v/>
      </c>
    </row>
    <row r="252" customFormat="false" ht="15" hidden="false" customHeight="false" outlineLevel="0" collapsed="false">
      <c r="AZ252" s="5" t="str">
        <f aca="false">IF($B252="","",SUMPRODUCT(($AL252:$AO252&lt;&gt;"")*(COUNTIF($AP252:$AX252,$AL252:$AO252)&gt;0)))</f>
        <v/>
      </c>
      <c r="BA252" s="5" t="str">
        <f aca="false">IF($B252="","",IF(AZ252&gt;0,1,0))</f>
        <v/>
      </c>
      <c r="BB252" s="5" t="str">
        <f aca="false">IF($AP252="","",IF((($AP252="Engineering and Technology")+($AP252="Science and Mathematics")+($AP252="Computer Science, IT and Allied Fields")+($AP252="Life Sciences /Medicine and Healthcare")+($AP252="Paramedical")+($AP252="Architecture")+($AP252="Environmental Service")+($AP252="Agriculture, Food Industry and Forestry"))&gt;0,"Science",IF((($AP252="Banking and Finance")+($AP252="Management and Administration")+($AP252="Marketing")+($AP252="Sales")+($AP252="Entrepreneurship")+($AP252="Hospitality and Tourism"))&gt;0,"Commerce",IF((($AP252="Social Sciences and Humanities")+($AP252="Law Studies")+($AP252="Education and Training")+($AP252="Art, Design")+($AP252="Entertainment and Mass Media")+($AP252="Community and Social Service")+($AP252="Personal Care and Services")+($AP252="Government and Public Administration")+($AP252="Defence/ Protective Service")+($AP252="Sports"))&gt;0,"Arts / Humanities",""))))</f>
        <v/>
      </c>
      <c r="BC252" s="5" t="str">
        <f aca="false">IF($AL252="","",IF((($AL252="Engineering and Technology")+($AL252="Science and Mathematics")+($AL252="Computer Science, IT and Allied Fields")+($AL252="Life Sciences /Medicine and Healthcare")+($AL252="Paramedical")+($AL252="Architecture")+($AL252="Environmental Service")+($AL252="Agriculture, Food Industry and Forestry"))&gt;0,"Science",IF((($AL252="Banking and Finance")+($AL252="Management and Administration")+($AL252="Marketing")+($AL252="Sales")+($AL252="Entrepreneurship")+($AL252="Hospitality and Tourism"))&gt;0,"Commerce",IF((($AL252="Social Sciences and Humanities")+($AL252="Law Studies")+($AL252="Education and Training")+($AL252="Art, Design")+($AL252="Entertainment and Mass Media")+($AL252="Community and Social Service")+($AL252="Personal Care and Services")+($AL252="Government and Public Administration")+($AL252="Defence/ Protective Service")+($AL252="Sports"))&gt;0,"Arts / Humanities",""))))</f>
        <v/>
      </c>
      <c r="BD252" s="5" t="str">
        <f aca="false">IF($B252="","",--(F252&gt;=10)+--(G252&gt;=10)+--(H252&gt;=10)+--(I252&gt;=10)+--(J252&gt;=10)+--(K252&gt;=10)+--(L252&gt;=10)+--(M252&gt;=10)+--(N252&gt;=10)+--(O252&gt;=10))</f>
        <v/>
      </c>
      <c r="BE252" s="5" t="str">
        <f aca="false">IF($B252="","",--(AND(F252&lt;&gt;"",F252&lt;=8))+--(AND(G252&lt;&gt;"",G252&lt;=8))+--(AND(H252&lt;&gt;"",H252&lt;=8))+--(AND(I252&lt;&gt;"",I252&lt;=8))+--(AND(J252&lt;&gt;"",J252&lt;=8))+--(AND(K252&lt;&gt;"",K252&lt;=8))+--(AND(L252&lt;&gt;"",L252&lt;=8))+--(AND(M252&lt;&gt;"",M252&lt;=8))+--(AND(N252&lt;&gt;"",N252&lt;=8))+--(AND(O252&lt;&gt;"",O252&lt;=8)))</f>
        <v/>
      </c>
    </row>
    <row r="253" customFormat="false" ht="15" hidden="false" customHeight="false" outlineLevel="0" collapsed="false">
      <c r="AZ253" s="5" t="str">
        <f aca="false">IF($B253="","",SUMPRODUCT(($AL253:$AO253&lt;&gt;"")*(COUNTIF($AP253:$AX253,$AL253:$AO253)&gt;0)))</f>
        <v/>
      </c>
      <c r="BA253" s="5" t="str">
        <f aca="false">IF($B253="","",IF(AZ253&gt;0,1,0))</f>
        <v/>
      </c>
      <c r="BB253" s="5" t="str">
        <f aca="false">IF($AP253="","",IF((($AP253="Engineering and Technology")+($AP253="Science and Mathematics")+($AP253="Computer Science, IT and Allied Fields")+($AP253="Life Sciences /Medicine and Healthcare")+($AP253="Paramedical")+($AP253="Architecture")+($AP253="Environmental Service")+($AP253="Agriculture, Food Industry and Forestry"))&gt;0,"Science",IF((($AP253="Banking and Finance")+($AP253="Management and Administration")+($AP253="Marketing")+($AP253="Sales")+($AP253="Entrepreneurship")+($AP253="Hospitality and Tourism"))&gt;0,"Commerce",IF((($AP253="Social Sciences and Humanities")+($AP253="Law Studies")+($AP253="Education and Training")+($AP253="Art, Design")+($AP253="Entertainment and Mass Media")+($AP253="Community and Social Service")+($AP253="Personal Care and Services")+($AP253="Government and Public Administration")+($AP253="Defence/ Protective Service")+($AP253="Sports"))&gt;0,"Arts / Humanities",""))))</f>
        <v/>
      </c>
      <c r="BC253" s="5" t="str">
        <f aca="false">IF($AL253="","",IF((($AL253="Engineering and Technology")+($AL253="Science and Mathematics")+($AL253="Computer Science, IT and Allied Fields")+($AL253="Life Sciences /Medicine and Healthcare")+($AL253="Paramedical")+($AL253="Architecture")+($AL253="Environmental Service")+($AL253="Agriculture, Food Industry and Forestry"))&gt;0,"Science",IF((($AL253="Banking and Finance")+($AL253="Management and Administration")+($AL253="Marketing")+($AL253="Sales")+($AL253="Entrepreneurship")+($AL253="Hospitality and Tourism"))&gt;0,"Commerce",IF((($AL253="Social Sciences and Humanities")+($AL253="Law Studies")+($AL253="Education and Training")+($AL253="Art, Design")+($AL253="Entertainment and Mass Media")+($AL253="Community and Social Service")+($AL253="Personal Care and Services")+($AL253="Government and Public Administration")+($AL253="Defence/ Protective Service")+($AL253="Sports"))&gt;0,"Arts / Humanities",""))))</f>
        <v/>
      </c>
      <c r="BD253" s="5" t="str">
        <f aca="false">IF($B253="","",--(F253&gt;=10)+--(G253&gt;=10)+--(H253&gt;=10)+--(I253&gt;=10)+--(J253&gt;=10)+--(K253&gt;=10)+--(L253&gt;=10)+--(M253&gt;=10)+--(N253&gt;=10)+--(O253&gt;=10))</f>
        <v/>
      </c>
      <c r="BE253" s="5" t="str">
        <f aca="false">IF($B253="","",--(AND(F253&lt;&gt;"",F253&lt;=8))+--(AND(G253&lt;&gt;"",G253&lt;=8))+--(AND(H253&lt;&gt;"",H253&lt;=8))+--(AND(I253&lt;&gt;"",I253&lt;=8))+--(AND(J253&lt;&gt;"",J253&lt;=8))+--(AND(K253&lt;&gt;"",K253&lt;=8))+--(AND(L253&lt;&gt;"",L253&lt;=8))+--(AND(M253&lt;&gt;"",M253&lt;=8))+--(AND(N253&lt;&gt;"",N253&lt;=8))+--(AND(O253&lt;&gt;"",O253&lt;=8)))</f>
        <v/>
      </c>
    </row>
    <row r="254" customFormat="false" ht="15" hidden="false" customHeight="false" outlineLevel="0" collapsed="false">
      <c r="AZ254" s="5" t="str">
        <f aca="false">IF($B254="","",SUMPRODUCT(($AL254:$AO254&lt;&gt;"")*(COUNTIF($AP254:$AX254,$AL254:$AO254)&gt;0)))</f>
        <v/>
      </c>
      <c r="BA254" s="5" t="str">
        <f aca="false">IF($B254="","",IF(AZ254&gt;0,1,0))</f>
        <v/>
      </c>
      <c r="BB254" s="5" t="str">
        <f aca="false">IF($AP254="","",IF((($AP254="Engineering and Technology")+($AP254="Science and Mathematics")+($AP254="Computer Science, IT and Allied Fields")+($AP254="Life Sciences /Medicine and Healthcare")+($AP254="Paramedical")+($AP254="Architecture")+($AP254="Environmental Service")+($AP254="Agriculture, Food Industry and Forestry"))&gt;0,"Science",IF((($AP254="Banking and Finance")+($AP254="Management and Administration")+($AP254="Marketing")+($AP254="Sales")+($AP254="Entrepreneurship")+($AP254="Hospitality and Tourism"))&gt;0,"Commerce",IF((($AP254="Social Sciences and Humanities")+($AP254="Law Studies")+($AP254="Education and Training")+($AP254="Art, Design")+($AP254="Entertainment and Mass Media")+($AP254="Community and Social Service")+($AP254="Personal Care and Services")+($AP254="Government and Public Administration")+($AP254="Defence/ Protective Service")+($AP254="Sports"))&gt;0,"Arts / Humanities",""))))</f>
        <v/>
      </c>
      <c r="BC254" s="5" t="str">
        <f aca="false">IF($AL254="","",IF((($AL254="Engineering and Technology")+($AL254="Science and Mathematics")+($AL254="Computer Science, IT and Allied Fields")+($AL254="Life Sciences /Medicine and Healthcare")+($AL254="Paramedical")+($AL254="Architecture")+($AL254="Environmental Service")+($AL254="Agriculture, Food Industry and Forestry"))&gt;0,"Science",IF((($AL254="Banking and Finance")+($AL254="Management and Administration")+($AL254="Marketing")+($AL254="Sales")+($AL254="Entrepreneurship")+($AL254="Hospitality and Tourism"))&gt;0,"Commerce",IF((($AL254="Social Sciences and Humanities")+($AL254="Law Studies")+($AL254="Education and Training")+($AL254="Art, Design")+($AL254="Entertainment and Mass Media")+($AL254="Community and Social Service")+($AL254="Personal Care and Services")+($AL254="Government and Public Administration")+($AL254="Defence/ Protective Service")+($AL254="Sports"))&gt;0,"Arts / Humanities",""))))</f>
        <v/>
      </c>
      <c r="BD254" s="5" t="str">
        <f aca="false">IF($B254="","",--(F254&gt;=10)+--(G254&gt;=10)+--(H254&gt;=10)+--(I254&gt;=10)+--(J254&gt;=10)+--(K254&gt;=10)+--(L254&gt;=10)+--(M254&gt;=10)+--(N254&gt;=10)+--(O254&gt;=10))</f>
        <v/>
      </c>
      <c r="BE254" s="5" t="str">
        <f aca="false">IF($B254="","",--(AND(F254&lt;&gt;"",F254&lt;=8))+--(AND(G254&lt;&gt;"",G254&lt;=8))+--(AND(H254&lt;&gt;"",H254&lt;=8))+--(AND(I254&lt;&gt;"",I254&lt;=8))+--(AND(J254&lt;&gt;"",J254&lt;=8))+--(AND(K254&lt;&gt;"",K254&lt;=8))+--(AND(L254&lt;&gt;"",L254&lt;=8))+--(AND(M254&lt;&gt;"",M254&lt;=8))+--(AND(N254&lt;&gt;"",N254&lt;=8))+--(AND(O254&lt;&gt;"",O254&lt;=8)))</f>
        <v/>
      </c>
    </row>
    <row r="255" customFormat="false" ht="15" hidden="false" customHeight="false" outlineLevel="0" collapsed="false">
      <c r="AZ255" s="5" t="str">
        <f aca="false">IF($B255="","",SUMPRODUCT(($AL255:$AO255&lt;&gt;"")*(COUNTIF($AP255:$AX255,$AL255:$AO255)&gt;0)))</f>
        <v/>
      </c>
      <c r="BA255" s="5" t="str">
        <f aca="false">IF($B255="","",IF(AZ255&gt;0,1,0))</f>
        <v/>
      </c>
      <c r="BB255" s="5" t="str">
        <f aca="false">IF($AP255="","",IF((($AP255="Engineering and Technology")+($AP255="Science and Mathematics")+($AP255="Computer Science, IT and Allied Fields")+($AP255="Life Sciences /Medicine and Healthcare")+($AP255="Paramedical")+($AP255="Architecture")+($AP255="Environmental Service")+($AP255="Agriculture, Food Industry and Forestry"))&gt;0,"Science",IF((($AP255="Banking and Finance")+($AP255="Management and Administration")+($AP255="Marketing")+($AP255="Sales")+($AP255="Entrepreneurship")+($AP255="Hospitality and Tourism"))&gt;0,"Commerce",IF((($AP255="Social Sciences and Humanities")+($AP255="Law Studies")+($AP255="Education and Training")+($AP255="Art, Design")+($AP255="Entertainment and Mass Media")+($AP255="Community and Social Service")+($AP255="Personal Care and Services")+($AP255="Government and Public Administration")+($AP255="Defence/ Protective Service")+($AP255="Sports"))&gt;0,"Arts / Humanities",""))))</f>
        <v/>
      </c>
      <c r="BC255" s="5" t="str">
        <f aca="false">IF($AL255="","",IF((($AL255="Engineering and Technology")+($AL255="Science and Mathematics")+($AL255="Computer Science, IT and Allied Fields")+($AL255="Life Sciences /Medicine and Healthcare")+($AL255="Paramedical")+($AL255="Architecture")+($AL255="Environmental Service")+($AL255="Agriculture, Food Industry and Forestry"))&gt;0,"Science",IF((($AL255="Banking and Finance")+($AL255="Management and Administration")+($AL255="Marketing")+($AL255="Sales")+($AL255="Entrepreneurship")+($AL255="Hospitality and Tourism"))&gt;0,"Commerce",IF((($AL255="Social Sciences and Humanities")+($AL255="Law Studies")+($AL255="Education and Training")+($AL255="Art, Design")+($AL255="Entertainment and Mass Media")+($AL255="Community and Social Service")+($AL255="Personal Care and Services")+($AL255="Government and Public Administration")+($AL255="Defence/ Protective Service")+($AL255="Sports"))&gt;0,"Arts / Humanities",""))))</f>
        <v/>
      </c>
      <c r="BD255" s="5" t="str">
        <f aca="false">IF($B255="","",--(F255&gt;=10)+--(G255&gt;=10)+--(H255&gt;=10)+--(I255&gt;=10)+--(J255&gt;=10)+--(K255&gt;=10)+--(L255&gt;=10)+--(M255&gt;=10)+--(N255&gt;=10)+--(O255&gt;=10))</f>
        <v/>
      </c>
      <c r="BE255" s="5" t="str">
        <f aca="false">IF($B255="","",--(AND(F255&lt;&gt;"",F255&lt;=8))+--(AND(G255&lt;&gt;"",G255&lt;=8))+--(AND(H255&lt;&gt;"",H255&lt;=8))+--(AND(I255&lt;&gt;"",I255&lt;=8))+--(AND(J255&lt;&gt;"",J255&lt;=8))+--(AND(K255&lt;&gt;"",K255&lt;=8))+--(AND(L255&lt;&gt;"",L255&lt;=8))+--(AND(M255&lt;&gt;"",M255&lt;=8))+--(AND(N255&lt;&gt;"",N255&lt;=8))+--(AND(O255&lt;&gt;"",O255&lt;=8)))</f>
        <v/>
      </c>
    </row>
    <row r="256" customFormat="false" ht="15" hidden="false" customHeight="false" outlineLevel="0" collapsed="false">
      <c r="AZ256" s="5" t="str">
        <f aca="false">IF($B256="","",SUMPRODUCT(($AL256:$AO256&lt;&gt;"")*(COUNTIF($AP256:$AX256,$AL256:$AO256)&gt;0)))</f>
        <v/>
      </c>
      <c r="BA256" s="5" t="str">
        <f aca="false">IF($B256="","",IF(AZ256&gt;0,1,0))</f>
        <v/>
      </c>
      <c r="BB256" s="5" t="str">
        <f aca="false">IF($AP256="","",IF((($AP256="Engineering and Technology")+($AP256="Science and Mathematics")+($AP256="Computer Science, IT and Allied Fields")+($AP256="Life Sciences /Medicine and Healthcare")+($AP256="Paramedical")+($AP256="Architecture")+($AP256="Environmental Service")+($AP256="Agriculture, Food Industry and Forestry"))&gt;0,"Science",IF((($AP256="Banking and Finance")+($AP256="Management and Administration")+($AP256="Marketing")+($AP256="Sales")+($AP256="Entrepreneurship")+($AP256="Hospitality and Tourism"))&gt;0,"Commerce",IF((($AP256="Social Sciences and Humanities")+($AP256="Law Studies")+($AP256="Education and Training")+($AP256="Art, Design")+($AP256="Entertainment and Mass Media")+($AP256="Community and Social Service")+($AP256="Personal Care and Services")+($AP256="Government and Public Administration")+($AP256="Defence/ Protective Service")+($AP256="Sports"))&gt;0,"Arts / Humanities",""))))</f>
        <v/>
      </c>
      <c r="BC256" s="5" t="str">
        <f aca="false">IF($AL256="","",IF((($AL256="Engineering and Technology")+($AL256="Science and Mathematics")+($AL256="Computer Science, IT and Allied Fields")+($AL256="Life Sciences /Medicine and Healthcare")+($AL256="Paramedical")+($AL256="Architecture")+($AL256="Environmental Service")+($AL256="Agriculture, Food Industry and Forestry"))&gt;0,"Science",IF((($AL256="Banking and Finance")+($AL256="Management and Administration")+($AL256="Marketing")+($AL256="Sales")+($AL256="Entrepreneurship")+($AL256="Hospitality and Tourism"))&gt;0,"Commerce",IF((($AL256="Social Sciences and Humanities")+($AL256="Law Studies")+($AL256="Education and Training")+($AL256="Art, Design")+($AL256="Entertainment and Mass Media")+($AL256="Community and Social Service")+($AL256="Personal Care and Services")+($AL256="Government and Public Administration")+($AL256="Defence/ Protective Service")+($AL256="Sports"))&gt;0,"Arts / Humanities",""))))</f>
        <v/>
      </c>
      <c r="BD256" s="5" t="str">
        <f aca="false">IF($B256="","",--(F256&gt;=10)+--(G256&gt;=10)+--(H256&gt;=10)+--(I256&gt;=10)+--(J256&gt;=10)+--(K256&gt;=10)+--(L256&gt;=10)+--(M256&gt;=10)+--(N256&gt;=10)+--(O256&gt;=10))</f>
        <v/>
      </c>
      <c r="BE256" s="5" t="str">
        <f aca="false">IF($B256="","",--(AND(F256&lt;&gt;"",F256&lt;=8))+--(AND(G256&lt;&gt;"",G256&lt;=8))+--(AND(H256&lt;&gt;"",H256&lt;=8))+--(AND(I256&lt;&gt;"",I256&lt;=8))+--(AND(J256&lt;&gt;"",J256&lt;=8))+--(AND(K256&lt;&gt;"",K256&lt;=8))+--(AND(L256&lt;&gt;"",L256&lt;=8))+--(AND(M256&lt;&gt;"",M256&lt;=8))+--(AND(N256&lt;&gt;"",N256&lt;=8))+--(AND(O256&lt;&gt;"",O256&lt;=8)))</f>
        <v/>
      </c>
    </row>
    <row r="257" customFormat="false" ht="15" hidden="false" customHeight="false" outlineLevel="0" collapsed="false">
      <c r="AZ257" s="5" t="str">
        <f aca="false">IF($B257="","",SUMPRODUCT(($AL257:$AO257&lt;&gt;"")*(COUNTIF($AP257:$AX257,$AL257:$AO257)&gt;0)))</f>
        <v/>
      </c>
      <c r="BA257" s="5" t="str">
        <f aca="false">IF($B257="","",IF(AZ257&gt;0,1,0))</f>
        <v/>
      </c>
      <c r="BB257" s="5" t="str">
        <f aca="false">IF($AP257="","",IF((($AP257="Engineering and Technology")+($AP257="Science and Mathematics")+($AP257="Computer Science, IT and Allied Fields")+($AP257="Life Sciences /Medicine and Healthcare")+($AP257="Paramedical")+($AP257="Architecture")+($AP257="Environmental Service")+($AP257="Agriculture, Food Industry and Forestry"))&gt;0,"Science",IF((($AP257="Banking and Finance")+($AP257="Management and Administration")+($AP257="Marketing")+($AP257="Sales")+($AP257="Entrepreneurship")+($AP257="Hospitality and Tourism"))&gt;0,"Commerce",IF((($AP257="Social Sciences and Humanities")+($AP257="Law Studies")+($AP257="Education and Training")+($AP257="Art, Design")+($AP257="Entertainment and Mass Media")+($AP257="Community and Social Service")+($AP257="Personal Care and Services")+($AP257="Government and Public Administration")+($AP257="Defence/ Protective Service")+($AP257="Sports"))&gt;0,"Arts / Humanities",""))))</f>
        <v/>
      </c>
      <c r="BC257" s="5" t="str">
        <f aca="false">IF($AL257="","",IF((($AL257="Engineering and Technology")+($AL257="Science and Mathematics")+($AL257="Computer Science, IT and Allied Fields")+($AL257="Life Sciences /Medicine and Healthcare")+($AL257="Paramedical")+($AL257="Architecture")+($AL257="Environmental Service")+($AL257="Agriculture, Food Industry and Forestry"))&gt;0,"Science",IF((($AL257="Banking and Finance")+($AL257="Management and Administration")+($AL257="Marketing")+($AL257="Sales")+($AL257="Entrepreneurship")+($AL257="Hospitality and Tourism"))&gt;0,"Commerce",IF((($AL257="Social Sciences and Humanities")+($AL257="Law Studies")+($AL257="Education and Training")+($AL257="Art, Design")+($AL257="Entertainment and Mass Media")+($AL257="Community and Social Service")+($AL257="Personal Care and Services")+($AL257="Government and Public Administration")+($AL257="Defence/ Protective Service")+($AL257="Sports"))&gt;0,"Arts / Humanities",""))))</f>
        <v/>
      </c>
      <c r="BD257" s="5" t="str">
        <f aca="false">IF($B257="","",--(F257&gt;=10)+--(G257&gt;=10)+--(H257&gt;=10)+--(I257&gt;=10)+--(J257&gt;=10)+--(K257&gt;=10)+--(L257&gt;=10)+--(M257&gt;=10)+--(N257&gt;=10)+--(O257&gt;=10))</f>
        <v/>
      </c>
      <c r="BE257" s="5" t="str">
        <f aca="false">IF($B257="","",--(AND(F257&lt;&gt;"",F257&lt;=8))+--(AND(G257&lt;&gt;"",G257&lt;=8))+--(AND(H257&lt;&gt;"",H257&lt;=8))+--(AND(I257&lt;&gt;"",I257&lt;=8))+--(AND(J257&lt;&gt;"",J257&lt;=8))+--(AND(K257&lt;&gt;"",K257&lt;=8))+--(AND(L257&lt;&gt;"",L257&lt;=8))+--(AND(M257&lt;&gt;"",M257&lt;=8))+--(AND(N257&lt;&gt;"",N257&lt;=8))+--(AND(O257&lt;&gt;"",O257&lt;=8)))</f>
        <v/>
      </c>
    </row>
    <row r="258" customFormat="false" ht="15" hidden="false" customHeight="false" outlineLevel="0" collapsed="false">
      <c r="AZ258" s="5" t="str">
        <f aca="false">IF($B258="","",SUMPRODUCT(($AL258:$AO258&lt;&gt;"")*(COUNTIF($AP258:$AX258,$AL258:$AO258)&gt;0)))</f>
        <v/>
      </c>
      <c r="BA258" s="5" t="str">
        <f aca="false">IF($B258="","",IF(AZ258&gt;0,1,0))</f>
        <v/>
      </c>
      <c r="BB258" s="5" t="str">
        <f aca="false">IF($AP258="","",IF((($AP258="Engineering and Technology")+($AP258="Science and Mathematics")+($AP258="Computer Science, IT and Allied Fields")+($AP258="Life Sciences /Medicine and Healthcare")+($AP258="Paramedical")+($AP258="Architecture")+($AP258="Environmental Service")+($AP258="Agriculture, Food Industry and Forestry"))&gt;0,"Science",IF((($AP258="Banking and Finance")+($AP258="Management and Administration")+($AP258="Marketing")+($AP258="Sales")+($AP258="Entrepreneurship")+($AP258="Hospitality and Tourism"))&gt;0,"Commerce",IF((($AP258="Social Sciences and Humanities")+($AP258="Law Studies")+($AP258="Education and Training")+($AP258="Art, Design")+($AP258="Entertainment and Mass Media")+($AP258="Community and Social Service")+($AP258="Personal Care and Services")+($AP258="Government and Public Administration")+($AP258="Defence/ Protective Service")+($AP258="Sports"))&gt;0,"Arts / Humanities",""))))</f>
        <v/>
      </c>
      <c r="BC258" s="5" t="str">
        <f aca="false">IF($AL258="","",IF((($AL258="Engineering and Technology")+($AL258="Science and Mathematics")+($AL258="Computer Science, IT and Allied Fields")+($AL258="Life Sciences /Medicine and Healthcare")+($AL258="Paramedical")+($AL258="Architecture")+($AL258="Environmental Service")+($AL258="Agriculture, Food Industry and Forestry"))&gt;0,"Science",IF((($AL258="Banking and Finance")+($AL258="Management and Administration")+($AL258="Marketing")+($AL258="Sales")+($AL258="Entrepreneurship")+($AL258="Hospitality and Tourism"))&gt;0,"Commerce",IF((($AL258="Social Sciences and Humanities")+($AL258="Law Studies")+($AL258="Education and Training")+($AL258="Art, Design")+($AL258="Entertainment and Mass Media")+($AL258="Community and Social Service")+($AL258="Personal Care and Services")+($AL258="Government and Public Administration")+($AL258="Defence/ Protective Service")+($AL258="Sports"))&gt;0,"Arts / Humanities",""))))</f>
        <v/>
      </c>
      <c r="BD258" s="5" t="str">
        <f aca="false">IF($B258="","",--(F258&gt;=10)+--(G258&gt;=10)+--(H258&gt;=10)+--(I258&gt;=10)+--(J258&gt;=10)+--(K258&gt;=10)+--(L258&gt;=10)+--(M258&gt;=10)+--(N258&gt;=10)+--(O258&gt;=10))</f>
        <v/>
      </c>
      <c r="BE258" s="5" t="str">
        <f aca="false">IF($B258="","",--(AND(F258&lt;&gt;"",F258&lt;=8))+--(AND(G258&lt;&gt;"",G258&lt;=8))+--(AND(H258&lt;&gt;"",H258&lt;=8))+--(AND(I258&lt;&gt;"",I258&lt;=8))+--(AND(J258&lt;&gt;"",J258&lt;=8))+--(AND(K258&lt;&gt;"",K258&lt;=8))+--(AND(L258&lt;&gt;"",L258&lt;=8))+--(AND(M258&lt;&gt;"",M258&lt;=8))+--(AND(N258&lt;&gt;"",N258&lt;=8))+--(AND(O258&lt;&gt;"",O258&lt;=8)))</f>
        <v/>
      </c>
    </row>
    <row r="259" customFormat="false" ht="15" hidden="false" customHeight="false" outlineLevel="0" collapsed="false">
      <c r="AZ259" s="5" t="str">
        <f aca="false">IF($B259="","",SUMPRODUCT(($AL259:$AO259&lt;&gt;"")*(COUNTIF($AP259:$AX259,$AL259:$AO259)&gt;0)))</f>
        <v/>
      </c>
      <c r="BA259" s="5" t="str">
        <f aca="false">IF($B259="","",IF(AZ259&gt;0,1,0))</f>
        <v/>
      </c>
      <c r="BB259" s="5" t="str">
        <f aca="false">IF($AP259="","",IF((($AP259="Engineering and Technology")+($AP259="Science and Mathematics")+($AP259="Computer Science, IT and Allied Fields")+($AP259="Life Sciences /Medicine and Healthcare")+($AP259="Paramedical")+($AP259="Architecture")+($AP259="Environmental Service")+($AP259="Agriculture, Food Industry and Forestry"))&gt;0,"Science",IF((($AP259="Banking and Finance")+($AP259="Management and Administration")+($AP259="Marketing")+($AP259="Sales")+($AP259="Entrepreneurship")+($AP259="Hospitality and Tourism"))&gt;0,"Commerce",IF((($AP259="Social Sciences and Humanities")+($AP259="Law Studies")+($AP259="Education and Training")+($AP259="Art, Design")+($AP259="Entertainment and Mass Media")+($AP259="Community and Social Service")+($AP259="Personal Care and Services")+($AP259="Government and Public Administration")+($AP259="Defence/ Protective Service")+($AP259="Sports"))&gt;0,"Arts / Humanities",""))))</f>
        <v/>
      </c>
      <c r="BC259" s="5" t="str">
        <f aca="false">IF($AL259="","",IF((($AL259="Engineering and Technology")+($AL259="Science and Mathematics")+($AL259="Computer Science, IT and Allied Fields")+($AL259="Life Sciences /Medicine and Healthcare")+($AL259="Paramedical")+($AL259="Architecture")+($AL259="Environmental Service")+($AL259="Agriculture, Food Industry and Forestry"))&gt;0,"Science",IF((($AL259="Banking and Finance")+($AL259="Management and Administration")+($AL259="Marketing")+($AL259="Sales")+($AL259="Entrepreneurship")+($AL259="Hospitality and Tourism"))&gt;0,"Commerce",IF((($AL259="Social Sciences and Humanities")+($AL259="Law Studies")+($AL259="Education and Training")+($AL259="Art, Design")+($AL259="Entertainment and Mass Media")+($AL259="Community and Social Service")+($AL259="Personal Care and Services")+($AL259="Government and Public Administration")+($AL259="Defence/ Protective Service")+($AL259="Sports"))&gt;0,"Arts / Humanities",""))))</f>
        <v/>
      </c>
      <c r="BD259" s="5" t="str">
        <f aca="false">IF($B259="","",--(F259&gt;=10)+--(G259&gt;=10)+--(H259&gt;=10)+--(I259&gt;=10)+--(J259&gt;=10)+--(K259&gt;=10)+--(L259&gt;=10)+--(M259&gt;=10)+--(N259&gt;=10)+--(O259&gt;=10))</f>
        <v/>
      </c>
      <c r="BE259" s="5" t="str">
        <f aca="false">IF($B259="","",--(AND(F259&lt;&gt;"",F259&lt;=8))+--(AND(G259&lt;&gt;"",G259&lt;=8))+--(AND(H259&lt;&gt;"",H259&lt;=8))+--(AND(I259&lt;&gt;"",I259&lt;=8))+--(AND(J259&lt;&gt;"",J259&lt;=8))+--(AND(K259&lt;&gt;"",K259&lt;=8))+--(AND(L259&lt;&gt;"",L259&lt;=8))+--(AND(M259&lt;&gt;"",M259&lt;=8))+--(AND(N259&lt;&gt;"",N259&lt;=8))+--(AND(O259&lt;&gt;"",O259&lt;=8)))</f>
        <v/>
      </c>
    </row>
    <row r="260" customFormat="false" ht="15" hidden="false" customHeight="false" outlineLevel="0" collapsed="false">
      <c r="AZ260" s="5" t="str">
        <f aca="false">IF($B260="","",SUMPRODUCT(($AL260:$AO260&lt;&gt;"")*(COUNTIF($AP260:$AX260,$AL260:$AO260)&gt;0)))</f>
        <v/>
      </c>
      <c r="BA260" s="5" t="str">
        <f aca="false">IF($B260="","",IF(AZ260&gt;0,1,0))</f>
        <v/>
      </c>
      <c r="BB260" s="5" t="str">
        <f aca="false">IF($AP260="","",IF((($AP260="Engineering and Technology")+($AP260="Science and Mathematics")+($AP260="Computer Science, IT and Allied Fields")+($AP260="Life Sciences /Medicine and Healthcare")+($AP260="Paramedical")+($AP260="Architecture")+($AP260="Environmental Service")+($AP260="Agriculture, Food Industry and Forestry"))&gt;0,"Science",IF((($AP260="Banking and Finance")+($AP260="Management and Administration")+($AP260="Marketing")+($AP260="Sales")+($AP260="Entrepreneurship")+($AP260="Hospitality and Tourism"))&gt;0,"Commerce",IF((($AP260="Social Sciences and Humanities")+($AP260="Law Studies")+($AP260="Education and Training")+($AP260="Art, Design")+($AP260="Entertainment and Mass Media")+($AP260="Community and Social Service")+($AP260="Personal Care and Services")+($AP260="Government and Public Administration")+($AP260="Defence/ Protective Service")+($AP260="Sports"))&gt;0,"Arts / Humanities",""))))</f>
        <v/>
      </c>
      <c r="BC260" s="5" t="str">
        <f aca="false">IF($AL260="","",IF((($AL260="Engineering and Technology")+($AL260="Science and Mathematics")+($AL260="Computer Science, IT and Allied Fields")+($AL260="Life Sciences /Medicine and Healthcare")+($AL260="Paramedical")+($AL260="Architecture")+($AL260="Environmental Service")+($AL260="Agriculture, Food Industry and Forestry"))&gt;0,"Science",IF((($AL260="Banking and Finance")+($AL260="Management and Administration")+($AL260="Marketing")+($AL260="Sales")+($AL260="Entrepreneurship")+($AL260="Hospitality and Tourism"))&gt;0,"Commerce",IF((($AL260="Social Sciences and Humanities")+($AL260="Law Studies")+($AL260="Education and Training")+($AL260="Art, Design")+($AL260="Entertainment and Mass Media")+($AL260="Community and Social Service")+($AL260="Personal Care and Services")+($AL260="Government and Public Administration")+($AL260="Defence/ Protective Service")+($AL260="Sports"))&gt;0,"Arts / Humanities",""))))</f>
        <v/>
      </c>
      <c r="BD260" s="5" t="str">
        <f aca="false">IF($B260="","",--(F260&gt;=10)+--(G260&gt;=10)+--(H260&gt;=10)+--(I260&gt;=10)+--(J260&gt;=10)+--(K260&gt;=10)+--(L260&gt;=10)+--(M260&gt;=10)+--(N260&gt;=10)+--(O260&gt;=10))</f>
        <v/>
      </c>
      <c r="BE260" s="5" t="str">
        <f aca="false">IF($B260="","",--(AND(F260&lt;&gt;"",F260&lt;=8))+--(AND(G260&lt;&gt;"",G260&lt;=8))+--(AND(H260&lt;&gt;"",H260&lt;=8))+--(AND(I260&lt;&gt;"",I260&lt;=8))+--(AND(J260&lt;&gt;"",J260&lt;=8))+--(AND(K260&lt;&gt;"",K260&lt;=8))+--(AND(L260&lt;&gt;"",L260&lt;=8))+--(AND(M260&lt;&gt;"",M260&lt;=8))+--(AND(N260&lt;&gt;"",N260&lt;=8))+--(AND(O260&lt;&gt;"",O260&lt;=8)))</f>
        <v/>
      </c>
    </row>
    <row r="261" customFormat="false" ht="15" hidden="false" customHeight="false" outlineLevel="0" collapsed="false">
      <c r="AZ261" s="5" t="str">
        <f aca="false">IF($B261="","",SUMPRODUCT(($AL261:$AO261&lt;&gt;"")*(COUNTIF($AP261:$AX261,$AL261:$AO261)&gt;0)))</f>
        <v/>
      </c>
      <c r="BA261" s="5" t="str">
        <f aca="false">IF($B261="","",IF(AZ261&gt;0,1,0))</f>
        <v/>
      </c>
      <c r="BB261" s="5" t="str">
        <f aca="false">IF($AP261="","",IF((($AP261="Engineering and Technology")+($AP261="Science and Mathematics")+($AP261="Computer Science, IT and Allied Fields")+($AP261="Life Sciences /Medicine and Healthcare")+($AP261="Paramedical")+($AP261="Architecture")+($AP261="Environmental Service")+($AP261="Agriculture, Food Industry and Forestry"))&gt;0,"Science",IF((($AP261="Banking and Finance")+($AP261="Management and Administration")+($AP261="Marketing")+($AP261="Sales")+($AP261="Entrepreneurship")+($AP261="Hospitality and Tourism"))&gt;0,"Commerce",IF((($AP261="Social Sciences and Humanities")+($AP261="Law Studies")+($AP261="Education and Training")+($AP261="Art, Design")+($AP261="Entertainment and Mass Media")+($AP261="Community and Social Service")+($AP261="Personal Care and Services")+($AP261="Government and Public Administration")+($AP261="Defence/ Protective Service")+($AP261="Sports"))&gt;0,"Arts / Humanities",""))))</f>
        <v/>
      </c>
      <c r="BC261" s="5" t="str">
        <f aca="false">IF($AL261="","",IF((($AL261="Engineering and Technology")+($AL261="Science and Mathematics")+($AL261="Computer Science, IT and Allied Fields")+($AL261="Life Sciences /Medicine and Healthcare")+($AL261="Paramedical")+($AL261="Architecture")+($AL261="Environmental Service")+($AL261="Agriculture, Food Industry and Forestry"))&gt;0,"Science",IF((($AL261="Banking and Finance")+($AL261="Management and Administration")+($AL261="Marketing")+($AL261="Sales")+($AL261="Entrepreneurship")+($AL261="Hospitality and Tourism"))&gt;0,"Commerce",IF((($AL261="Social Sciences and Humanities")+($AL261="Law Studies")+($AL261="Education and Training")+($AL261="Art, Design")+($AL261="Entertainment and Mass Media")+($AL261="Community and Social Service")+($AL261="Personal Care and Services")+($AL261="Government and Public Administration")+($AL261="Defence/ Protective Service")+($AL261="Sports"))&gt;0,"Arts / Humanities",""))))</f>
        <v/>
      </c>
      <c r="BD261" s="5" t="str">
        <f aca="false">IF($B261="","",--(F261&gt;=10)+--(G261&gt;=10)+--(H261&gt;=10)+--(I261&gt;=10)+--(J261&gt;=10)+--(K261&gt;=10)+--(L261&gt;=10)+--(M261&gt;=10)+--(N261&gt;=10)+--(O261&gt;=10))</f>
        <v/>
      </c>
      <c r="BE261" s="5" t="str">
        <f aca="false">IF($B261="","",--(AND(F261&lt;&gt;"",F261&lt;=8))+--(AND(G261&lt;&gt;"",G261&lt;=8))+--(AND(H261&lt;&gt;"",H261&lt;=8))+--(AND(I261&lt;&gt;"",I261&lt;=8))+--(AND(J261&lt;&gt;"",J261&lt;=8))+--(AND(K261&lt;&gt;"",K261&lt;=8))+--(AND(L261&lt;&gt;"",L261&lt;=8))+--(AND(M261&lt;&gt;"",M261&lt;=8))+--(AND(N261&lt;&gt;"",N261&lt;=8))+--(AND(O261&lt;&gt;"",O261&lt;=8)))</f>
        <v/>
      </c>
    </row>
    <row r="262" customFormat="false" ht="15" hidden="false" customHeight="false" outlineLevel="0" collapsed="false">
      <c r="AZ262" s="5" t="str">
        <f aca="false">IF($B262="","",SUMPRODUCT(($AL262:$AO262&lt;&gt;"")*(COUNTIF($AP262:$AX262,$AL262:$AO262)&gt;0)))</f>
        <v/>
      </c>
      <c r="BA262" s="5" t="str">
        <f aca="false">IF($B262="","",IF(AZ262&gt;0,1,0))</f>
        <v/>
      </c>
      <c r="BB262" s="5" t="str">
        <f aca="false">IF($AP262="","",IF((($AP262="Engineering and Technology")+($AP262="Science and Mathematics")+($AP262="Computer Science, IT and Allied Fields")+($AP262="Life Sciences /Medicine and Healthcare")+($AP262="Paramedical")+($AP262="Architecture")+($AP262="Environmental Service")+($AP262="Agriculture, Food Industry and Forestry"))&gt;0,"Science",IF((($AP262="Banking and Finance")+($AP262="Management and Administration")+($AP262="Marketing")+($AP262="Sales")+($AP262="Entrepreneurship")+($AP262="Hospitality and Tourism"))&gt;0,"Commerce",IF((($AP262="Social Sciences and Humanities")+($AP262="Law Studies")+($AP262="Education and Training")+($AP262="Art, Design")+($AP262="Entertainment and Mass Media")+($AP262="Community and Social Service")+($AP262="Personal Care and Services")+($AP262="Government and Public Administration")+($AP262="Defence/ Protective Service")+($AP262="Sports"))&gt;0,"Arts / Humanities",""))))</f>
        <v/>
      </c>
      <c r="BC262" s="5" t="str">
        <f aca="false">IF($AL262="","",IF((($AL262="Engineering and Technology")+($AL262="Science and Mathematics")+($AL262="Computer Science, IT and Allied Fields")+($AL262="Life Sciences /Medicine and Healthcare")+($AL262="Paramedical")+($AL262="Architecture")+($AL262="Environmental Service")+($AL262="Agriculture, Food Industry and Forestry"))&gt;0,"Science",IF((($AL262="Banking and Finance")+($AL262="Management and Administration")+($AL262="Marketing")+($AL262="Sales")+($AL262="Entrepreneurship")+($AL262="Hospitality and Tourism"))&gt;0,"Commerce",IF((($AL262="Social Sciences and Humanities")+($AL262="Law Studies")+($AL262="Education and Training")+($AL262="Art, Design")+($AL262="Entertainment and Mass Media")+($AL262="Community and Social Service")+($AL262="Personal Care and Services")+($AL262="Government and Public Administration")+($AL262="Defence/ Protective Service")+($AL262="Sports"))&gt;0,"Arts / Humanities",""))))</f>
        <v/>
      </c>
      <c r="BD262" s="5" t="str">
        <f aca="false">IF($B262="","",--(F262&gt;=10)+--(G262&gt;=10)+--(H262&gt;=10)+--(I262&gt;=10)+--(J262&gt;=10)+--(K262&gt;=10)+--(L262&gt;=10)+--(M262&gt;=10)+--(N262&gt;=10)+--(O262&gt;=10))</f>
        <v/>
      </c>
      <c r="BE262" s="5" t="str">
        <f aca="false">IF($B262="","",--(AND(F262&lt;&gt;"",F262&lt;=8))+--(AND(G262&lt;&gt;"",G262&lt;=8))+--(AND(H262&lt;&gt;"",H262&lt;=8))+--(AND(I262&lt;&gt;"",I262&lt;=8))+--(AND(J262&lt;&gt;"",J262&lt;=8))+--(AND(K262&lt;&gt;"",K262&lt;=8))+--(AND(L262&lt;&gt;"",L262&lt;=8))+--(AND(M262&lt;&gt;"",M262&lt;=8))+--(AND(N262&lt;&gt;"",N262&lt;=8))+--(AND(O262&lt;&gt;"",O262&lt;=8)))</f>
        <v/>
      </c>
    </row>
    <row r="263" customFormat="false" ht="15" hidden="false" customHeight="false" outlineLevel="0" collapsed="false">
      <c r="AZ263" s="5" t="str">
        <f aca="false">IF($B263="","",SUMPRODUCT(($AL263:$AO263&lt;&gt;"")*(COUNTIF($AP263:$AX263,$AL263:$AO263)&gt;0)))</f>
        <v/>
      </c>
      <c r="BA263" s="5" t="str">
        <f aca="false">IF($B263="","",IF(AZ263&gt;0,1,0))</f>
        <v/>
      </c>
      <c r="BB263" s="5" t="str">
        <f aca="false">IF($AP263="","",IF((($AP263="Engineering and Technology")+($AP263="Science and Mathematics")+($AP263="Computer Science, IT and Allied Fields")+($AP263="Life Sciences /Medicine and Healthcare")+($AP263="Paramedical")+($AP263="Architecture")+($AP263="Environmental Service")+($AP263="Agriculture, Food Industry and Forestry"))&gt;0,"Science",IF((($AP263="Banking and Finance")+($AP263="Management and Administration")+($AP263="Marketing")+($AP263="Sales")+($AP263="Entrepreneurship")+($AP263="Hospitality and Tourism"))&gt;0,"Commerce",IF((($AP263="Social Sciences and Humanities")+($AP263="Law Studies")+($AP263="Education and Training")+($AP263="Art, Design")+($AP263="Entertainment and Mass Media")+($AP263="Community and Social Service")+($AP263="Personal Care and Services")+($AP263="Government and Public Administration")+($AP263="Defence/ Protective Service")+($AP263="Sports"))&gt;0,"Arts / Humanities",""))))</f>
        <v/>
      </c>
      <c r="BC263" s="5" t="str">
        <f aca="false">IF($AL263="","",IF((($AL263="Engineering and Technology")+($AL263="Science and Mathematics")+($AL263="Computer Science, IT and Allied Fields")+($AL263="Life Sciences /Medicine and Healthcare")+($AL263="Paramedical")+($AL263="Architecture")+($AL263="Environmental Service")+($AL263="Agriculture, Food Industry and Forestry"))&gt;0,"Science",IF((($AL263="Banking and Finance")+($AL263="Management and Administration")+($AL263="Marketing")+($AL263="Sales")+($AL263="Entrepreneurship")+($AL263="Hospitality and Tourism"))&gt;0,"Commerce",IF((($AL263="Social Sciences and Humanities")+($AL263="Law Studies")+($AL263="Education and Training")+($AL263="Art, Design")+($AL263="Entertainment and Mass Media")+($AL263="Community and Social Service")+($AL263="Personal Care and Services")+($AL263="Government and Public Administration")+($AL263="Defence/ Protective Service")+($AL263="Sports"))&gt;0,"Arts / Humanities",""))))</f>
        <v/>
      </c>
      <c r="BD263" s="5" t="str">
        <f aca="false">IF($B263="","",--(F263&gt;=10)+--(G263&gt;=10)+--(H263&gt;=10)+--(I263&gt;=10)+--(J263&gt;=10)+--(K263&gt;=10)+--(L263&gt;=10)+--(M263&gt;=10)+--(N263&gt;=10)+--(O263&gt;=10))</f>
        <v/>
      </c>
      <c r="BE263" s="5" t="str">
        <f aca="false">IF($B263="","",--(AND(F263&lt;&gt;"",F263&lt;=8))+--(AND(G263&lt;&gt;"",G263&lt;=8))+--(AND(H263&lt;&gt;"",H263&lt;=8))+--(AND(I263&lt;&gt;"",I263&lt;=8))+--(AND(J263&lt;&gt;"",J263&lt;=8))+--(AND(K263&lt;&gt;"",K263&lt;=8))+--(AND(L263&lt;&gt;"",L263&lt;=8))+--(AND(M263&lt;&gt;"",M263&lt;=8))+--(AND(N263&lt;&gt;"",N263&lt;=8))+--(AND(O263&lt;&gt;"",O263&lt;=8)))</f>
        <v/>
      </c>
    </row>
    <row r="264" customFormat="false" ht="15" hidden="false" customHeight="false" outlineLevel="0" collapsed="false">
      <c r="AZ264" s="5" t="str">
        <f aca="false">IF($B264="","",SUMPRODUCT(($AL264:$AO264&lt;&gt;"")*(COUNTIF($AP264:$AX264,$AL264:$AO264)&gt;0)))</f>
        <v/>
      </c>
      <c r="BA264" s="5" t="str">
        <f aca="false">IF($B264="","",IF(AZ264&gt;0,1,0))</f>
        <v/>
      </c>
      <c r="BB264" s="5" t="str">
        <f aca="false">IF($AP264="","",IF((($AP264="Engineering and Technology")+($AP264="Science and Mathematics")+($AP264="Computer Science, IT and Allied Fields")+($AP264="Life Sciences /Medicine and Healthcare")+($AP264="Paramedical")+($AP264="Architecture")+($AP264="Environmental Service")+($AP264="Agriculture, Food Industry and Forestry"))&gt;0,"Science",IF((($AP264="Banking and Finance")+($AP264="Management and Administration")+($AP264="Marketing")+($AP264="Sales")+($AP264="Entrepreneurship")+($AP264="Hospitality and Tourism"))&gt;0,"Commerce",IF((($AP264="Social Sciences and Humanities")+($AP264="Law Studies")+($AP264="Education and Training")+($AP264="Art, Design")+($AP264="Entertainment and Mass Media")+($AP264="Community and Social Service")+($AP264="Personal Care and Services")+($AP264="Government and Public Administration")+($AP264="Defence/ Protective Service")+($AP264="Sports"))&gt;0,"Arts / Humanities",""))))</f>
        <v/>
      </c>
      <c r="BC264" s="5" t="str">
        <f aca="false">IF($AL264="","",IF((($AL264="Engineering and Technology")+($AL264="Science and Mathematics")+($AL264="Computer Science, IT and Allied Fields")+($AL264="Life Sciences /Medicine and Healthcare")+($AL264="Paramedical")+($AL264="Architecture")+($AL264="Environmental Service")+($AL264="Agriculture, Food Industry and Forestry"))&gt;0,"Science",IF((($AL264="Banking and Finance")+($AL264="Management and Administration")+($AL264="Marketing")+($AL264="Sales")+($AL264="Entrepreneurship")+($AL264="Hospitality and Tourism"))&gt;0,"Commerce",IF((($AL264="Social Sciences and Humanities")+($AL264="Law Studies")+($AL264="Education and Training")+($AL264="Art, Design")+($AL264="Entertainment and Mass Media")+($AL264="Community and Social Service")+($AL264="Personal Care and Services")+($AL264="Government and Public Administration")+($AL264="Defence/ Protective Service")+($AL264="Sports"))&gt;0,"Arts / Humanities",""))))</f>
        <v/>
      </c>
      <c r="BD264" s="5" t="str">
        <f aca="false">IF($B264="","",--(F264&gt;=10)+--(G264&gt;=10)+--(H264&gt;=10)+--(I264&gt;=10)+--(J264&gt;=10)+--(K264&gt;=10)+--(L264&gt;=10)+--(M264&gt;=10)+--(N264&gt;=10)+--(O264&gt;=10))</f>
        <v/>
      </c>
      <c r="BE264" s="5" t="str">
        <f aca="false">IF($B264="","",--(AND(F264&lt;&gt;"",F264&lt;=8))+--(AND(G264&lt;&gt;"",G264&lt;=8))+--(AND(H264&lt;&gt;"",H264&lt;=8))+--(AND(I264&lt;&gt;"",I264&lt;=8))+--(AND(J264&lt;&gt;"",J264&lt;=8))+--(AND(K264&lt;&gt;"",K264&lt;=8))+--(AND(L264&lt;&gt;"",L264&lt;=8))+--(AND(M264&lt;&gt;"",M264&lt;=8))+--(AND(N264&lt;&gt;"",N264&lt;=8))+--(AND(O264&lt;&gt;"",O264&lt;=8)))</f>
        <v/>
      </c>
    </row>
    <row r="265" customFormat="false" ht="15" hidden="false" customHeight="false" outlineLevel="0" collapsed="false">
      <c r="AZ265" s="5" t="str">
        <f aca="false">IF($B265="","",SUMPRODUCT(($AL265:$AO265&lt;&gt;"")*(COUNTIF($AP265:$AX265,$AL265:$AO265)&gt;0)))</f>
        <v/>
      </c>
      <c r="BA265" s="5" t="str">
        <f aca="false">IF($B265="","",IF(AZ265&gt;0,1,0))</f>
        <v/>
      </c>
      <c r="BB265" s="5" t="str">
        <f aca="false">IF($AP265="","",IF((($AP265="Engineering and Technology")+($AP265="Science and Mathematics")+($AP265="Computer Science, IT and Allied Fields")+($AP265="Life Sciences /Medicine and Healthcare")+($AP265="Paramedical")+($AP265="Architecture")+($AP265="Environmental Service")+($AP265="Agriculture, Food Industry and Forestry"))&gt;0,"Science",IF((($AP265="Banking and Finance")+($AP265="Management and Administration")+($AP265="Marketing")+($AP265="Sales")+($AP265="Entrepreneurship")+($AP265="Hospitality and Tourism"))&gt;0,"Commerce",IF((($AP265="Social Sciences and Humanities")+($AP265="Law Studies")+($AP265="Education and Training")+($AP265="Art, Design")+($AP265="Entertainment and Mass Media")+($AP265="Community and Social Service")+($AP265="Personal Care and Services")+($AP265="Government and Public Administration")+($AP265="Defence/ Protective Service")+($AP265="Sports"))&gt;0,"Arts / Humanities",""))))</f>
        <v/>
      </c>
      <c r="BC265" s="5" t="str">
        <f aca="false">IF($AL265="","",IF((($AL265="Engineering and Technology")+($AL265="Science and Mathematics")+($AL265="Computer Science, IT and Allied Fields")+($AL265="Life Sciences /Medicine and Healthcare")+($AL265="Paramedical")+($AL265="Architecture")+($AL265="Environmental Service")+($AL265="Agriculture, Food Industry and Forestry"))&gt;0,"Science",IF((($AL265="Banking and Finance")+($AL265="Management and Administration")+($AL265="Marketing")+($AL265="Sales")+($AL265="Entrepreneurship")+($AL265="Hospitality and Tourism"))&gt;0,"Commerce",IF((($AL265="Social Sciences and Humanities")+($AL265="Law Studies")+($AL265="Education and Training")+($AL265="Art, Design")+($AL265="Entertainment and Mass Media")+($AL265="Community and Social Service")+($AL265="Personal Care and Services")+($AL265="Government and Public Administration")+($AL265="Defence/ Protective Service")+($AL265="Sports"))&gt;0,"Arts / Humanities",""))))</f>
        <v/>
      </c>
      <c r="BD265" s="5" t="str">
        <f aca="false">IF($B265="","",--(F265&gt;=10)+--(G265&gt;=10)+--(H265&gt;=10)+--(I265&gt;=10)+--(J265&gt;=10)+--(K265&gt;=10)+--(L265&gt;=10)+--(M265&gt;=10)+--(N265&gt;=10)+--(O265&gt;=10))</f>
        <v/>
      </c>
      <c r="BE265" s="5" t="str">
        <f aca="false">IF($B265="","",--(AND(F265&lt;&gt;"",F265&lt;=8))+--(AND(G265&lt;&gt;"",G265&lt;=8))+--(AND(H265&lt;&gt;"",H265&lt;=8))+--(AND(I265&lt;&gt;"",I265&lt;=8))+--(AND(J265&lt;&gt;"",J265&lt;=8))+--(AND(K265&lt;&gt;"",K265&lt;=8))+--(AND(L265&lt;&gt;"",L265&lt;=8))+--(AND(M265&lt;&gt;"",M265&lt;=8))+--(AND(N265&lt;&gt;"",N265&lt;=8))+--(AND(O265&lt;&gt;"",O265&lt;=8)))</f>
        <v/>
      </c>
    </row>
    <row r="266" customFormat="false" ht="15" hidden="false" customHeight="false" outlineLevel="0" collapsed="false">
      <c r="AZ266" s="5" t="str">
        <f aca="false">IF($B266="","",SUMPRODUCT(($AL266:$AO266&lt;&gt;"")*(COUNTIF($AP266:$AX266,$AL266:$AO266)&gt;0)))</f>
        <v/>
      </c>
      <c r="BA266" s="5" t="str">
        <f aca="false">IF($B266="","",IF(AZ266&gt;0,1,0))</f>
        <v/>
      </c>
      <c r="BB266" s="5" t="str">
        <f aca="false">IF($AP266="","",IF((($AP266="Engineering and Technology")+($AP266="Science and Mathematics")+($AP266="Computer Science, IT and Allied Fields")+($AP266="Life Sciences /Medicine and Healthcare")+($AP266="Paramedical")+($AP266="Architecture")+($AP266="Environmental Service")+($AP266="Agriculture, Food Industry and Forestry"))&gt;0,"Science",IF((($AP266="Banking and Finance")+($AP266="Management and Administration")+($AP266="Marketing")+($AP266="Sales")+($AP266="Entrepreneurship")+($AP266="Hospitality and Tourism"))&gt;0,"Commerce",IF((($AP266="Social Sciences and Humanities")+($AP266="Law Studies")+($AP266="Education and Training")+($AP266="Art, Design")+($AP266="Entertainment and Mass Media")+($AP266="Community and Social Service")+($AP266="Personal Care and Services")+($AP266="Government and Public Administration")+($AP266="Defence/ Protective Service")+($AP266="Sports"))&gt;0,"Arts / Humanities",""))))</f>
        <v/>
      </c>
      <c r="BC266" s="5" t="str">
        <f aca="false">IF($AL266="","",IF((($AL266="Engineering and Technology")+($AL266="Science and Mathematics")+($AL266="Computer Science, IT and Allied Fields")+($AL266="Life Sciences /Medicine and Healthcare")+($AL266="Paramedical")+($AL266="Architecture")+($AL266="Environmental Service")+($AL266="Agriculture, Food Industry and Forestry"))&gt;0,"Science",IF((($AL266="Banking and Finance")+($AL266="Management and Administration")+($AL266="Marketing")+($AL266="Sales")+($AL266="Entrepreneurship")+($AL266="Hospitality and Tourism"))&gt;0,"Commerce",IF((($AL266="Social Sciences and Humanities")+($AL266="Law Studies")+($AL266="Education and Training")+($AL266="Art, Design")+($AL266="Entertainment and Mass Media")+($AL266="Community and Social Service")+($AL266="Personal Care and Services")+($AL266="Government and Public Administration")+($AL266="Defence/ Protective Service")+($AL266="Sports"))&gt;0,"Arts / Humanities",""))))</f>
        <v/>
      </c>
      <c r="BD266" s="5" t="str">
        <f aca="false">IF($B266="","",--(F266&gt;=10)+--(G266&gt;=10)+--(H266&gt;=10)+--(I266&gt;=10)+--(J266&gt;=10)+--(K266&gt;=10)+--(L266&gt;=10)+--(M266&gt;=10)+--(N266&gt;=10)+--(O266&gt;=10))</f>
        <v/>
      </c>
      <c r="BE266" s="5" t="str">
        <f aca="false">IF($B266="","",--(AND(F266&lt;&gt;"",F266&lt;=8))+--(AND(G266&lt;&gt;"",G266&lt;=8))+--(AND(H266&lt;&gt;"",H266&lt;=8))+--(AND(I266&lt;&gt;"",I266&lt;=8))+--(AND(J266&lt;&gt;"",J266&lt;=8))+--(AND(K266&lt;&gt;"",K266&lt;=8))+--(AND(L266&lt;&gt;"",L266&lt;=8))+--(AND(M266&lt;&gt;"",M266&lt;=8))+--(AND(N266&lt;&gt;"",N266&lt;=8))+--(AND(O266&lt;&gt;"",O266&lt;=8)))</f>
        <v/>
      </c>
    </row>
    <row r="267" customFormat="false" ht="15" hidden="false" customHeight="false" outlineLevel="0" collapsed="false">
      <c r="AZ267" s="5" t="str">
        <f aca="false">IF($B267="","",SUMPRODUCT(($AL267:$AO267&lt;&gt;"")*(COUNTIF($AP267:$AX267,$AL267:$AO267)&gt;0)))</f>
        <v/>
      </c>
      <c r="BA267" s="5" t="str">
        <f aca="false">IF($B267="","",IF(AZ267&gt;0,1,0))</f>
        <v/>
      </c>
      <c r="BB267" s="5" t="str">
        <f aca="false">IF($AP267="","",IF((($AP267="Engineering and Technology")+($AP267="Science and Mathematics")+($AP267="Computer Science, IT and Allied Fields")+($AP267="Life Sciences /Medicine and Healthcare")+($AP267="Paramedical")+($AP267="Architecture")+($AP267="Environmental Service")+($AP267="Agriculture, Food Industry and Forestry"))&gt;0,"Science",IF((($AP267="Banking and Finance")+($AP267="Management and Administration")+($AP267="Marketing")+($AP267="Sales")+($AP267="Entrepreneurship")+($AP267="Hospitality and Tourism"))&gt;0,"Commerce",IF((($AP267="Social Sciences and Humanities")+($AP267="Law Studies")+($AP267="Education and Training")+($AP267="Art, Design")+($AP267="Entertainment and Mass Media")+($AP267="Community and Social Service")+($AP267="Personal Care and Services")+($AP267="Government and Public Administration")+($AP267="Defence/ Protective Service")+($AP267="Sports"))&gt;0,"Arts / Humanities",""))))</f>
        <v/>
      </c>
      <c r="BC267" s="5" t="str">
        <f aca="false">IF($AL267="","",IF((($AL267="Engineering and Technology")+($AL267="Science and Mathematics")+($AL267="Computer Science, IT and Allied Fields")+($AL267="Life Sciences /Medicine and Healthcare")+($AL267="Paramedical")+($AL267="Architecture")+($AL267="Environmental Service")+($AL267="Agriculture, Food Industry and Forestry"))&gt;0,"Science",IF((($AL267="Banking and Finance")+($AL267="Management and Administration")+($AL267="Marketing")+($AL267="Sales")+($AL267="Entrepreneurship")+($AL267="Hospitality and Tourism"))&gt;0,"Commerce",IF((($AL267="Social Sciences and Humanities")+($AL267="Law Studies")+($AL267="Education and Training")+($AL267="Art, Design")+($AL267="Entertainment and Mass Media")+($AL267="Community and Social Service")+($AL267="Personal Care and Services")+($AL267="Government and Public Administration")+($AL267="Defence/ Protective Service")+($AL267="Sports"))&gt;0,"Arts / Humanities",""))))</f>
        <v/>
      </c>
      <c r="BD267" s="5" t="str">
        <f aca="false">IF($B267="","",--(F267&gt;=10)+--(G267&gt;=10)+--(H267&gt;=10)+--(I267&gt;=10)+--(J267&gt;=10)+--(K267&gt;=10)+--(L267&gt;=10)+--(M267&gt;=10)+--(N267&gt;=10)+--(O267&gt;=10))</f>
        <v/>
      </c>
      <c r="BE267" s="5" t="str">
        <f aca="false">IF($B267="","",--(AND(F267&lt;&gt;"",F267&lt;=8))+--(AND(G267&lt;&gt;"",G267&lt;=8))+--(AND(H267&lt;&gt;"",H267&lt;=8))+--(AND(I267&lt;&gt;"",I267&lt;=8))+--(AND(J267&lt;&gt;"",J267&lt;=8))+--(AND(K267&lt;&gt;"",K267&lt;=8))+--(AND(L267&lt;&gt;"",L267&lt;=8))+--(AND(M267&lt;&gt;"",M267&lt;=8))+--(AND(N267&lt;&gt;"",N267&lt;=8))+--(AND(O267&lt;&gt;"",O267&lt;=8)))</f>
        <v/>
      </c>
    </row>
    <row r="268" customFormat="false" ht="15" hidden="false" customHeight="false" outlineLevel="0" collapsed="false">
      <c r="AZ268" s="5" t="str">
        <f aca="false">IF($B268="","",SUMPRODUCT(($AL268:$AO268&lt;&gt;"")*(COUNTIF($AP268:$AX268,$AL268:$AO268)&gt;0)))</f>
        <v/>
      </c>
      <c r="BA268" s="5" t="str">
        <f aca="false">IF($B268="","",IF(AZ268&gt;0,1,0))</f>
        <v/>
      </c>
      <c r="BB268" s="5" t="str">
        <f aca="false">IF($AP268="","",IF((($AP268="Engineering and Technology")+($AP268="Science and Mathematics")+($AP268="Computer Science, IT and Allied Fields")+($AP268="Life Sciences /Medicine and Healthcare")+($AP268="Paramedical")+($AP268="Architecture")+($AP268="Environmental Service")+($AP268="Agriculture, Food Industry and Forestry"))&gt;0,"Science",IF((($AP268="Banking and Finance")+($AP268="Management and Administration")+($AP268="Marketing")+($AP268="Sales")+($AP268="Entrepreneurship")+($AP268="Hospitality and Tourism"))&gt;0,"Commerce",IF((($AP268="Social Sciences and Humanities")+($AP268="Law Studies")+($AP268="Education and Training")+($AP268="Art, Design")+($AP268="Entertainment and Mass Media")+($AP268="Community and Social Service")+($AP268="Personal Care and Services")+($AP268="Government and Public Administration")+($AP268="Defence/ Protective Service")+($AP268="Sports"))&gt;0,"Arts / Humanities",""))))</f>
        <v/>
      </c>
      <c r="BC268" s="5" t="str">
        <f aca="false">IF($AL268="","",IF((($AL268="Engineering and Technology")+($AL268="Science and Mathematics")+($AL268="Computer Science, IT and Allied Fields")+($AL268="Life Sciences /Medicine and Healthcare")+($AL268="Paramedical")+($AL268="Architecture")+($AL268="Environmental Service")+($AL268="Agriculture, Food Industry and Forestry"))&gt;0,"Science",IF((($AL268="Banking and Finance")+($AL268="Management and Administration")+($AL268="Marketing")+($AL268="Sales")+($AL268="Entrepreneurship")+($AL268="Hospitality and Tourism"))&gt;0,"Commerce",IF((($AL268="Social Sciences and Humanities")+($AL268="Law Studies")+($AL268="Education and Training")+($AL268="Art, Design")+($AL268="Entertainment and Mass Media")+($AL268="Community and Social Service")+($AL268="Personal Care and Services")+($AL268="Government and Public Administration")+($AL268="Defence/ Protective Service")+($AL268="Sports"))&gt;0,"Arts / Humanities",""))))</f>
        <v/>
      </c>
      <c r="BD268" s="5" t="str">
        <f aca="false">IF($B268="","",--(F268&gt;=10)+--(G268&gt;=10)+--(H268&gt;=10)+--(I268&gt;=10)+--(J268&gt;=10)+--(K268&gt;=10)+--(L268&gt;=10)+--(M268&gt;=10)+--(N268&gt;=10)+--(O268&gt;=10))</f>
        <v/>
      </c>
      <c r="BE268" s="5" t="str">
        <f aca="false">IF($B268="","",--(AND(F268&lt;&gt;"",F268&lt;=8))+--(AND(G268&lt;&gt;"",G268&lt;=8))+--(AND(H268&lt;&gt;"",H268&lt;=8))+--(AND(I268&lt;&gt;"",I268&lt;=8))+--(AND(J268&lt;&gt;"",J268&lt;=8))+--(AND(K268&lt;&gt;"",K268&lt;=8))+--(AND(L268&lt;&gt;"",L268&lt;=8))+--(AND(M268&lt;&gt;"",M268&lt;=8))+--(AND(N268&lt;&gt;"",N268&lt;=8))+--(AND(O268&lt;&gt;"",O268&lt;=8)))</f>
        <v/>
      </c>
    </row>
    <row r="269" customFormat="false" ht="15" hidden="false" customHeight="false" outlineLevel="0" collapsed="false">
      <c r="AZ269" s="5" t="str">
        <f aca="false">IF($B269="","",SUMPRODUCT(($AL269:$AO269&lt;&gt;"")*(COUNTIF($AP269:$AX269,$AL269:$AO269)&gt;0)))</f>
        <v/>
      </c>
      <c r="BA269" s="5" t="str">
        <f aca="false">IF($B269="","",IF(AZ269&gt;0,1,0))</f>
        <v/>
      </c>
      <c r="BB269" s="5" t="str">
        <f aca="false">IF($AP269="","",IF((($AP269="Engineering and Technology")+($AP269="Science and Mathematics")+($AP269="Computer Science, IT and Allied Fields")+($AP269="Life Sciences /Medicine and Healthcare")+($AP269="Paramedical")+($AP269="Architecture")+($AP269="Environmental Service")+($AP269="Agriculture, Food Industry and Forestry"))&gt;0,"Science",IF((($AP269="Banking and Finance")+($AP269="Management and Administration")+($AP269="Marketing")+($AP269="Sales")+($AP269="Entrepreneurship")+($AP269="Hospitality and Tourism"))&gt;0,"Commerce",IF((($AP269="Social Sciences and Humanities")+($AP269="Law Studies")+($AP269="Education and Training")+($AP269="Art, Design")+($AP269="Entertainment and Mass Media")+($AP269="Community and Social Service")+($AP269="Personal Care and Services")+($AP269="Government and Public Administration")+($AP269="Defence/ Protective Service")+($AP269="Sports"))&gt;0,"Arts / Humanities",""))))</f>
        <v/>
      </c>
      <c r="BC269" s="5" t="str">
        <f aca="false">IF($AL269="","",IF((($AL269="Engineering and Technology")+($AL269="Science and Mathematics")+($AL269="Computer Science, IT and Allied Fields")+($AL269="Life Sciences /Medicine and Healthcare")+($AL269="Paramedical")+($AL269="Architecture")+($AL269="Environmental Service")+($AL269="Agriculture, Food Industry and Forestry"))&gt;0,"Science",IF((($AL269="Banking and Finance")+($AL269="Management and Administration")+($AL269="Marketing")+($AL269="Sales")+($AL269="Entrepreneurship")+($AL269="Hospitality and Tourism"))&gt;0,"Commerce",IF((($AL269="Social Sciences and Humanities")+($AL269="Law Studies")+($AL269="Education and Training")+($AL269="Art, Design")+($AL269="Entertainment and Mass Media")+($AL269="Community and Social Service")+($AL269="Personal Care and Services")+($AL269="Government and Public Administration")+($AL269="Defence/ Protective Service")+($AL269="Sports"))&gt;0,"Arts / Humanities",""))))</f>
        <v/>
      </c>
      <c r="BD269" s="5" t="str">
        <f aca="false">IF($B269="","",--(F269&gt;=10)+--(G269&gt;=10)+--(H269&gt;=10)+--(I269&gt;=10)+--(J269&gt;=10)+--(K269&gt;=10)+--(L269&gt;=10)+--(M269&gt;=10)+--(N269&gt;=10)+--(O269&gt;=10))</f>
        <v/>
      </c>
      <c r="BE269" s="5" t="str">
        <f aca="false">IF($B269="","",--(AND(F269&lt;&gt;"",F269&lt;=8))+--(AND(G269&lt;&gt;"",G269&lt;=8))+--(AND(H269&lt;&gt;"",H269&lt;=8))+--(AND(I269&lt;&gt;"",I269&lt;=8))+--(AND(J269&lt;&gt;"",J269&lt;=8))+--(AND(K269&lt;&gt;"",K269&lt;=8))+--(AND(L269&lt;&gt;"",L269&lt;=8))+--(AND(M269&lt;&gt;"",M269&lt;=8))+--(AND(N269&lt;&gt;"",N269&lt;=8))+--(AND(O269&lt;&gt;"",O269&lt;=8)))</f>
        <v/>
      </c>
    </row>
    <row r="270" customFormat="false" ht="15" hidden="false" customHeight="false" outlineLevel="0" collapsed="false">
      <c r="AZ270" s="5" t="str">
        <f aca="false">IF($B270="","",SUMPRODUCT(($AL270:$AO270&lt;&gt;"")*(COUNTIF($AP270:$AX270,$AL270:$AO270)&gt;0)))</f>
        <v/>
      </c>
      <c r="BA270" s="5" t="str">
        <f aca="false">IF($B270="","",IF(AZ270&gt;0,1,0))</f>
        <v/>
      </c>
      <c r="BB270" s="5" t="str">
        <f aca="false">IF($AP270="","",IF((($AP270="Engineering and Technology")+($AP270="Science and Mathematics")+($AP270="Computer Science, IT and Allied Fields")+($AP270="Life Sciences /Medicine and Healthcare")+($AP270="Paramedical")+($AP270="Architecture")+($AP270="Environmental Service")+($AP270="Agriculture, Food Industry and Forestry"))&gt;0,"Science",IF((($AP270="Banking and Finance")+($AP270="Management and Administration")+($AP270="Marketing")+($AP270="Sales")+($AP270="Entrepreneurship")+($AP270="Hospitality and Tourism"))&gt;0,"Commerce",IF((($AP270="Social Sciences and Humanities")+($AP270="Law Studies")+($AP270="Education and Training")+($AP270="Art, Design")+($AP270="Entertainment and Mass Media")+($AP270="Community and Social Service")+($AP270="Personal Care and Services")+($AP270="Government and Public Administration")+($AP270="Defence/ Protective Service")+($AP270="Sports"))&gt;0,"Arts / Humanities",""))))</f>
        <v/>
      </c>
      <c r="BC270" s="5" t="str">
        <f aca="false">IF($AL270="","",IF((($AL270="Engineering and Technology")+($AL270="Science and Mathematics")+($AL270="Computer Science, IT and Allied Fields")+($AL270="Life Sciences /Medicine and Healthcare")+($AL270="Paramedical")+($AL270="Architecture")+($AL270="Environmental Service")+($AL270="Agriculture, Food Industry and Forestry"))&gt;0,"Science",IF((($AL270="Banking and Finance")+($AL270="Management and Administration")+($AL270="Marketing")+($AL270="Sales")+($AL270="Entrepreneurship")+($AL270="Hospitality and Tourism"))&gt;0,"Commerce",IF((($AL270="Social Sciences and Humanities")+($AL270="Law Studies")+($AL270="Education and Training")+($AL270="Art, Design")+($AL270="Entertainment and Mass Media")+($AL270="Community and Social Service")+($AL270="Personal Care and Services")+($AL270="Government and Public Administration")+($AL270="Defence/ Protective Service")+($AL270="Sports"))&gt;0,"Arts / Humanities",""))))</f>
        <v/>
      </c>
      <c r="BD270" s="5" t="str">
        <f aca="false">IF($B270="","",--(F270&gt;=10)+--(G270&gt;=10)+--(H270&gt;=10)+--(I270&gt;=10)+--(J270&gt;=10)+--(K270&gt;=10)+--(L270&gt;=10)+--(M270&gt;=10)+--(N270&gt;=10)+--(O270&gt;=10))</f>
        <v/>
      </c>
      <c r="BE270" s="5" t="str">
        <f aca="false">IF($B270="","",--(AND(F270&lt;&gt;"",F270&lt;=8))+--(AND(G270&lt;&gt;"",G270&lt;=8))+--(AND(H270&lt;&gt;"",H270&lt;=8))+--(AND(I270&lt;&gt;"",I270&lt;=8))+--(AND(J270&lt;&gt;"",J270&lt;=8))+--(AND(K270&lt;&gt;"",K270&lt;=8))+--(AND(L270&lt;&gt;"",L270&lt;=8))+--(AND(M270&lt;&gt;"",M270&lt;=8))+--(AND(N270&lt;&gt;"",N270&lt;=8))+--(AND(O270&lt;&gt;"",O270&lt;=8)))</f>
        <v/>
      </c>
    </row>
    <row r="271" customFormat="false" ht="15" hidden="false" customHeight="false" outlineLevel="0" collapsed="false">
      <c r="AZ271" s="5" t="str">
        <f aca="false">IF($B271="","",SUMPRODUCT(($AL271:$AO271&lt;&gt;"")*(COUNTIF($AP271:$AX271,$AL271:$AO271)&gt;0)))</f>
        <v/>
      </c>
      <c r="BA271" s="5" t="str">
        <f aca="false">IF($B271="","",IF(AZ271&gt;0,1,0))</f>
        <v/>
      </c>
      <c r="BB271" s="5" t="str">
        <f aca="false">IF($AP271="","",IF((($AP271="Engineering and Technology")+($AP271="Science and Mathematics")+($AP271="Computer Science, IT and Allied Fields")+($AP271="Life Sciences /Medicine and Healthcare")+($AP271="Paramedical")+($AP271="Architecture")+($AP271="Environmental Service")+($AP271="Agriculture, Food Industry and Forestry"))&gt;0,"Science",IF((($AP271="Banking and Finance")+($AP271="Management and Administration")+($AP271="Marketing")+($AP271="Sales")+($AP271="Entrepreneurship")+($AP271="Hospitality and Tourism"))&gt;0,"Commerce",IF((($AP271="Social Sciences and Humanities")+($AP271="Law Studies")+($AP271="Education and Training")+($AP271="Art, Design")+($AP271="Entertainment and Mass Media")+($AP271="Community and Social Service")+($AP271="Personal Care and Services")+($AP271="Government and Public Administration")+($AP271="Defence/ Protective Service")+($AP271="Sports"))&gt;0,"Arts / Humanities",""))))</f>
        <v/>
      </c>
      <c r="BC271" s="5" t="str">
        <f aca="false">IF($AL271="","",IF((($AL271="Engineering and Technology")+($AL271="Science and Mathematics")+($AL271="Computer Science, IT and Allied Fields")+($AL271="Life Sciences /Medicine and Healthcare")+($AL271="Paramedical")+($AL271="Architecture")+($AL271="Environmental Service")+($AL271="Agriculture, Food Industry and Forestry"))&gt;0,"Science",IF((($AL271="Banking and Finance")+($AL271="Management and Administration")+($AL271="Marketing")+($AL271="Sales")+($AL271="Entrepreneurship")+($AL271="Hospitality and Tourism"))&gt;0,"Commerce",IF((($AL271="Social Sciences and Humanities")+($AL271="Law Studies")+($AL271="Education and Training")+($AL271="Art, Design")+($AL271="Entertainment and Mass Media")+($AL271="Community and Social Service")+($AL271="Personal Care and Services")+($AL271="Government and Public Administration")+($AL271="Defence/ Protective Service")+($AL271="Sports"))&gt;0,"Arts / Humanities",""))))</f>
        <v/>
      </c>
      <c r="BD271" s="5" t="str">
        <f aca="false">IF($B271="","",--(F271&gt;=10)+--(G271&gt;=10)+--(H271&gt;=10)+--(I271&gt;=10)+--(J271&gt;=10)+--(K271&gt;=10)+--(L271&gt;=10)+--(M271&gt;=10)+--(N271&gt;=10)+--(O271&gt;=10))</f>
        <v/>
      </c>
      <c r="BE271" s="5" t="str">
        <f aca="false">IF($B271="","",--(AND(F271&lt;&gt;"",F271&lt;=8))+--(AND(G271&lt;&gt;"",G271&lt;=8))+--(AND(H271&lt;&gt;"",H271&lt;=8))+--(AND(I271&lt;&gt;"",I271&lt;=8))+--(AND(J271&lt;&gt;"",J271&lt;=8))+--(AND(K271&lt;&gt;"",K271&lt;=8))+--(AND(L271&lt;&gt;"",L271&lt;=8))+--(AND(M271&lt;&gt;"",M271&lt;=8))+--(AND(N271&lt;&gt;"",N271&lt;=8))+--(AND(O271&lt;&gt;"",O271&lt;=8)))</f>
        <v/>
      </c>
    </row>
    <row r="272" customFormat="false" ht="15" hidden="false" customHeight="false" outlineLevel="0" collapsed="false">
      <c r="AZ272" s="5" t="str">
        <f aca="false">IF($B272="","",SUMPRODUCT(($AL272:$AO272&lt;&gt;"")*(COUNTIF($AP272:$AX272,$AL272:$AO272)&gt;0)))</f>
        <v/>
      </c>
      <c r="BA272" s="5" t="str">
        <f aca="false">IF($B272="","",IF(AZ272&gt;0,1,0))</f>
        <v/>
      </c>
      <c r="BB272" s="5" t="str">
        <f aca="false">IF($AP272="","",IF((($AP272="Engineering and Technology")+($AP272="Science and Mathematics")+($AP272="Computer Science, IT and Allied Fields")+($AP272="Life Sciences /Medicine and Healthcare")+($AP272="Paramedical")+($AP272="Architecture")+($AP272="Environmental Service")+($AP272="Agriculture, Food Industry and Forestry"))&gt;0,"Science",IF((($AP272="Banking and Finance")+($AP272="Management and Administration")+($AP272="Marketing")+($AP272="Sales")+($AP272="Entrepreneurship")+($AP272="Hospitality and Tourism"))&gt;0,"Commerce",IF((($AP272="Social Sciences and Humanities")+($AP272="Law Studies")+($AP272="Education and Training")+($AP272="Art, Design")+($AP272="Entertainment and Mass Media")+($AP272="Community and Social Service")+($AP272="Personal Care and Services")+($AP272="Government and Public Administration")+($AP272="Defence/ Protective Service")+($AP272="Sports"))&gt;0,"Arts / Humanities",""))))</f>
        <v/>
      </c>
      <c r="BC272" s="5" t="str">
        <f aca="false">IF($AL272="","",IF((($AL272="Engineering and Technology")+($AL272="Science and Mathematics")+($AL272="Computer Science, IT and Allied Fields")+($AL272="Life Sciences /Medicine and Healthcare")+($AL272="Paramedical")+($AL272="Architecture")+($AL272="Environmental Service")+($AL272="Agriculture, Food Industry and Forestry"))&gt;0,"Science",IF((($AL272="Banking and Finance")+($AL272="Management and Administration")+($AL272="Marketing")+($AL272="Sales")+($AL272="Entrepreneurship")+($AL272="Hospitality and Tourism"))&gt;0,"Commerce",IF((($AL272="Social Sciences and Humanities")+($AL272="Law Studies")+($AL272="Education and Training")+($AL272="Art, Design")+($AL272="Entertainment and Mass Media")+($AL272="Community and Social Service")+($AL272="Personal Care and Services")+($AL272="Government and Public Administration")+($AL272="Defence/ Protective Service")+($AL272="Sports"))&gt;0,"Arts / Humanities",""))))</f>
        <v/>
      </c>
      <c r="BD272" s="5" t="str">
        <f aca="false">IF($B272="","",--(F272&gt;=10)+--(G272&gt;=10)+--(H272&gt;=10)+--(I272&gt;=10)+--(J272&gt;=10)+--(K272&gt;=10)+--(L272&gt;=10)+--(M272&gt;=10)+--(N272&gt;=10)+--(O272&gt;=10))</f>
        <v/>
      </c>
      <c r="BE272" s="5" t="str">
        <f aca="false">IF($B272="","",--(AND(F272&lt;&gt;"",F272&lt;=8))+--(AND(G272&lt;&gt;"",G272&lt;=8))+--(AND(H272&lt;&gt;"",H272&lt;=8))+--(AND(I272&lt;&gt;"",I272&lt;=8))+--(AND(J272&lt;&gt;"",J272&lt;=8))+--(AND(K272&lt;&gt;"",K272&lt;=8))+--(AND(L272&lt;&gt;"",L272&lt;=8))+--(AND(M272&lt;&gt;"",M272&lt;=8))+--(AND(N272&lt;&gt;"",N272&lt;=8))+--(AND(O272&lt;&gt;"",O272&lt;=8)))</f>
        <v/>
      </c>
    </row>
    <row r="273" customFormat="false" ht="15" hidden="false" customHeight="false" outlineLevel="0" collapsed="false">
      <c r="AZ273" s="5" t="str">
        <f aca="false">IF($B273="","",SUMPRODUCT(($AL273:$AO273&lt;&gt;"")*(COUNTIF($AP273:$AX273,$AL273:$AO273)&gt;0)))</f>
        <v/>
      </c>
      <c r="BA273" s="5" t="str">
        <f aca="false">IF($B273="","",IF(AZ273&gt;0,1,0))</f>
        <v/>
      </c>
      <c r="BB273" s="5" t="str">
        <f aca="false">IF($AP273="","",IF((($AP273="Engineering and Technology")+($AP273="Science and Mathematics")+($AP273="Computer Science, IT and Allied Fields")+($AP273="Life Sciences /Medicine and Healthcare")+($AP273="Paramedical")+($AP273="Architecture")+($AP273="Environmental Service")+($AP273="Agriculture, Food Industry and Forestry"))&gt;0,"Science",IF((($AP273="Banking and Finance")+($AP273="Management and Administration")+($AP273="Marketing")+($AP273="Sales")+($AP273="Entrepreneurship")+($AP273="Hospitality and Tourism"))&gt;0,"Commerce",IF((($AP273="Social Sciences and Humanities")+($AP273="Law Studies")+($AP273="Education and Training")+($AP273="Art, Design")+($AP273="Entertainment and Mass Media")+($AP273="Community and Social Service")+($AP273="Personal Care and Services")+($AP273="Government and Public Administration")+($AP273="Defence/ Protective Service")+($AP273="Sports"))&gt;0,"Arts / Humanities",""))))</f>
        <v/>
      </c>
      <c r="BC273" s="5" t="str">
        <f aca="false">IF($AL273="","",IF((($AL273="Engineering and Technology")+($AL273="Science and Mathematics")+($AL273="Computer Science, IT and Allied Fields")+($AL273="Life Sciences /Medicine and Healthcare")+($AL273="Paramedical")+($AL273="Architecture")+($AL273="Environmental Service")+($AL273="Agriculture, Food Industry and Forestry"))&gt;0,"Science",IF((($AL273="Banking and Finance")+($AL273="Management and Administration")+($AL273="Marketing")+($AL273="Sales")+($AL273="Entrepreneurship")+($AL273="Hospitality and Tourism"))&gt;0,"Commerce",IF((($AL273="Social Sciences and Humanities")+($AL273="Law Studies")+($AL273="Education and Training")+($AL273="Art, Design")+($AL273="Entertainment and Mass Media")+($AL273="Community and Social Service")+($AL273="Personal Care and Services")+($AL273="Government and Public Administration")+($AL273="Defence/ Protective Service")+($AL273="Sports"))&gt;0,"Arts / Humanities",""))))</f>
        <v/>
      </c>
      <c r="BD273" s="5" t="str">
        <f aca="false">IF($B273="","",--(F273&gt;=10)+--(G273&gt;=10)+--(H273&gt;=10)+--(I273&gt;=10)+--(J273&gt;=10)+--(K273&gt;=10)+--(L273&gt;=10)+--(M273&gt;=10)+--(N273&gt;=10)+--(O273&gt;=10))</f>
        <v/>
      </c>
      <c r="BE273" s="5" t="str">
        <f aca="false">IF($B273="","",--(AND(F273&lt;&gt;"",F273&lt;=8))+--(AND(G273&lt;&gt;"",G273&lt;=8))+--(AND(H273&lt;&gt;"",H273&lt;=8))+--(AND(I273&lt;&gt;"",I273&lt;=8))+--(AND(J273&lt;&gt;"",J273&lt;=8))+--(AND(K273&lt;&gt;"",K273&lt;=8))+--(AND(L273&lt;&gt;"",L273&lt;=8))+--(AND(M273&lt;&gt;"",M273&lt;=8))+--(AND(N273&lt;&gt;"",N273&lt;=8))+--(AND(O273&lt;&gt;"",O273&lt;=8)))</f>
        <v/>
      </c>
    </row>
    <row r="274" customFormat="false" ht="15" hidden="false" customHeight="false" outlineLevel="0" collapsed="false">
      <c r="AZ274" s="5" t="str">
        <f aca="false">IF($B274="","",SUMPRODUCT(($AL274:$AO274&lt;&gt;"")*(COUNTIF($AP274:$AX274,$AL274:$AO274)&gt;0)))</f>
        <v/>
      </c>
      <c r="BA274" s="5" t="str">
        <f aca="false">IF($B274="","",IF(AZ274&gt;0,1,0))</f>
        <v/>
      </c>
      <c r="BB274" s="5" t="str">
        <f aca="false">IF($AP274="","",IF((($AP274="Engineering and Technology")+($AP274="Science and Mathematics")+($AP274="Computer Science, IT and Allied Fields")+($AP274="Life Sciences /Medicine and Healthcare")+($AP274="Paramedical")+($AP274="Architecture")+($AP274="Environmental Service")+($AP274="Agriculture, Food Industry and Forestry"))&gt;0,"Science",IF((($AP274="Banking and Finance")+($AP274="Management and Administration")+($AP274="Marketing")+($AP274="Sales")+($AP274="Entrepreneurship")+($AP274="Hospitality and Tourism"))&gt;0,"Commerce",IF((($AP274="Social Sciences and Humanities")+($AP274="Law Studies")+($AP274="Education and Training")+($AP274="Art, Design")+($AP274="Entertainment and Mass Media")+($AP274="Community and Social Service")+($AP274="Personal Care and Services")+($AP274="Government and Public Administration")+($AP274="Defence/ Protective Service")+($AP274="Sports"))&gt;0,"Arts / Humanities",""))))</f>
        <v/>
      </c>
      <c r="BC274" s="5" t="str">
        <f aca="false">IF($AL274="","",IF((($AL274="Engineering and Technology")+($AL274="Science and Mathematics")+($AL274="Computer Science, IT and Allied Fields")+($AL274="Life Sciences /Medicine and Healthcare")+($AL274="Paramedical")+($AL274="Architecture")+($AL274="Environmental Service")+($AL274="Agriculture, Food Industry and Forestry"))&gt;0,"Science",IF((($AL274="Banking and Finance")+($AL274="Management and Administration")+($AL274="Marketing")+($AL274="Sales")+($AL274="Entrepreneurship")+($AL274="Hospitality and Tourism"))&gt;0,"Commerce",IF((($AL274="Social Sciences and Humanities")+($AL274="Law Studies")+($AL274="Education and Training")+($AL274="Art, Design")+($AL274="Entertainment and Mass Media")+($AL274="Community and Social Service")+($AL274="Personal Care and Services")+($AL274="Government and Public Administration")+($AL274="Defence/ Protective Service")+($AL274="Sports"))&gt;0,"Arts / Humanities",""))))</f>
        <v/>
      </c>
      <c r="BD274" s="5" t="str">
        <f aca="false">IF($B274="","",--(F274&gt;=10)+--(G274&gt;=10)+--(H274&gt;=10)+--(I274&gt;=10)+--(J274&gt;=10)+--(K274&gt;=10)+--(L274&gt;=10)+--(M274&gt;=10)+--(N274&gt;=10)+--(O274&gt;=10))</f>
        <v/>
      </c>
      <c r="BE274" s="5" t="str">
        <f aca="false">IF($B274="","",--(AND(F274&lt;&gt;"",F274&lt;=8))+--(AND(G274&lt;&gt;"",G274&lt;=8))+--(AND(H274&lt;&gt;"",H274&lt;=8))+--(AND(I274&lt;&gt;"",I274&lt;=8))+--(AND(J274&lt;&gt;"",J274&lt;=8))+--(AND(K274&lt;&gt;"",K274&lt;=8))+--(AND(L274&lt;&gt;"",L274&lt;=8))+--(AND(M274&lt;&gt;"",M274&lt;=8))+--(AND(N274&lt;&gt;"",N274&lt;=8))+--(AND(O274&lt;&gt;"",O274&lt;=8)))</f>
        <v/>
      </c>
    </row>
    <row r="275" customFormat="false" ht="15" hidden="false" customHeight="false" outlineLevel="0" collapsed="false">
      <c r="AZ275" s="5" t="str">
        <f aca="false">IF($B275="","",SUMPRODUCT(($AL275:$AO275&lt;&gt;"")*(COUNTIF($AP275:$AX275,$AL275:$AO275)&gt;0)))</f>
        <v/>
      </c>
      <c r="BA275" s="5" t="str">
        <f aca="false">IF($B275="","",IF(AZ275&gt;0,1,0))</f>
        <v/>
      </c>
      <c r="BB275" s="5" t="str">
        <f aca="false">IF($AP275="","",IF((($AP275="Engineering and Technology")+($AP275="Science and Mathematics")+($AP275="Computer Science, IT and Allied Fields")+($AP275="Life Sciences /Medicine and Healthcare")+($AP275="Paramedical")+($AP275="Architecture")+($AP275="Environmental Service")+($AP275="Agriculture, Food Industry and Forestry"))&gt;0,"Science",IF((($AP275="Banking and Finance")+($AP275="Management and Administration")+($AP275="Marketing")+($AP275="Sales")+($AP275="Entrepreneurship")+($AP275="Hospitality and Tourism"))&gt;0,"Commerce",IF((($AP275="Social Sciences and Humanities")+($AP275="Law Studies")+($AP275="Education and Training")+($AP275="Art, Design")+($AP275="Entertainment and Mass Media")+($AP275="Community and Social Service")+($AP275="Personal Care and Services")+($AP275="Government and Public Administration")+($AP275="Defence/ Protective Service")+($AP275="Sports"))&gt;0,"Arts / Humanities",""))))</f>
        <v/>
      </c>
      <c r="BC275" s="5" t="str">
        <f aca="false">IF($AL275="","",IF((($AL275="Engineering and Technology")+($AL275="Science and Mathematics")+($AL275="Computer Science, IT and Allied Fields")+($AL275="Life Sciences /Medicine and Healthcare")+($AL275="Paramedical")+($AL275="Architecture")+($AL275="Environmental Service")+($AL275="Agriculture, Food Industry and Forestry"))&gt;0,"Science",IF((($AL275="Banking and Finance")+($AL275="Management and Administration")+($AL275="Marketing")+($AL275="Sales")+($AL275="Entrepreneurship")+($AL275="Hospitality and Tourism"))&gt;0,"Commerce",IF((($AL275="Social Sciences and Humanities")+($AL275="Law Studies")+($AL275="Education and Training")+($AL275="Art, Design")+($AL275="Entertainment and Mass Media")+($AL275="Community and Social Service")+($AL275="Personal Care and Services")+($AL275="Government and Public Administration")+($AL275="Defence/ Protective Service")+($AL275="Sports"))&gt;0,"Arts / Humanities",""))))</f>
        <v/>
      </c>
      <c r="BD275" s="5" t="str">
        <f aca="false">IF($B275="","",--(F275&gt;=10)+--(G275&gt;=10)+--(H275&gt;=10)+--(I275&gt;=10)+--(J275&gt;=10)+--(K275&gt;=10)+--(L275&gt;=10)+--(M275&gt;=10)+--(N275&gt;=10)+--(O275&gt;=10))</f>
        <v/>
      </c>
      <c r="BE275" s="5" t="str">
        <f aca="false">IF($B275="","",--(AND(F275&lt;&gt;"",F275&lt;=8))+--(AND(G275&lt;&gt;"",G275&lt;=8))+--(AND(H275&lt;&gt;"",H275&lt;=8))+--(AND(I275&lt;&gt;"",I275&lt;=8))+--(AND(J275&lt;&gt;"",J275&lt;=8))+--(AND(K275&lt;&gt;"",K275&lt;=8))+--(AND(L275&lt;&gt;"",L275&lt;=8))+--(AND(M275&lt;&gt;"",M275&lt;=8))+--(AND(N275&lt;&gt;"",N275&lt;=8))+--(AND(O275&lt;&gt;"",O275&lt;=8)))</f>
        <v/>
      </c>
    </row>
    <row r="276" customFormat="false" ht="15" hidden="false" customHeight="false" outlineLevel="0" collapsed="false">
      <c r="AZ276" s="5" t="str">
        <f aca="false">IF($B276="","",SUMPRODUCT(($AL276:$AO276&lt;&gt;"")*(COUNTIF($AP276:$AX276,$AL276:$AO276)&gt;0)))</f>
        <v/>
      </c>
      <c r="BA276" s="5" t="str">
        <f aca="false">IF($B276="","",IF(AZ276&gt;0,1,0))</f>
        <v/>
      </c>
      <c r="BB276" s="5" t="str">
        <f aca="false">IF($AP276="","",IF((($AP276="Engineering and Technology")+($AP276="Science and Mathematics")+($AP276="Computer Science, IT and Allied Fields")+($AP276="Life Sciences /Medicine and Healthcare")+($AP276="Paramedical")+($AP276="Architecture")+($AP276="Environmental Service")+($AP276="Agriculture, Food Industry and Forestry"))&gt;0,"Science",IF((($AP276="Banking and Finance")+($AP276="Management and Administration")+($AP276="Marketing")+($AP276="Sales")+($AP276="Entrepreneurship")+($AP276="Hospitality and Tourism"))&gt;0,"Commerce",IF((($AP276="Social Sciences and Humanities")+($AP276="Law Studies")+($AP276="Education and Training")+($AP276="Art, Design")+($AP276="Entertainment and Mass Media")+($AP276="Community and Social Service")+($AP276="Personal Care and Services")+($AP276="Government and Public Administration")+($AP276="Defence/ Protective Service")+($AP276="Sports"))&gt;0,"Arts / Humanities",""))))</f>
        <v/>
      </c>
      <c r="BC276" s="5" t="str">
        <f aca="false">IF($AL276="","",IF((($AL276="Engineering and Technology")+($AL276="Science and Mathematics")+($AL276="Computer Science, IT and Allied Fields")+($AL276="Life Sciences /Medicine and Healthcare")+($AL276="Paramedical")+($AL276="Architecture")+($AL276="Environmental Service")+($AL276="Agriculture, Food Industry and Forestry"))&gt;0,"Science",IF((($AL276="Banking and Finance")+($AL276="Management and Administration")+($AL276="Marketing")+($AL276="Sales")+($AL276="Entrepreneurship")+($AL276="Hospitality and Tourism"))&gt;0,"Commerce",IF((($AL276="Social Sciences and Humanities")+($AL276="Law Studies")+($AL276="Education and Training")+($AL276="Art, Design")+($AL276="Entertainment and Mass Media")+($AL276="Community and Social Service")+($AL276="Personal Care and Services")+($AL276="Government and Public Administration")+($AL276="Defence/ Protective Service")+($AL276="Sports"))&gt;0,"Arts / Humanities",""))))</f>
        <v/>
      </c>
      <c r="BD276" s="5" t="str">
        <f aca="false">IF($B276="","",--(F276&gt;=10)+--(G276&gt;=10)+--(H276&gt;=10)+--(I276&gt;=10)+--(J276&gt;=10)+--(K276&gt;=10)+--(L276&gt;=10)+--(M276&gt;=10)+--(N276&gt;=10)+--(O276&gt;=10))</f>
        <v/>
      </c>
      <c r="BE276" s="5" t="str">
        <f aca="false">IF($B276="","",--(AND(F276&lt;&gt;"",F276&lt;=8))+--(AND(G276&lt;&gt;"",G276&lt;=8))+--(AND(H276&lt;&gt;"",H276&lt;=8))+--(AND(I276&lt;&gt;"",I276&lt;=8))+--(AND(J276&lt;&gt;"",J276&lt;=8))+--(AND(K276&lt;&gt;"",K276&lt;=8))+--(AND(L276&lt;&gt;"",L276&lt;=8))+--(AND(M276&lt;&gt;"",M276&lt;=8))+--(AND(N276&lt;&gt;"",N276&lt;=8))+--(AND(O276&lt;&gt;"",O276&lt;=8)))</f>
        <v/>
      </c>
    </row>
    <row r="277" customFormat="false" ht="15" hidden="false" customHeight="false" outlineLevel="0" collapsed="false">
      <c r="AZ277" s="5" t="str">
        <f aca="false">IF($B277="","",SUMPRODUCT(($AL277:$AO277&lt;&gt;"")*(COUNTIF($AP277:$AX277,$AL277:$AO277)&gt;0)))</f>
        <v/>
      </c>
      <c r="BA277" s="5" t="str">
        <f aca="false">IF($B277="","",IF(AZ277&gt;0,1,0))</f>
        <v/>
      </c>
      <c r="BB277" s="5" t="str">
        <f aca="false">IF($AP277="","",IF((($AP277="Engineering and Technology")+($AP277="Science and Mathematics")+($AP277="Computer Science, IT and Allied Fields")+($AP277="Life Sciences /Medicine and Healthcare")+($AP277="Paramedical")+($AP277="Architecture")+($AP277="Environmental Service")+($AP277="Agriculture, Food Industry and Forestry"))&gt;0,"Science",IF((($AP277="Banking and Finance")+($AP277="Management and Administration")+($AP277="Marketing")+($AP277="Sales")+($AP277="Entrepreneurship")+($AP277="Hospitality and Tourism"))&gt;0,"Commerce",IF((($AP277="Social Sciences and Humanities")+($AP277="Law Studies")+($AP277="Education and Training")+($AP277="Art, Design")+($AP277="Entertainment and Mass Media")+($AP277="Community and Social Service")+($AP277="Personal Care and Services")+($AP277="Government and Public Administration")+($AP277="Defence/ Protective Service")+($AP277="Sports"))&gt;0,"Arts / Humanities",""))))</f>
        <v/>
      </c>
      <c r="BC277" s="5" t="str">
        <f aca="false">IF($AL277="","",IF((($AL277="Engineering and Technology")+($AL277="Science and Mathematics")+($AL277="Computer Science, IT and Allied Fields")+($AL277="Life Sciences /Medicine and Healthcare")+($AL277="Paramedical")+($AL277="Architecture")+($AL277="Environmental Service")+($AL277="Agriculture, Food Industry and Forestry"))&gt;0,"Science",IF((($AL277="Banking and Finance")+($AL277="Management and Administration")+($AL277="Marketing")+($AL277="Sales")+($AL277="Entrepreneurship")+($AL277="Hospitality and Tourism"))&gt;0,"Commerce",IF((($AL277="Social Sciences and Humanities")+($AL277="Law Studies")+($AL277="Education and Training")+($AL277="Art, Design")+($AL277="Entertainment and Mass Media")+($AL277="Community and Social Service")+($AL277="Personal Care and Services")+($AL277="Government and Public Administration")+($AL277="Defence/ Protective Service")+($AL277="Sports"))&gt;0,"Arts / Humanities",""))))</f>
        <v/>
      </c>
      <c r="BD277" s="5" t="str">
        <f aca="false">IF($B277="","",--(F277&gt;=10)+--(G277&gt;=10)+--(H277&gt;=10)+--(I277&gt;=10)+--(J277&gt;=10)+--(K277&gt;=10)+--(L277&gt;=10)+--(M277&gt;=10)+--(N277&gt;=10)+--(O277&gt;=10))</f>
        <v/>
      </c>
      <c r="BE277" s="5" t="str">
        <f aca="false">IF($B277="","",--(AND(F277&lt;&gt;"",F277&lt;=8))+--(AND(G277&lt;&gt;"",G277&lt;=8))+--(AND(H277&lt;&gt;"",H277&lt;=8))+--(AND(I277&lt;&gt;"",I277&lt;=8))+--(AND(J277&lt;&gt;"",J277&lt;=8))+--(AND(K277&lt;&gt;"",K277&lt;=8))+--(AND(L277&lt;&gt;"",L277&lt;=8))+--(AND(M277&lt;&gt;"",M277&lt;=8))+--(AND(N277&lt;&gt;"",N277&lt;=8))+--(AND(O277&lt;&gt;"",O277&lt;=8)))</f>
        <v/>
      </c>
    </row>
    <row r="278" customFormat="false" ht="15" hidden="false" customHeight="false" outlineLevel="0" collapsed="false">
      <c r="AZ278" s="5" t="str">
        <f aca="false">IF($B278="","",SUMPRODUCT(($AL278:$AO278&lt;&gt;"")*(COUNTIF($AP278:$AX278,$AL278:$AO278)&gt;0)))</f>
        <v/>
      </c>
      <c r="BA278" s="5" t="str">
        <f aca="false">IF($B278="","",IF(AZ278&gt;0,1,0))</f>
        <v/>
      </c>
      <c r="BB278" s="5" t="str">
        <f aca="false">IF($AP278="","",IF((($AP278="Engineering and Technology")+($AP278="Science and Mathematics")+($AP278="Computer Science, IT and Allied Fields")+($AP278="Life Sciences /Medicine and Healthcare")+($AP278="Paramedical")+($AP278="Architecture")+($AP278="Environmental Service")+($AP278="Agriculture, Food Industry and Forestry"))&gt;0,"Science",IF((($AP278="Banking and Finance")+($AP278="Management and Administration")+($AP278="Marketing")+($AP278="Sales")+($AP278="Entrepreneurship")+($AP278="Hospitality and Tourism"))&gt;0,"Commerce",IF((($AP278="Social Sciences and Humanities")+($AP278="Law Studies")+($AP278="Education and Training")+($AP278="Art, Design")+($AP278="Entertainment and Mass Media")+($AP278="Community and Social Service")+($AP278="Personal Care and Services")+($AP278="Government and Public Administration")+($AP278="Defence/ Protective Service")+($AP278="Sports"))&gt;0,"Arts / Humanities",""))))</f>
        <v/>
      </c>
      <c r="BC278" s="5" t="str">
        <f aca="false">IF($AL278="","",IF((($AL278="Engineering and Technology")+($AL278="Science and Mathematics")+($AL278="Computer Science, IT and Allied Fields")+($AL278="Life Sciences /Medicine and Healthcare")+($AL278="Paramedical")+($AL278="Architecture")+($AL278="Environmental Service")+($AL278="Agriculture, Food Industry and Forestry"))&gt;0,"Science",IF((($AL278="Banking and Finance")+($AL278="Management and Administration")+($AL278="Marketing")+($AL278="Sales")+($AL278="Entrepreneurship")+($AL278="Hospitality and Tourism"))&gt;0,"Commerce",IF((($AL278="Social Sciences and Humanities")+($AL278="Law Studies")+($AL278="Education and Training")+($AL278="Art, Design")+($AL278="Entertainment and Mass Media")+($AL278="Community and Social Service")+($AL278="Personal Care and Services")+($AL278="Government and Public Administration")+($AL278="Defence/ Protective Service")+($AL278="Sports"))&gt;0,"Arts / Humanities",""))))</f>
        <v/>
      </c>
      <c r="BD278" s="5" t="str">
        <f aca="false">IF($B278="","",--(F278&gt;=10)+--(G278&gt;=10)+--(H278&gt;=10)+--(I278&gt;=10)+--(J278&gt;=10)+--(K278&gt;=10)+--(L278&gt;=10)+--(M278&gt;=10)+--(N278&gt;=10)+--(O278&gt;=10))</f>
        <v/>
      </c>
      <c r="BE278" s="5" t="str">
        <f aca="false">IF($B278="","",--(AND(F278&lt;&gt;"",F278&lt;=8))+--(AND(G278&lt;&gt;"",G278&lt;=8))+--(AND(H278&lt;&gt;"",H278&lt;=8))+--(AND(I278&lt;&gt;"",I278&lt;=8))+--(AND(J278&lt;&gt;"",J278&lt;=8))+--(AND(K278&lt;&gt;"",K278&lt;=8))+--(AND(L278&lt;&gt;"",L278&lt;=8))+--(AND(M278&lt;&gt;"",M278&lt;=8))+--(AND(N278&lt;&gt;"",N278&lt;=8))+--(AND(O278&lt;&gt;"",O278&lt;=8)))</f>
        <v/>
      </c>
    </row>
    <row r="279" customFormat="false" ht="15" hidden="false" customHeight="false" outlineLevel="0" collapsed="false">
      <c r="AZ279" s="5" t="str">
        <f aca="false">IF($B279="","",SUMPRODUCT(($AL279:$AO279&lt;&gt;"")*(COUNTIF($AP279:$AX279,$AL279:$AO279)&gt;0)))</f>
        <v/>
      </c>
      <c r="BA279" s="5" t="str">
        <f aca="false">IF($B279="","",IF(AZ279&gt;0,1,0))</f>
        <v/>
      </c>
      <c r="BB279" s="5" t="str">
        <f aca="false">IF($AP279="","",IF((($AP279="Engineering and Technology")+($AP279="Science and Mathematics")+($AP279="Computer Science, IT and Allied Fields")+($AP279="Life Sciences /Medicine and Healthcare")+($AP279="Paramedical")+($AP279="Architecture")+($AP279="Environmental Service")+($AP279="Agriculture, Food Industry and Forestry"))&gt;0,"Science",IF((($AP279="Banking and Finance")+($AP279="Management and Administration")+($AP279="Marketing")+($AP279="Sales")+($AP279="Entrepreneurship")+($AP279="Hospitality and Tourism"))&gt;0,"Commerce",IF((($AP279="Social Sciences and Humanities")+($AP279="Law Studies")+($AP279="Education and Training")+($AP279="Art, Design")+($AP279="Entertainment and Mass Media")+($AP279="Community and Social Service")+($AP279="Personal Care and Services")+($AP279="Government and Public Administration")+($AP279="Defence/ Protective Service")+($AP279="Sports"))&gt;0,"Arts / Humanities",""))))</f>
        <v/>
      </c>
      <c r="BC279" s="5" t="str">
        <f aca="false">IF($AL279="","",IF((($AL279="Engineering and Technology")+($AL279="Science and Mathematics")+($AL279="Computer Science, IT and Allied Fields")+($AL279="Life Sciences /Medicine and Healthcare")+($AL279="Paramedical")+($AL279="Architecture")+($AL279="Environmental Service")+($AL279="Agriculture, Food Industry and Forestry"))&gt;0,"Science",IF((($AL279="Banking and Finance")+($AL279="Management and Administration")+($AL279="Marketing")+($AL279="Sales")+($AL279="Entrepreneurship")+($AL279="Hospitality and Tourism"))&gt;0,"Commerce",IF((($AL279="Social Sciences and Humanities")+($AL279="Law Studies")+($AL279="Education and Training")+($AL279="Art, Design")+($AL279="Entertainment and Mass Media")+($AL279="Community and Social Service")+($AL279="Personal Care and Services")+($AL279="Government and Public Administration")+($AL279="Defence/ Protective Service")+($AL279="Sports"))&gt;0,"Arts / Humanities",""))))</f>
        <v/>
      </c>
      <c r="BD279" s="5" t="str">
        <f aca="false">IF($B279="","",--(F279&gt;=10)+--(G279&gt;=10)+--(H279&gt;=10)+--(I279&gt;=10)+--(J279&gt;=10)+--(K279&gt;=10)+--(L279&gt;=10)+--(M279&gt;=10)+--(N279&gt;=10)+--(O279&gt;=10))</f>
        <v/>
      </c>
      <c r="BE279" s="5" t="str">
        <f aca="false">IF($B279="","",--(AND(F279&lt;&gt;"",F279&lt;=8))+--(AND(G279&lt;&gt;"",G279&lt;=8))+--(AND(H279&lt;&gt;"",H279&lt;=8))+--(AND(I279&lt;&gt;"",I279&lt;=8))+--(AND(J279&lt;&gt;"",J279&lt;=8))+--(AND(K279&lt;&gt;"",K279&lt;=8))+--(AND(L279&lt;&gt;"",L279&lt;=8))+--(AND(M279&lt;&gt;"",M279&lt;=8))+--(AND(N279&lt;&gt;"",N279&lt;=8))+--(AND(O279&lt;&gt;"",O279&lt;=8)))</f>
        <v/>
      </c>
    </row>
    <row r="280" customFormat="false" ht="15" hidden="false" customHeight="false" outlineLevel="0" collapsed="false">
      <c r="AZ280" s="5" t="str">
        <f aca="false">IF($B280="","",SUMPRODUCT(($AL280:$AO280&lt;&gt;"")*(COUNTIF($AP280:$AX280,$AL280:$AO280)&gt;0)))</f>
        <v/>
      </c>
      <c r="BA280" s="5" t="str">
        <f aca="false">IF($B280="","",IF(AZ280&gt;0,1,0))</f>
        <v/>
      </c>
      <c r="BB280" s="5" t="str">
        <f aca="false">IF($AP280="","",IF((($AP280="Engineering and Technology")+($AP280="Science and Mathematics")+($AP280="Computer Science, IT and Allied Fields")+($AP280="Life Sciences /Medicine and Healthcare")+($AP280="Paramedical")+($AP280="Architecture")+($AP280="Environmental Service")+($AP280="Agriculture, Food Industry and Forestry"))&gt;0,"Science",IF((($AP280="Banking and Finance")+($AP280="Management and Administration")+($AP280="Marketing")+($AP280="Sales")+($AP280="Entrepreneurship")+($AP280="Hospitality and Tourism"))&gt;0,"Commerce",IF((($AP280="Social Sciences and Humanities")+($AP280="Law Studies")+($AP280="Education and Training")+($AP280="Art, Design")+($AP280="Entertainment and Mass Media")+($AP280="Community and Social Service")+($AP280="Personal Care and Services")+($AP280="Government and Public Administration")+($AP280="Defence/ Protective Service")+($AP280="Sports"))&gt;0,"Arts / Humanities",""))))</f>
        <v/>
      </c>
      <c r="BC280" s="5" t="str">
        <f aca="false">IF($AL280="","",IF((($AL280="Engineering and Technology")+($AL280="Science and Mathematics")+($AL280="Computer Science, IT and Allied Fields")+($AL280="Life Sciences /Medicine and Healthcare")+($AL280="Paramedical")+($AL280="Architecture")+($AL280="Environmental Service")+($AL280="Agriculture, Food Industry and Forestry"))&gt;0,"Science",IF((($AL280="Banking and Finance")+($AL280="Management and Administration")+($AL280="Marketing")+($AL280="Sales")+($AL280="Entrepreneurship")+($AL280="Hospitality and Tourism"))&gt;0,"Commerce",IF((($AL280="Social Sciences and Humanities")+($AL280="Law Studies")+($AL280="Education and Training")+($AL280="Art, Design")+($AL280="Entertainment and Mass Media")+($AL280="Community and Social Service")+($AL280="Personal Care and Services")+($AL280="Government and Public Administration")+($AL280="Defence/ Protective Service")+($AL280="Sports"))&gt;0,"Arts / Humanities",""))))</f>
        <v/>
      </c>
      <c r="BD280" s="5" t="str">
        <f aca="false">IF($B280="","",--(F280&gt;=10)+--(G280&gt;=10)+--(H280&gt;=10)+--(I280&gt;=10)+--(J280&gt;=10)+--(K280&gt;=10)+--(L280&gt;=10)+--(M280&gt;=10)+--(N280&gt;=10)+--(O280&gt;=10))</f>
        <v/>
      </c>
      <c r="BE280" s="5" t="str">
        <f aca="false">IF($B280="","",--(AND(F280&lt;&gt;"",F280&lt;=8))+--(AND(G280&lt;&gt;"",G280&lt;=8))+--(AND(H280&lt;&gt;"",H280&lt;=8))+--(AND(I280&lt;&gt;"",I280&lt;=8))+--(AND(J280&lt;&gt;"",J280&lt;=8))+--(AND(K280&lt;&gt;"",K280&lt;=8))+--(AND(L280&lt;&gt;"",L280&lt;=8))+--(AND(M280&lt;&gt;"",M280&lt;=8))+--(AND(N280&lt;&gt;"",N280&lt;=8))+--(AND(O280&lt;&gt;"",O280&lt;=8)))</f>
        <v/>
      </c>
    </row>
    <row r="281" customFormat="false" ht="15" hidden="false" customHeight="false" outlineLevel="0" collapsed="false">
      <c r="AZ281" s="5" t="str">
        <f aca="false">IF($B281="","",SUMPRODUCT(($AL281:$AO281&lt;&gt;"")*(COUNTIF($AP281:$AX281,$AL281:$AO281)&gt;0)))</f>
        <v/>
      </c>
      <c r="BA281" s="5" t="str">
        <f aca="false">IF($B281="","",IF(AZ281&gt;0,1,0))</f>
        <v/>
      </c>
      <c r="BB281" s="5" t="str">
        <f aca="false">IF($AP281="","",IF((($AP281="Engineering and Technology")+($AP281="Science and Mathematics")+($AP281="Computer Science, IT and Allied Fields")+($AP281="Life Sciences /Medicine and Healthcare")+($AP281="Paramedical")+($AP281="Architecture")+($AP281="Environmental Service")+($AP281="Agriculture, Food Industry and Forestry"))&gt;0,"Science",IF((($AP281="Banking and Finance")+($AP281="Management and Administration")+($AP281="Marketing")+($AP281="Sales")+($AP281="Entrepreneurship")+($AP281="Hospitality and Tourism"))&gt;0,"Commerce",IF((($AP281="Social Sciences and Humanities")+($AP281="Law Studies")+($AP281="Education and Training")+($AP281="Art, Design")+($AP281="Entertainment and Mass Media")+($AP281="Community and Social Service")+($AP281="Personal Care and Services")+($AP281="Government and Public Administration")+($AP281="Defence/ Protective Service")+($AP281="Sports"))&gt;0,"Arts / Humanities",""))))</f>
        <v/>
      </c>
      <c r="BC281" s="5" t="str">
        <f aca="false">IF($AL281="","",IF((($AL281="Engineering and Technology")+($AL281="Science and Mathematics")+($AL281="Computer Science, IT and Allied Fields")+($AL281="Life Sciences /Medicine and Healthcare")+($AL281="Paramedical")+($AL281="Architecture")+($AL281="Environmental Service")+($AL281="Agriculture, Food Industry and Forestry"))&gt;0,"Science",IF((($AL281="Banking and Finance")+($AL281="Management and Administration")+($AL281="Marketing")+($AL281="Sales")+($AL281="Entrepreneurship")+($AL281="Hospitality and Tourism"))&gt;0,"Commerce",IF((($AL281="Social Sciences and Humanities")+($AL281="Law Studies")+($AL281="Education and Training")+($AL281="Art, Design")+($AL281="Entertainment and Mass Media")+($AL281="Community and Social Service")+($AL281="Personal Care and Services")+($AL281="Government and Public Administration")+($AL281="Defence/ Protective Service")+($AL281="Sports"))&gt;0,"Arts / Humanities",""))))</f>
        <v/>
      </c>
      <c r="BD281" s="5" t="str">
        <f aca="false">IF($B281="","",--(F281&gt;=10)+--(G281&gt;=10)+--(H281&gt;=10)+--(I281&gt;=10)+--(J281&gt;=10)+--(K281&gt;=10)+--(L281&gt;=10)+--(M281&gt;=10)+--(N281&gt;=10)+--(O281&gt;=10))</f>
        <v/>
      </c>
      <c r="BE281" s="5" t="str">
        <f aca="false">IF($B281="","",--(AND(F281&lt;&gt;"",F281&lt;=8))+--(AND(G281&lt;&gt;"",G281&lt;=8))+--(AND(H281&lt;&gt;"",H281&lt;=8))+--(AND(I281&lt;&gt;"",I281&lt;=8))+--(AND(J281&lt;&gt;"",J281&lt;=8))+--(AND(K281&lt;&gt;"",K281&lt;=8))+--(AND(L281&lt;&gt;"",L281&lt;=8))+--(AND(M281&lt;&gt;"",M281&lt;=8))+--(AND(N281&lt;&gt;"",N281&lt;=8))+--(AND(O281&lt;&gt;"",O281&lt;=8)))</f>
        <v/>
      </c>
    </row>
    <row r="282" customFormat="false" ht="15" hidden="false" customHeight="false" outlineLevel="0" collapsed="false">
      <c r="AZ282" s="5" t="str">
        <f aca="false">IF($B282="","",SUMPRODUCT(($AL282:$AO282&lt;&gt;"")*(COUNTIF($AP282:$AX282,$AL282:$AO282)&gt;0)))</f>
        <v/>
      </c>
      <c r="BA282" s="5" t="str">
        <f aca="false">IF($B282="","",IF(AZ282&gt;0,1,0))</f>
        <v/>
      </c>
      <c r="BB282" s="5" t="str">
        <f aca="false">IF($AP282="","",IF((($AP282="Engineering and Technology")+($AP282="Science and Mathematics")+($AP282="Computer Science, IT and Allied Fields")+($AP282="Life Sciences /Medicine and Healthcare")+($AP282="Paramedical")+($AP282="Architecture")+($AP282="Environmental Service")+($AP282="Agriculture, Food Industry and Forestry"))&gt;0,"Science",IF((($AP282="Banking and Finance")+($AP282="Management and Administration")+($AP282="Marketing")+($AP282="Sales")+($AP282="Entrepreneurship")+($AP282="Hospitality and Tourism"))&gt;0,"Commerce",IF((($AP282="Social Sciences and Humanities")+($AP282="Law Studies")+($AP282="Education and Training")+($AP282="Art, Design")+($AP282="Entertainment and Mass Media")+($AP282="Community and Social Service")+($AP282="Personal Care and Services")+($AP282="Government and Public Administration")+($AP282="Defence/ Protective Service")+($AP282="Sports"))&gt;0,"Arts / Humanities",""))))</f>
        <v/>
      </c>
      <c r="BC282" s="5" t="str">
        <f aca="false">IF($AL282="","",IF((($AL282="Engineering and Technology")+($AL282="Science and Mathematics")+($AL282="Computer Science, IT and Allied Fields")+($AL282="Life Sciences /Medicine and Healthcare")+($AL282="Paramedical")+($AL282="Architecture")+($AL282="Environmental Service")+($AL282="Agriculture, Food Industry and Forestry"))&gt;0,"Science",IF((($AL282="Banking and Finance")+($AL282="Management and Administration")+($AL282="Marketing")+($AL282="Sales")+($AL282="Entrepreneurship")+($AL282="Hospitality and Tourism"))&gt;0,"Commerce",IF((($AL282="Social Sciences and Humanities")+($AL282="Law Studies")+($AL282="Education and Training")+($AL282="Art, Design")+($AL282="Entertainment and Mass Media")+($AL282="Community and Social Service")+($AL282="Personal Care and Services")+($AL282="Government and Public Administration")+($AL282="Defence/ Protective Service")+($AL282="Sports"))&gt;0,"Arts / Humanities",""))))</f>
        <v/>
      </c>
      <c r="BD282" s="5" t="str">
        <f aca="false">IF($B282="","",--(F282&gt;=10)+--(G282&gt;=10)+--(H282&gt;=10)+--(I282&gt;=10)+--(J282&gt;=10)+--(K282&gt;=10)+--(L282&gt;=10)+--(M282&gt;=10)+--(N282&gt;=10)+--(O282&gt;=10))</f>
        <v/>
      </c>
      <c r="BE282" s="5" t="str">
        <f aca="false">IF($B282="","",--(AND(F282&lt;&gt;"",F282&lt;=8))+--(AND(G282&lt;&gt;"",G282&lt;=8))+--(AND(H282&lt;&gt;"",H282&lt;=8))+--(AND(I282&lt;&gt;"",I282&lt;=8))+--(AND(J282&lt;&gt;"",J282&lt;=8))+--(AND(K282&lt;&gt;"",K282&lt;=8))+--(AND(L282&lt;&gt;"",L282&lt;=8))+--(AND(M282&lt;&gt;"",M282&lt;=8))+--(AND(N282&lt;&gt;"",N282&lt;=8))+--(AND(O282&lt;&gt;"",O282&lt;=8)))</f>
        <v/>
      </c>
    </row>
    <row r="283" customFormat="false" ht="15" hidden="false" customHeight="false" outlineLevel="0" collapsed="false">
      <c r="AZ283" s="5" t="str">
        <f aca="false">IF($B283="","",SUMPRODUCT(($AL283:$AO283&lt;&gt;"")*(COUNTIF($AP283:$AX283,$AL283:$AO283)&gt;0)))</f>
        <v/>
      </c>
      <c r="BA283" s="5" t="str">
        <f aca="false">IF($B283="","",IF(AZ283&gt;0,1,0))</f>
        <v/>
      </c>
      <c r="BB283" s="5" t="str">
        <f aca="false">IF($AP283="","",IF((($AP283="Engineering and Technology")+($AP283="Science and Mathematics")+($AP283="Computer Science, IT and Allied Fields")+($AP283="Life Sciences /Medicine and Healthcare")+($AP283="Paramedical")+($AP283="Architecture")+($AP283="Environmental Service")+($AP283="Agriculture, Food Industry and Forestry"))&gt;0,"Science",IF((($AP283="Banking and Finance")+($AP283="Management and Administration")+($AP283="Marketing")+($AP283="Sales")+($AP283="Entrepreneurship")+($AP283="Hospitality and Tourism"))&gt;0,"Commerce",IF((($AP283="Social Sciences and Humanities")+($AP283="Law Studies")+($AP283="Education and Training")+($AP283="Art, Design")+($AP283="Entertainment and Mass Media")+($AP283="Community and Social Service")+($AP283="Personal Care and Services")+($AP283="Government and Public Administration")+($AP283="Defence/ Protective Service")+($AP283="Sports"))&gt;0,"Arts / Humanities",""))))</f>
        <v/>
      </c>
      <c r="BC283" s="5" t="str">
        <f aca="false">IF($AL283="","",IF((($AL283="Engineering and Technology")+($AL283="Science and Mathematics")+($AL283="Computer Science, IT and Allied Fields")+($AL283="Life Sciences /Medicine and Healthcare")+($AL283="Paramedical")+($AL283="Architecture")+($AL283="Environmental Service")+($AL283="Agriculture, Food Industry and Forestry"))&gt;0,"Science",IF((($AL283="Banking and Finance")+($AL283="Management and Administration")+($AL283="Marketing")+($AL283="Sales")+($AL283="Entrepreneurship")+($AL283="Hospitality and Tourism"))&gt;0,"Commerce",IF((($AL283="Social Sciences and Humanities")+($AL283="Law Studies")+($AL283="Education and Training")+($AL283="Art, Design")+($AL283="Entertainment and Mass Media")+($AL283="Community and Social Service")+($AL283="Personal Care and Services")+($AL283="Government and Public Administration")+($AL283="Defence/ Protective Service")+($AL283="Sports"))&gt;0,"Arts / Humanities",""))))</f>
        <v/>
      </c>
      <c r="BD283" s="5" t="str">
        <f aca="false">IF($B283="","",--(F283&gt;=10)+--(G283&gt;=10)+--(H283&gt;=10)+--(I283&gt;=10)+--(J283&gt;=10)+--(K283&gt;=10)+--(L283&gt;=10)+--(M283&gt;=10)+--(N283&gt;=10)+--(O283&gt;=10))</f>
        <v/>
      </c>
      <c r="BE283" s="5" t="str">
        <f aca="false">IF($B283="","",--(AND(F283&lt;&gt;"",F283&lt;=8))+--(AND(G283&lt;&gt;"",G283&lt;=8))+--(AND(H283&lt;&gt;"",H283&lt;=8))+--(AND(I283&lt;&gt;"",I283&lt;=8))+--(AND(J283&lt;&gt;"",J283&lt;=8))+--(AND(K283&lt;&gt;"",K283&lt;=8))+--(AND(L283&lt;&gt;"",L283&lt;=8))+--(AND(M283&lt;&gt;"",M283&lt;=8))+--(AND(N283&lt;&gt;"",N283&lt;=8))+--(AND(O283&lt;&gt;"",O283&lt;=8)))</f>
        <v/>
      </c>
    </row>
    <row r="284" customFormat="false" ht="15" hidden="false" customHeight="false" outlineLevel="0" collapsed="false">
      <c r="AZ284" s="5" t="str">
        <f aca="false">IF($B284="","",SUMPRODUCT(($AL284:$AO284&lt;&gt;"")*(COUNTIF($AP284:$AX284,$AL284:$AO284)&gt;0)))</f>
        <v/>
      </c>
      <c r="BA284" s="5" t="str">
        <f aca="false">IF($B284="","",IF(AZ284&gt;0,1,0))</f>
        <v/>
      </c>
      <c r="BB284" s="5" t="str">
        <f aca="false">IF($AP284="","",IF((($AP284="Engineering and Technology")+($AP284="Science and Mathematics")+($AP284="Computer Science, IT and Allied Fields")+($AP284="Life Sciences /Medicine and Healthcare")+($AP284="Paramedical")+($AP284="Architecture")+($AP284="Environmental Service")+($AP284="Agriculture, Food Industry and Forestry"))&gt;0,"Science",IF((($AP284="Banking and Finance")+($AP284="Management and Administration")+($AP284="Marketing")+($AP284="Sales")+($AP284="Entrepreneurship")+($AP284="Hospitality and Tourism"))&gt;0,"Commerce",IF((($AP284="Social Sciences and Humanities")+($AP284="Law Studies")+($AP284="Education and Training")+($AP284="Art, Design")+($AP284="Entertainment and Mass Media")+($AP284="Community and Social Service")+($AP284="Personal Care and Services")+($AP284="Government and Public Administration")+($AP284="Defence/ Protective Service")+($AP284="Sports"))&gt;0,"Arts / Humanities",""))))</f>
        <v/>
      </c>
      <c r="BC284" s="5" t="str">
        <f aca="false">IF($AL284="","",IF((($AL284="Engineering and Technology")+($AL284="Science and Mathematics")+($AL284="Computer Science, IT and Allied Fields")+($AL284="Life Sciences /Medicine and Healthcare")+($AL284="Paramedical")+($AL284="Architecture")+($AL284="Environmental Service")+($AL284="Agriculture, Food Industry and Forestry"))&gt;0,"Science",IF((($AL284="Banking and Finance")+($AL284="Management and Administration")+($AL284="Marketing")+($AL284="Sales")+($AL284="Entrepreneurship")+($AL284="Hospitality and Tourism"))&gt;0,"Commerce",IF((($AL284="Social Sciences and Humanities")+($AL284="Law Studies")+($AL284="Education and Training")+($AL284="Art, Design")+($AL284="Entertainment and Mass Media")+($AL284="Community and Social Service")+($AL284="Personal Care and Services")+($AL284="Government and Public Administration")+($AL284="Defence/ Protective Service")+($AL284="Sports"))&gt;0,"Arts / Humanities",""))))</f>
        <v/>
      </c>
      <c r="BD284" s="5" t="str">
        <f aca="false">IF($B284="","",--(F284&gt;=10)+--(G284&gt;=10)+--(H284&gt;=10)+--(I284&gt;=10)+--(J284&gt;=10)+--(K284&gt;=10)+--(L284&gt;=10)+--(M284&gt;=10)+--(N284&gt;=10)+--(O284&gt;=10))</f>
        <v/>
      </c>
      <c r="BE284" s="5" t="str">
        <f aca="false">IF($B284="","",--(AND(F284&lt;&gt;"",F284&lt;=8))+--(AND(G284&lt;&gt;"",G284&lt;=8))+--(AND(H284&lt;&gt;"",H284&lt;=8))+--(AND(I284&lt;&gt;"",I284&lt;=8))+--(AND(J284&lt;&gt;"",J284&lt;=8))+--(AND(K284&lt;&gt;"",K284&lt;=8))+--(AND(L284&lt;&gt;"",L284&lt;=8))+--(AND(M284&lt;&gt;"",M284&lt;=8))+--(AND(N284&lt;&gt;"",N284&lt;=8))+--(AND(O284&lt;&gt;"",O284&lt;=8)))</f>
        <v/>
      </c>
    </row>
    <row r="285" customFormat="false" ht="15" hidden="false" customHeight="false" outlineLevel="0" collapsed="false">
      <c r="AZ285" s="5" t="str">
        <f aca="false">IF($B285="","",SUMPRODUCT(($AL285:$AO285&lt;&gt;"")*(COUNTIF($AP285:$AX285,$AL285:$AO285)&gt;0)))</f>
        <v/>
      </c>
      <c r="BA285" s="5" t="str">
        <f aca="false">IF($B285="","",IF(AZ285&gt;0,1,0))</f>
        <v/>
      </c>
      <c r="BB285" s="5" t="str">
        <f aca="false">IF($AP285="","",IF((($AP285="Engineering and Technology")+($AP285="Science and Mathematics")+($AP285="Computer Science, IT and Allied Fields")+($AP285="Life Sciences /Medicine and Healthcare")+($AP285="Paramedical")+($AP285="Architecture")+($AP285="Environmental Service")+($AP285="Agriculture, Food Industry and Forestry"))&gt;0,"Science",IF((($AP285="Banking and Finance")+($AP285="Management and Administration")+($AP285="Marketing")+($AP285="Sales")+($AP285="Entrepreneurship")+($AP285="Hospitality and Tourism"))&gt;0,"Commerce",IF((($AP285="Social Sciences and Humanities")+($AP285="Law Studies")+($AP285="Education and Training")+($AP285="Art, Design")+($AP285="Entertainment and Mass Media")+($AP285="Community and Social Service")+($AP285="Personal Care and Services")+($AP285="Government and Public Administration")+($AP285="Defence/ Protective Service")+($AP285="Sports"))&gt;0,"Arts / Humanities",""))))</f>
        <v/>
      </c>
      <c r="BC285" s="5" t="str">
        <f aca="false">IF($AL285="","",IF((($AL285="Engineering and Technology")+($AL285="Science and Mathematics")+($AL285="Computer Science, IT and Allied Fields")+($AL285="Life Sciences /Medicine and Healthcare")+($AL285="Paramedical")+($AL285="Architecture")+($AL285="Environmental Service")+($AL285="Agriculture, Food Industry and Forestry"))&gt;0,"Science",IF((($AL285="Banking and Finance")+($AL285="Management and Administration")+($AL285="Marketing")+($AL285="Sales")+($AL285="Entrepreneurship")+($AL285="Hospitality and Tourism"))&gt;0,"Commerce",IF((($AL285="Social Sciences and Humanities")+($AL285="Law Studies")+($AL285="Education and Training")+($AL285="Art, Design")+($AL285="Entertainment and Mass Media")+($AL285="Community and Social Service")+($AL285="Personal Care and Services")+($AL285="Government and Public Administration")+($AL285="Defence/ Protective Service")+($AL285="Sports"))&gt;0,"Arts / Humanities",""))))</f>
        <v/>
      </c>
      <c r="BD285" s="5" t="str">
        <f aca="false">IF($B285="","",--(F285&gt;=10)+--(G285&gt;=10)+--(H285&gt;=10)+--(I285&gt;=10)+--(J285&gt;=10)+--(K285&gt;=10)+--(L285&gt;=10)+--(M285&gt;=10)+--(N285&gt;=10)+--(O285&gt;=10))</f>
        <v/>
      </c>
      <c r="BE285" s="5" t="str">
        <f aca="false">IF($B285="","",--(AND(F285&lt;&gt;"",F285&lt;=8))+--(AND(G285&lt;&gt;"",G285&lt;=8))+--(AND(H285&lt;&gt;"",H285&lt;=8))+--(AND(I285&lt;&gt;"",I285&lt;=8))+--(AND(J285&lt;&gt;"",J285&lt;=8))+--(AND(K285&lt;&gt;"",K285&lt;=8))+--(AND(L285&lt;&gt;"",L285&lt;=8))+--(AND(M285&lt;&gt;"",M285&lt;=8))+--(AND(N285&lt;&gt;"",N285&lt;=8))+--(AND(O285&lt;&gt;"",O285&lt;=8)))</f>
        <v/>
      </c>
    </row>
    <row r="286" customFormat="false" ht="15" hidden="false" customHeight="false" outlineLevel="0" collapsed="false">
      <c r="AZ286" s="5" t="str">
        <f aca="false">IF($B286="","",SUMPRODUCT(($AL286:$AO286&lt;&gt;"")*(COUNTIF($AP286:$AX286,$AL286:$AO286)&gt;0)))</f>
        <v/>
      </c>
      <c r="BA286" s="5" t="str">
        <f aca="false">IF($B286="","",IF(AZ286&gt;0,1,0))</f>
        <v/>
      </c>
      <c r="BB286" s="5" t="str">
        <f aca="false">IF($AP286="","",IF((($AP286="Engineering and Technology")+($AP286="Science and Mathematics")+($AP286="Computer Science, IT and Allied Fields")+($AP286="Life Sciences /Medicine and Healthcare")+($AP286="Paramedical")+($AP286="Architecture")+($AP286="Environmental Service")+($AP286="Agriculture, Food Industry and Forestry"))&gt;0,"Science",IF((($AP286="Banking and Finance")+($AP286="Management and Administration")+($AP286="Marketing")+($AP286="Sales")+($AP286="Entrepreneurship")+($AP286="Hospitality and Tourism"))&gt;0,"Commerce",IF((($AP286="Social Sciences and Humanities")+($AP286="Law Studies")+($AP286="Education and Training")+($AP286="Art, Design")+($AP286="Entertainment and Mass Media")+($AP286="Community and Social Service")+($AP286="Personal Care and Services")+($AP286="Government and Public Administration")+($AP286="Defence/ Protective Service")+($AP286="Sports"))&gt;0,"Arts / Humanities",""))))</f>
        <v/>
      </c>
      <c r="BC286" s="5" t="str">
        <f aca="false">IF($AL286="","",IF((($AL286="Engineering and Technology")+($AL286="Science and Mathematics")+($AL286="Computer Science, IT and Allied Fields")+($AL286="Life Sciences /Medicine and Healthcare")+($AL286="Paramedical")+($AL286="Architecture")+($AL286="Environmental Service")+($AL286="Agriculture, Food Industry and Forestry"))&gt;0,"Science",IF((($AL286="Banking and Finance")+($AL286="Management and Administration")+($AL286="Marketing")+($AL286="Sales")+($AL286="Entrepreneurship")+($AL286="Hospitality and Tourism"))&gt;0,"Commerce",IF((($AL286="Social Sciences and Humanities")+($AL286="Law Studies")+($AL286="Education and Training")+($AL286="Art, Design")+($AL286="Entertainment and Mass Media")+($AL286="Community and Social Service")+($AL286="Personal Care and Services")+($AL286="Government and Public Administration")+($AL286="Defence/ Protective Service")+($AL286="Sports"))&gt;0,"Arts / Humanities",""))))</f>
        <v/>
      </c>
      <c r="BD286" s="5" t="str">
        <f aca="false">IF($B286="","",--(F286&gt;=10)+--(G286&gt;=10)+--(H286&gt;=10)+--(I286&gt;=10)+--(J286&gt;=10)+--(K286&gt;=10)+--(L286&gt;=10)+--(M286&gt;=10)+--(N286&gt;=10)+--(O286&gt;=10))</f>
        <v/>
      </c>
      <c r="BE286" s="5" t="str">
        <f aca="false">IF($B286="","",--(AND(F286&lt;&gt;"",F286&lt;=8))+--(AND(G286&lt;&gt;"",G286&lt;=8))+--(AND(H286&lt;&gt;"",H286&lt;=8))+--(AND(I286&lt;&gt;"",I286&lt;=8))+--(AND(J286&lt;&gt;"",J286&lt;=8))+--(AND(K286&lt;&gt;"",K286&lt;=8))+--(AND(L286&lt;&gt;"",L286&lt;=8))+--(AND(M286&lt;&gt;"",M286&lt;=8))+--(AND(N286&lt;&gt;"",N286&lt;=8))+--(AND(O286&lt;&gt;"",O286&lt;=8)))</f>
        <v/>
      </c>
    </row>
    <row r="287" customFormat="false" ht="15" hidden="false" customHeight="false" outlineLevel="0" collapsed="false">
      <c r="AZ287" s="5" t="str">
        <f aca="false">IF($B287="","",SUMPRODUCT(($AL287:$AO287&lt;&gt;"")*(COUNTIF($AP287:$AX287,$AL287:$AO287)&gt;0)))</f>
        <v/>
      </c>
      <c r="BA287" s="5" t="str">
        <f aca="false">IF($B287="","",IF(AZ287&gt;0,1,0))</f>
        <v/>
      </c>
      <c r="BB287" s="5" t="str">
        <f aca="false">IF($AP287="","",IF((($AP287="Engineering and Technology")+($AP287="Science and Mathematics")+($AP287="Computer Science, IT and Allied Fields")+($AP287="Life Sciences /Medicine and Healthcare")+($AP287="Paramedical")+($AP287="Architecture")+($AP287="Environmental Service")+($AP287="Agriculture, Food Industry and Forestry"))&gt;0,"Science",IF((($AP287="Banking and Finance")+($AP287="Management and Administration")+($AP287="Marketing")+($AP287="Sales")+($AP287="Entrepreneurship")+($AP287="Hospitality and Tourism"))&gt;0,"Commerce",IF((($AP287="Social Sciences and Humanities")+($AP287="Law Studies")+($AP287="Education and Training")+($AP287="Art, Design")+($AP287="Entertainment and Mass Media")+($AP287="Community and Social Service")+($AP287="Personal Care and Services")+($AP287="Government and Public Administration")+($AP287="Defence/ Protective Service")+($AP287="Sports"))&gt;0,"Arts / Humanities",""))))</f>
        <v/>
      </c>
      <c r="BC287" s="5" t="str">
        <f aca="false">IF($AL287="","",IF((($AL287="Engineering and Technology")+($AL287="Science and Mathematics")+($AL287="Computer Science, IT and Allied Fields")+($AL287="Life Sciences /Medicine and Healthcare")+($AL287="Paramedical")+($AL287="Architecture")+($AL287="Environmental Service")+($AL287="Agriculture, Food Industry and Forestry"))&gt;0,"Science",IF((($AL287="Banking and Finance")+($AL287="Management and Administration")+($AL287="Marketing")+($AL287="Sales")+($AL287="Entrepreneurship")+($AL287="Hospitality and Tourism"))&gt;0,"Commerce",IF((($AL287="Social Sciences and Humanities")+($AL287="Law Studies")+($AL287="Education and Training")+($AL287="Art, Design")+($AL287="Entertainment and Mass Media")+($AL287="Community and Social Service")+($AL287="Personal Care and Services")+($AL287="Government and Public Administration")+($AL287="Defence/ Protective Service")+($AL287="Sports"))&gt;0,"Arts / Humanities",""))))</f>
        <v/>
      </c>
      <c r="BD287" s="5" t="str">
        <f aca="false">IF($B287="","",--(F287&gt;=10)+--(G287&gt;=10)+--(H287&gt;=10)+--(I287&gt;=10)+--(J287&gt;=10)+--(K287&gt;=10)+--(L287&gt;=10)+--(M287&gt;=10)+--(N287&gt;=10)+--(O287&gt;=10))</f>
        <v/>
      </c>
      <c r="BE287" s="5" t="str">
        <f aca="false">IF($B287="","",--(AND(F287&lt;&gt;"",F287&lt;=8))+--(AND(G287&lt;&gt;"",G287&lt;=8))+--(AND(H287&lt;&gt;"",H287&lt;=8))+--(AND(I287&lt;&gt;"",I287&lt;=8))+--(AND(J287&lt;&gt;"",J287&lt;=8))+--(AND(K287&lt;&gt;"",K287&lt;=8))+--(AND(L287&lt;&gt;"",L287&lt;=8))+--(AND(M287&lt;&gt;"",M287&lt;=8))+--(AND(N287&lt;&gt;"",N287&lt;=8))+--(AND(O287&lt;&gt;"",O287&lt;=8)))</f>
        <v/>
      </c>
    </row>
    <row r="288" customFormat="false" ht="15" hidden="false" customHeight="false" outlineLevel="0" collapsed="false">
      <c r="AZ288" s="5" t="str">
        <f aca="false">IF($B288="","",SUMPRODUCT(($AL288:$AO288&lt;&gt;"")*(COUNTIF($AP288:$AX288,$AL288:$AO288)&gt;0)))</f>
        <v/>
      </c>
      <c r="BA288" s="5" t="str">
        <f aca="false">IF($B288="","",IF(AZ288&gt;0,1,0))</f>
        <v/>
      </c>
      <c r="BB288" s="5" t="str">
        <f aca="false">IF($AP288="","",IF((($AP288="Engineering and Technology")+($AP288="Science and Mathematics")+($AP288="Computer Science, IT and Allied Fields")+($AP288="Life Sciences /Medicine and Healthcare")+($AP288="Paramedical")+($AP288="Architecture")+($AP288="Environmental Service")+($AP288="Agriculture, Food Industry and Forestry"))&gt;0,"Science",IF((($AP288="Banking and Finance")+($AP288="Management and Administration")+($AP288="Marketing")+($AP288="Sales")+($AP288="Entrepreneurship")+($AP288="Hospitality and Tourism"))&gt;0,"Commerce",IF((($AP288="Social Sciences and Humanities")+($AP288="Law Studies")+($AP288="Education and Training")+($AP288="Art, Design")+($AP288="Entertainment and Mass Media")+($AP288="Community and Social Service")+($AP288="Personal Care and Services")+($AP288="Government and Public Administration")+($AP288="Defence/ Protective Service")+($AP288="Sports"))&gt;0,"Arts / Humanities",""))))</f>
        <v/>
      </c>
      <c r="BC288" s="5" t="str">
        <f aca="false">IF($AL288="","",IF((($AL288="Engineering and Technology")+($AL288="Science and Mathematics")+($AL288="Computer Science, IT and Allied Fields")+($AL288="Life Sciences /Medicine and Healthcare")+($AL288="Paramedical")+($AL288="Architecture")+($AL288="Environmental Service")+($AL288="Agriculture, Food Industry and Forestry"))&gt;0,"Science",IF((($AL288="Banking and Finance")+($AL288="Management and Administration")+($AL288="Marketing")+($AL288="Sales")+($AL288="Entrepreneurship")+($AL288="Hospitality and Tourism"))&gt;0,"Commerce",IF((($AL288="Social Sciences and Humanities")+($AL288="Law Studies")+($AL288="Education and Training")+($AL288="Art, Design")+($AL288="Entertainment and Mass Media")+($AL288="Community and Social Service")+($AL288="Personal Care and Services")+($AL288="Government and Public Administration")+($AL288="Defence/ Protective Service")+($AL288="Sports"))&gt;0,"Arts / Humanities",""))))</f>
        <v/>
      </c>
      <c r="BD288" s="5" t="str">
        <f aca="false">IF($B288="","",--(F288&gt;=10)+--(G288&gt;=10)+--(H288&gt;=10)+--(I288&gt;=10)+--(J288&gt;=10)+--(K288&gt;=10)+--(L288&gt;=10)+--(M288&gt;=10)+--(N288&gt;=10)+--(O288&gt;=10))</f>
        <v/>
      </c>
      <c r="BE288" s="5" t="str">
        <f aca="false">IF($B288="","",--(AND(F288&lt;&gt;"",F288&lt;=8))+--(AND(G288&lt;&gt;"",G288&lt;=8))+--(AND(H288&lt;&gt;"",H288&lt;=8))+--(AND(I288&lt;&gt;"",I288&lt;=8))+--(AND(J288&lt;&gt;"",J288&lt;=8))+--(AND(K288&lt;&gt;"",K288&lt;=8))+--(AND(L288&lt;&gt;"",L288&lt;=8))+--(AND(M288&lt;&gt;"",M288&lt;=8))+--(AND(N288&lt;&gt;"",N288&lt;=8))+--(AND(O288&lt;&gt;"",O288&lt;=8)))</f>
        <v/>
      </c>
    </row>
    <row r="289" customFormat="false" ht="15" hidden="false" customHeight="false" outlineLevel="0" collapsed="false">
      <c r="AZ289" s="5" t="str">
        <f aca="false">IF($B289="","",SUMPRODUCT(($AL289:$AO289&lt;&gt;"")*(COUNTIF($AP289:$AX289,$AL289:$AO289)&gt;0)))</f>
        <v/>
      </c>
      <c r="BA289" s="5" t="str">
        <f aca="false">IF($B289="","",IF(AZ289&gt;0,1,0))</f>
        <v/>
      </c>
      <c r="BB289" s="5" t="str">
        <f aca="false">IF($AP289="","",IF((($AP289="Engineering and Technology")+($AP289="Science and Mathematics")+($AP289="Computer Science, IT and Allied Fields")+($AP289="Life Sciences /Medicine and Healthcare")+($AP289="Paramedical")+($AP289="Architecture")+($AP289="Environmental Service")+($AP289="Agriculture, Food Industry and Forestry"))&gt;0,"Science",IF((($AP289="Banking and Finance")+($AP289="Management and Administration")+($AP289="Marketing")+($AP289="Sales")+($AP289="Entrepreneurship")+($AP289="Hospitality and Tourism"))&gt;0,"Commerce",IF((($AP289="Social Sciences and Humanities")+($AP289="Law Studies")+($AP289="Education and Training")+($AP289="Art, Design")+($AP289="Entertainment and Mass Media")+($AP289="Community and Social Service")+($AP289="Personal Care and Services")+($AP289="Government and Public Administration")+($AP289="Defence/ Protective Service")+($AP289="Sports"))&gt;0,"Arts / Humanities",""))))</f>
        <v/>
      </c>
      <c r="BC289" s="5" t="str">
        <f aca="false">IF($AL289="","",IF((($AL289="Engineering and Technology")+($AL289="Science and Mathematics")+($AL289="Computer Science, IT and Allied Fields")+($AL289="Life Sciences /Medicine and Healthcare")+($AL289="Paramedical")+($AL289="Architecture")+($AL289="Environmental Service")+($AL289="Agriculture, Food Industry and Forestry"))&gt;0,"Science",IF((($AL289="Banking and Finance")+($AL289="Management and Administration")+($AL289="Marketing")+($AL289="Sales")+($AL289="Entrepreneurship")+($AL289="Hospitality and Tourism"))&gt;0,"Commerce",IF((($AL289="Social Sciences and Humanities")+($AL289="Law Studies")+($AL289="Education and Training")+($AL289="Art, Design")+($AL289="Entertainment and Mass Media")+($AL289="Community and Social Service")+($AL289="Personal Care and Services")+($AL289="Government and Public Administration")+($AL289="Defence/ Protective Service")+($AL289="Sports"))&gt;0,"Arts / Humanities",""))))</f>
        <v/>
      </c>
      <c r="BD289" s="5" t="str">
        <f aca="false">IF($B289="","",--(F289&gt;=10)+--(G289&gt;=10)+--(H289&gt;=10)+--(I289&gt;=10)+--(J289&gt;=10)+--(K289&gt;=10)+--(L289&gt;=10)+--(M289&gt;=10)+--(N289&gt;=10)+--(O289&gt;=10))</f>
        <v/>
      </c>
      <c r="BE289" s="5" t="str">
        <f aca="false">IF($B289="","",--(AND(F289&lt;&gt;"",F289&lt;=8))+--(AND(G289&lt;&gt;"",G289&lt;=8))+--(AND(H289&lt;&gt;"",H289&lt;=8))+--(AND(I289&lt;&gt;"",I289&lt;=8))+--(AND(J289&lt;&gt;"",J289&lt;=8))+--(AND(K289&lt;&gt;"",K289&lt;=8))+--(AND(L289&lt;&gt;"",L289&lt;=8))+--(AND(M289&lt;&gt;"",M289&lt;=8))+--(AND(N289&lt;&gt;"",N289&lt;=8))+--(AND(O289&lt;&gt;"",O289&lt;=8)))</f>
        <v/>
      </c>
    </row>
    <row r="290" customFormat="false" ht="15" hidden="false" customHeight="false" outlineLevel="0" collapsed="false">
      <c r="AZ290" s="5" t="str">
        <f aca="false">IF($B290="","",SUMPRODUCT(($AL290:$AO290&lt;&gt;"")*(COUNTIF($AP290:$AX290,$AL290:$AO290)&gt;0)))</f>
        <v/>
      </c>
      <c r="BA290" s="5" t="str">
        <f aca="false">IF($B290="","",IF(AZ290&gt;0,1,0))</f>
        <v/>
      </c>
      <c r="BB290" s="5" t="str">
        <f aca="false">IF($AP290="","",IF((($AP290="Engineering and Technology")+($AP290="Science and Mathematics")+($AP290="Computer Science, IT and Allied Fields")+($AP290="Life Sciences /Medicine and Healthcare")+($AP290="Paramedical")+($AP290="Architecture")+($AP290="Environmental Service")+($AP290="Agriculture, Food Industry and Forestry"))&gt;0,"Science",IF((($AP290="Banking and Finance")+($AP290="Management and Administration")+($AP290="Marketing")+($AP290="Sales")+($AP290="Entrepreneurship")+($AP290="Hospitality and Tourism"))&gt;0,"Commerce",IF((($AP290="Social Sciences and Humanities")+($AP290="Law Studies")+($AP290="Education and Training")+($AP290="Art, Design")+($AP290="Entertainment and Mass Media")+($AP290="Community and Social Service")+($AP290="Personal Care and Services")+($AP290="Government and Public Administration")+($AP290="Defence/ Protective Service")+($AP290="Sports"))&gt;0,"Arts / Humanities",""))))</f>
        <v/>
      </c>
      <c r="BC290" s="5" t="str">
        <f aca="false">IF($AL290="","",IF((($AL290="Engineering and Technology")+($AL290="Science and Mathematics")+($AL290="Computer Science, IT and Allied Fields")+($AL290="Life Sciences /Medicine and Healthcare")+($AL290="Paramedical")+($AL290="Architecture")+($AL290="Environmental Service")+($AL290="Agriculture, Food Industry and Forestry"))&gt;0,"Science",IF((($AL290="Banking and Finance")+($AL290="Management and Administration")+($AL290="Marketing")+($AL290="Sales")+($AL290="Entrepreneurship")+($AL290="Hospitality and Tourism"))&gt;0,"Commerce",IF((($AL290="Social Sciences and Humanities")+($AL290="Law Studies")+($AL290="Education and Training")+($AL290="Art, Design")+($AL290="Entertainment and Mass Media")+($AL290="Community and Social Service")+($AL290="Personal Care and Services")+($AL290="Government and Public Administration")+($AL290="Defence/ Protective Service")+($AL290="Sports"))&gt;0,"Arts / Humanities",""))))</f>
        <v/>
      </c>
      <c r="BD290" s="5" t="str">
        <f aca="false">IF($B290="","",--(F290&gt;=10)+--(G290&gt;=10)+--(H290&gt;=10)+--(I290&gt;=10)+--(J290&gt;=10)+--(K290&gt;=10)+--(L290&gt;=10)+--(M290&gt;=10)+--(N290&gt;=10)+--(O290&gt;=10))</f>
        <v/>
      </c>
      <c r="BE290" s="5" t="str">
        <f aca="false">IF($B290="","",--(AND(F290&lt;&gt;"",F290&lt;=8))+--(AND(G290&lt;&gt;"",G290&lt;=8))+--(AND(H290&lt;&gt;"",H290&lt;=8))+--(AND(I290&lt;&gt;"",I290&lt;=8))+--(AND(J290&lt;&gt;"",J290&lt;=8))+--(AND(K290&lt;&gt;"",K290&lt;=8))+--(AND(L290&lt;&gt;"",L290&lt;=8))+--(AND(M290&lt;&gt;"",M290&lt;=8))+--(AND(N290&lt;&gt;"",N290&lt;=8))+--(AND(O290&lt;&gt;"",O290&lt;=8)))</f>
        <v/>
      </c>
    </row>
    <row r="291" customFormat="false" ht="15" hidden="false" customHeight="false" outlineLevel="0" collapsed="false">
      <c r="AZ291" s="5" t="str">
        <f aca="false">IF($B291="","",SUMPRODUCT(($AL291:$AO291&lt;&gt;"")*(COUNTIF($AP291:$AX291,$AL291:$AO291)&gt;0)))</f>
        <v/>
      </c>
      <c r="BA291" s="5" t="str">
        <f aca="false">IF($B291="","",IF(AZ291&gt;0,1,0))</f>
        <v/>
      </c>
      <c r="BB291" s="5" t="str">
        <f aca="false">IF($AP291="","",IF((($AP291="Engineering and Technology")+($AP291="Science and Mathematics")+($AP291="Computer Science, IT and Allied Fields")+($AP291="Life Sciences /Medicine and Healthcare")+($AP291="Paramedical")+($AP291="Architecture")+($AP291="Environmental Service")+($AP291="Agriculture, Food Industry and Forestry"))&gt;0,"Science",IF((($AP291="Banking and Finance")+($AP291="Management and Administration")+($AP291="Marketing")+($AP291="Sales")+($AP291="Entrepreneurship")+($AP291="Hospitality and Tourism"))&gt;0,"Commerce",IF((($AP291="Social Sciences and Humanities")+($AP291="Law Studies")+($AP291="Education and Training")+($AP291="Art, Design")+($AP291="Entertainment and Mass Media")+($AP291="Community and Social Service")+($AP291="Personal Care and Services")+($AP291="Government and Public Administration")+($AP291="Defence/ Protective Service")+($AP291="Sports"))&gt;0,"Arts / Humanities",""))))</f>
        <v/>
      </c>
      <c r="BC291" s="5" t="str">
        <f aca="false">IF($AL291="","",IF((($AL291="Engineering and Technology")+($AL291="Science and Mathematics")+($AL291="Computer Science, IT and Allied Fields")+($AL291="Life Sciences /Medicine and Healthcare")+($AL291="Paramedical")+($AL291="Architecture")+($AL291="Environmental Service")+($AL291="Agriculture, Food Industry and Forestry"))&gt;0,"Science",IF((($AL291="Banking and Finance")+($AL291="Management and Administration")+($AL291="Marketing")+($AL291="Sales")+($AL291="Entrepreneurship")+($AL291="Hospitality and Tourism"))&gt;0,"Commerce",IF((($AL291="Social Sciences and Humanities")+($AL291="Law Studies")+($AL291="Education and Training")+($AL291="Art, Design")+($AL291="Entertainment and Mass Media")+($AL291="Community and Social Service")+($AL291="Personal Care and Services")+($AL291="Government and Public Administration")+($AL291="Defence/ Protective Service")+($AL291="Sports"))&gt;0,"Arts / Humanities",""))))</f>
        <v/>
      </c>
      <c r="BD291" s="5" t="str">
        <f aca="false">IF($B291="","",--(F291&gt;=10)+--(G291&gt;=10)+--(H291&gt;=10)+--(I291&gt;=10)+--(J291&gt;=10)+--(K291&gt;=10)+--(L291&gt;=10)+--(M291&gt;=10)+--(N291&gt;=10)+--(O291&gt;=10))</f>
        <v/>
      </c>
      <c r="BE291" s="5" t="str">
        <f aca="false">IF($B291="","",--(AND(F291&lt;&gt;"",F291&lt;=8))+--(AND(G291&lt;&gt;"",G291&lt;=8))+--(AND(H291&lt;&gt;"",H291&lt;=8))+--(AND(I291&lt;&gt;"",I291&lt;=8))+--(AND(J291&lt;&gt;"",J291&lt;=8))+--(AND(K291&lt;&gt;"",K291&lt;=8))+--(AND(L291&lt;&gt;"",L291&lt;=8))+--(AND(M291&lt;&gt;"",M291&lt;=8))+--(AND(N291&lt;&gt;"",N291&lt;=8))+--(AND(O291&lt;&gt;"",O291&lt;=8)))</f>
        <v/>
      </c>
    </row>
    <row r="292" customFormat="false" ht="15" hidden="false" customHeight="false" outlineLevel="0" collapsed="false">
      <c r="AZ292" s="5" t="str">
        <f aca="false">IF($B292="","",SUMPRODUCT(($AL292:$AO292&lt;&gt;"")*(COUNTIF($AP292:$AX292,$AL292:$AO292)&gt;0)))</f>
        <v/>
      </c>
      <c r="BA292" s="5" t="str">
        <f aca="false">IF($B292="","",IF(AZ292&gt;0,1,0))</f>
        <v/>
      </c>
      <c r="BB292" s="5" t="str">
        <f aca="false">IF($AP292="","",IF((($AP292="Engineering and Technology")+($AP292="Science and Mathematics")+($AP292="Computer Science, IT and Allied Fields")+($AP292="Life Sciences /Medicine and Healthcare")+($AP292="Paramedical")+($AP292="Architecture")+($AP292="Environmental Service")+($AP292="Agriculture, Food Industry and Forestry"))&gt;0,"Science",IF((($AP292="Banking and Finance")+($AP292="Management and Administration")+($AP292="Marketing")+($AP292="Sales")+($AP292="Entrepreneurship")+($AP292="Hospitality and Tourism"))&gt;0,"Commerce",IF((($AP292="Social Sciences and Humanities")+($AP292="Law Studies")+($AP292="Education and Training")+($AP292="Art, Design")+($AP292="Entertainment and Mass Media")+($AP292="Community and Social Service")+($AP292="Personal Care and Services")+($AP292="Government and Public Administration")+($AP292="Defence/ Protective Service")+($AP292="Sports"))&gt;0,"Arts / Humanities",""))))</f>
        <v/>
      </c>
      <c r="BC292" s="5" t="str">
        <f aca="false">IF($AL292="","",IF((($AL292="Engineering and Technology")+($AL292="Science and Mathematics")+($AL292="Computer Science, IT and Allied Fields")+($AL292="Life Sciences /Medicine and Healthcare")+($AL292="Paramedical")+($AL292="Architecture")+($AL292="Environmental Service")+($AL292="Agriculture, Food Industry and Forestry"))&gt;0,"Science",IF((($AL292="Banking and Finance")+($AL292="Management and Administration")+($AL292="Marketing")+($AL292="Sales")+($AL292="Entrepreneurship")+($AL292="Hospitality and Tourism"))&gt;0,"Commerce",IF((($AL292="Social Sciences and Humanities")+($AL292="Law Studies")+($AL292="Education and Training")+($AL292="Art, Design")+($AL292="Entertainment and Mass Media")+($AL292="Community and Social Service")+($AL292="Personal Care and Services")+($AL292="Government and Public Administration")+($AL292="Defence/ Protective Service")+($AL292="Sports"))&gt;0,"Arts / Humanities",""))))</f>
        <v/>
      </c>
      <c r="BD292" s="5" t="str">
        <f aca="false">IF($B292="","",--(F292&gt;=10)+--(G292&gt;=10)+--(H292&gt;=10)+--(I292&gt;=10)+--(J292&gt;=10)+--(K292&gt;=10)+--(L292&gt;=10)+--(M292&gt;=10)+--(N292&gt;=10)+--(O292&gt;=10))</f>
        <v/>
      </c>
      <c r="BE292" s="5" t="str">
        <f aca="false">IF($B292="","",--(AND(F292&lt;&gt;"",F292&lt;=8))+--(AND(G292&lt;&gt;"",G292&lt;=8))+--(AND(H292&lt;&gt;"",H292&lt;=8))+--(AND(I292&lt;&gt;"",I292&lt;=8))+--(AND(J292&lt;&gt;"",J292&lt;=8))+--(AND(K292&lt;&gt;"",K292&lt;=8))+--(AND(L292&lt;&gt;"",L292&lt;=8))+--(AND(M292&lt;&gt;"",M292&lt;=8))+--(AND(N292&lt;&gt;"",N292&lt;=8))+--(AND(O292&lt;&gt;"",O292&lt;=8)))</f>
        <v/>
      </c>
    </row>
    <row r="293" customFormat="false" ht="15" hidden="false" customHeight="false" outlineLevel="0" collapsed="false">
      <c r="AZ293" s="5" t="str">
        <f aca="false">IF($B293="","",SUMPRODUCT(($AL293:$AO293&lt;&gt;"")*(COUNTIF($AP293:$AX293,$AL293:$AO293)&gt;0)))</f>
        <v/>
      </c>
      <c r="BA293" s="5" t="str">
        <f aca="false">IF($B293="","",IF(AZ293&gt;0,1,0))</f>
        <v/>
      </c>
      <c r="BB293" s="5" t="str">
        <f aca="false">IF($AP293="","",IF((($AP293="Engineering and Technology")+($AP293="Science and Mathematics")+($AP293="Computer Science, IT and Allied Fields")+($AP293="Life Sciences /Medicine and Healthcare")+($AP293="Paramedical")+($AP293="Architecture")+($AP293="Environmental Service")+($AP293="Agriculture, Food Industry and Forestry"))&gt;0,"Science",IF((($AP293="Banking and Finance")+($AP293="Management and Administration")+($AP293="Marketing")+($AP293="Sales")+($AP293="Entrepreneurship")+($AP293="Hospitality and Tourism"))&gt;0,"Commerce",IF((($AP293="Social Sciences and Humanities")+($AP293="Law Studies")+($AP293="Education and Training")+($AP293="Art, Design")+($AP293="Entertainment and Mass Media")+($AP293="Community and Social Service")+($AP293="Personal Care and Services")+($AP293="Government and Public Administration")+($AP293="Defence/ Protective Service")+($AP293="Sports"))&gt;0,"Arts / Humanities",""))))</f>
        <v/>
      </c>
      <c r="BC293" s="5" t="str">
        <f aca="false">IF($AL293="","",IF((($AL293="Engineering and Technology")+($AL293="Science and Mathematics")+($AL293="Computer Science, IT and Allied Fields")+($AL293="Life Sciences /Medicine and Healthcare")+($AL293="Paramedical")+($AL293="Architecture")+($AL293="Environmental Service")+($AL293="Agriculture, Food Industry and Forestry"))&gt;0,"Science",IF((($AL293="Banking and Finance")+($AL293="Management and Administration")+($AL293="Marketing")+($AL293="Sales")+($AL293="Entrepreneurship")+($AL293="Hospitality and Tourism"))&gt;0,"Commerce",IF((($AL293="Social Sciences and Humanities")+($AL293="Law Studies")+($AL293="Education and Training")+($AL293="Art, Design")+($AL293="Entertainment and Mass Media")+($AL293="Community and Social Service")+($AL293="Personal Care and Services")+($AL293="Government and Public Administration")+($AL293="Defence/ Protective Service")+($AL293="Sports"))&gt;0,"Arts / Humanities",""))))</f>
        <v/>
      </c>
      <c r="BD293" s="5" t="str">
        <f aca="false">IF($B293="","",--(F293&gt;=10)+--(G293&gt;=10)+--(H293&gt;=10)+--(I293&gt;=10)+--(J293&gt;=10)+--(K293&gt;=10)+--(L293&gt;=10)+--(M293&gt;=10)+--(N293&gt;=10)+--(O293&gt;=10))</f>
        <v/>
      </c>
      <c r="BE293" s="5" t="str">
        <f aca="false">IF($B293="","",--(AND(F293&lt;&gt;"",F293&lt;=8))+--(AND(G293&lt;&gt;"",G293&lt;=8))+--(AND(H293&lt;&gt;"",H293&lt;=8))+--(AND(I293&lt;&gt;"",I293&lt;=8))+--(AND(J293&lt;&gt;"",J293&lt;=8))+--(AND(K293&lt;&gt;"",K293&lt;=8))+--(AND(L293&lt;&gt;"",L293&lt;=8))+--(AND(M293&lt;&gt;"",M293&lt;=8))+--(AND(N293&lt;&gt;"",N293&lt;=8))+--(AND(O293&lt;&gt;"",O293&lt;=8)))</f>
        <v/>
      </c>
    </row>
    <row r="294" customFormat="false" ht="15" hidden="false" customHeight="false" outlineLevel="0" collapsed="false">
      <c r="AZ294" s="5" t="str">
        <f aca="false">IF($B294="","",SUMPRODUCT(($AL294:$AO294&lt;&gt;"")*(COUNTIF($AP294:$AX294,$AL294:$AO294)&gt;0)))</f>
        <v/>
      </c>
      <c r="BA294" s="5" t="str">
        <f aca="false">IF($B294="","",IF(AZ294&gt;0,1,0))</f>
        <v/>
      </c>
      <c r="BB294" s="5" t="str">
        <f aca="false">IF($AP294="","",IF((($AP294="Engineering and Technology")+($AP294="Science and Mathematics")+($AP294="Computer Science, IT and Allied Fields")+($AP294="Life Sciences /Medicine and Healthcare")+($AP294="Paramedical")+($AP294="Architecture")+($AP294="Environmental Service")+($AP294="Agriculture, Food Industry and Forestry"))&gt;0,"Science",IF((($AP294="Banking and Finance")+($AP294="Management and Administration")+($AP294="Marketing")+($AP294="Sales")+($AP294="Entrepreneurship")+($AP294="Hospitality and Tourism"))&gt;0,"Commerce",IF((($AP294="Social Sciences and Humanities")+($AP294="Law Studies")+($AP294="Education and Training")+($AP294="Art, Design")+($AP294="Entertainment and Mass Media")+($AP294="Community and Social Service")+($AP294="Personal Care and Services")+($AP294="Government and Public Administration")+($AP294="Defence/ Protective Service")+($AP294="Sports"))&gt;0,"Arts / Humanities",""))))</f>
        <v/>
      </c>
      <c r="BC294" s="5" t="str">
        <f aca="false">IF($AL294="","",IF((($AL294="Engineering and Technology")+($AL294="Science and Mathematics")+($AL294="Computer Science, IT and Allied Fields")+($AL294="Life Sciences /Medicine and Healthcare")+($AL294="Paramedical")+($AL294="Architecture")+($AL294="Environmental Service")+($AL294="Agriculture, Food Industry and Forestry"))&gt;0,"Science",IF((($AL294="Banking and Finance")+($AL294="Management and Administration")+($AL294="Marketing")+($AL294="Sales")+($AL294="Entrepreneurship")+($AL294="Hospitality and Tourism"))&gt;0,"Commerce",IF((($AL294="Social Sciences and Humanities")+($AL294="Law Studies")+($AL294="Education and Training")+($AL294="Art, Design")+($AL294="Entertainment and Mass Media")+($AL294="Community and Social Service")+($AL294="Personal Care and Services")+($AL294="Government and Public Administration")+($AL294="Defence/ Protective Service")+($AL294="Sports"))&gt;0,"Arts / Humanities",""))))</f>
        <v/>
      </c>
      <c r="BD294" s="5" t="str">
        <f aca="false">IF($B294="","",--(F294&gt;=10)+--(G294&gt;=10)+--(H294&gt;=10)+--(I294&gt;=10)+--(J294&gt;=10)+--(K294&gt;=10)+--(L294&gt;=10)+--(M294&gt;=10)+--(N294&gt;=10)+--(O294&gt;=10))</f>
        <v/>
      </c>
      <c r="BE294" s="5" t="str">
        <f aca="false">IF($B294="","",--(AND(F294&lt;&gt;"",F294&lt;=8))+--(AND(G294&lt;&gt;"",G294&lt;=8))+--(AND(H294&lt;&gt;"",H294&lt;=8))+--(AND(I294&lt;&gt;"",I294&lt;=8))+--(AND(J294&lt;&gt;"",J294&lt;=8))+--(AND(K294&lt;&gt;"",K294&lt;=8))+--(AND(L294&lt;&gt;"",L294&lt;=8))+--(AND(M294&lt;&gt;"",M294&lt;=8))+--(AND(N294&lt;&gt;"",N294&lt;=8))+--(AND(O294&lt;&gt;"",O294&lt;=8)))</f>
        <v/>
      </c>
    </row>
    <row r="295" customFormat="false" ht="15" hidden="false" customHeight="false" outlineLevel="0" collapsed="false">
      <c r="AZ295" s="5" t="str">
        <f aca="false">IF($B295="","",SUMPRODUCT(($AL295:$AO295&lt;&gt;"")*(COUNTIF($AP295:$AX295,$AL295:$AO295)&gt;0)))</f>
        <v/>
      </c>
      <c r="BA295" s="5" t="str">
        <f aca="false">IF($B295="","",IF(AZ295&gt;0,1,0))</f>
        <v/>
      </c>
      <c r="BB295" s="5" t="str">
        <f aca="false">IF($AP295="","",IF((($AP295="Engineering and Technology")+($AP295="Science and Mathematics")+($AP295="Computer Science, IT and Allied Fields")+($AP295="Life Sciences /Medicine and Healthcare")+($AP295="Paramedical")+($AP295="Architecture")+($AP295="Environmental Service")+($AP295="Agriculture, Food Industry and Forestry"))&gt;0,"Science",IF((($AP295="Banking and Finance")+($AP295="Management and Administration")+($AP295="Marketing")+($AP295="Sales")+($AP295="Entrepreneurship")+($AP295="Hospitality and Tourism"))&gt;0,"Commerce",IF((($AP295="Social Sciences and Humanities")+($AP295="Law Studies")+($AP295="Education and Training")+($AP295="Art, Design")+($AP295="Entertainment and Mass Media")+($AP295="Community and Social Service")+($AP295="Personal Care and Services")+($AP295="Government and Public Administration")+($AP295="Defence/ Protective Service")+($AP295="Sports"))&gt;0,"Arts / Humanities",""))))</f>
        <v/>
      </c>
      <c r="BC295" s="5" t="str">
        <f aca="false">IF($AL295="","",IF((($AL295="Engineering and Technology")+($AL295="Science and Mathematics")+($AL295="Computer Science, IT and Allied Fields")+($AL295="Life Sciences /Medicine and Healthcare")+($AL295="Paramedical")+($AL295="Architecture")+($AL295="Environmental Service")+($AL295="Agriculture, Food Industry and Forestry"))&gt;0,"Science",IF((($AL295="Banking and Finance")+($AL295="Management and Administration")+($AL295="Marketing")+($AL295="Sales")+($AL295="Entrepreneurship")+($AL295="Hospitality and Tourism"))&gt;0,"Commerce",IF((($AL295="Social Sciences and Humanities")+($AL295="Law Studies")+($AL295="Education and Training")+($AL295="Art, Design")+($AL295="Entertainment and Mass Media")+($AL295="Community and Social Service")+($AL295="Personal Care and Services")+($AL295="Government and Public Administration")+($AL295="Defence/ Protective Service")+($AL295="Sports"))&gt;0,"Arts / Humanities",""))))</f>
        <v/>
      </c>
      <c r="BD295" s="5" t="str">
        <f aca="false">IF($B295="","",--(F295&gt;=10)+--(G295&gt;=10)+--(H295&gt;=10)+--(I295&gt;=10)+--(J295&gt;=10)+--(K295&gt;=10)+--(L295&gt;=10)+--(M295&gt;=10)+--(N295&gt;=10)+--(O295&gt;=10))</f>
        <v/>
      </c>
      <c r="BE295" s="5" t="str">
        <f aca="false">IF($B295="","",--(AND(F295&lt;&gt;"",F295&lt;=8))+--(AND(G295&lt;&gt;"",G295&lt;=8))+--(AND(H295&lt;&gt;"",H295&lt;=8))+--(AND(I295&lt;&gt;"",I295&lt;=8))+--(AND(J295&lt;&gt;"",J295&lt;=8))+--(AND(K295&lt;&gt;"",K295&lt;=8))+--(AND(L295&lt;&gt;"",L295&lt;=8))+--(AND(M295&lt;&gt;"",M295&lt;=8))+--(AND(N295&lt;&gt;"",N295&lt;=8))+--(AND(O295&lt;&gt;"",O295&lt;=8)))</f>
        <v/>
      </c>
    </row>
    <row r="296" customFormat="false" ht="15" hidden="false" customHeight="false" outlineLevel="0" collapsed="false">
      <c r="AZ296" s="5" t="str">
        <f aca="false">IF($B296="","",SUMPRODUCT(($AL296:$AO296&lt;&gt;"")*(COUNTIF($AP296:$AX296,$AL296:$AO296)&gt;0)))</f>
        <v/>
      </c>
      <c r="BA296" s="5" t="str">
        <f aca="false">IF($B296="","",IF(AZ296&gt;0,1,0))</f>
        <v/>
      </c>
      <c r="BB296" s="5" t="str">
        <f aca="false">IF($AP296="","",IF((($AP296="Engineering and Technology")+($AP296="Science and Mathematics")+($AP296="Computer Science, IT and Allied Fields")+($AP296="Life Sciences /Medicine and Healthcare")+($AP296="Paramedical")+($AP296="Architecture")+($AP296="Environmental Service")+($AP296="Agriculture, Food Industry and Forestry"))&gt;0,"Science",IF((($AP296="Banking and Finance")+($AP296="Management and Administration")+($AP296="Marketing")+($AP296="Sales")+($AP296="Entrepreneurship")+($AP296="Hospitality and Tourism"))&gt;0,"Commerce",IF((($AP296="Social Sciences and Humanities")+($AP296="Law Studies")+($AP296="Education and Training")+($AP296="Art, Design")+($AP296="Entertainment and Mass Media")+($AP296="Community and Social Service")+($AP296="Personal Care and Services")+($AP296="Government and Public Administration")+($AP296="Defence/ Protective Service")+($AP296="Sports"))&gt;0,"Arts / Humanities",""))))</f>
        <v/>
      </c>
      <c r="BC296" s="5" t="str">
        <f aca="false">IF($AL296="","",IF((($AL296="Engineering and Technology")+($AL296="Science and Mathematics")+($AL296="Computer Science, IT and Allied Fields")+($AL296="Life Sciences /Medicine and Healthcare")+($AL296="Paramedical")+($AL296="Architecture")+($AL296="Environmental Service")+($AL296="Agriculture, Food Industry and Forestry"))&gt;0,"Science",IF((($AL296="Banking and Finance")+($AL296="Management and Administration")+($AL296="Marketing")+($AL296="Sales")+($AL296="Entrepreneurship")+($AL296="Hospitality and Tourism"))&gt;0,"Commerce",IF((($AL296="Social Sciences and Humanities")+($AL296="Law Studies")+($AL296="Education and Training")+($AL296="Art, Design")+($AL296="Entertainment and Mass Media")+($AL296="Community and Social Service")+($AL296="Personal Care and Services")+($AL296="Government and Public Administration")+($AL296="Defence/ Protective Service")+($AL296="Sports"))&gt;0,"Arts / Humanities",""))))</f>
        <v/>
      </c>
      <c r="BD296" s="5" t="str">
        <f aca="false">IF($B296="","",--(F296&gt;=10)+--(G296&gt;=10)+--(H296&gt;=10)+--(I296&gt;=10)+--(J296&gt;=10)+--(K296&gt;=10)+--(L296&gt;=10)+--(M296&gt;=10)+--(N296&gt;=10)+--(O296&gt;=10))</f>
        <v/>
      </c>
      <c r="BE296" s="5" t="str">
        <f aca="false">IF($B296="","",--(AND(F296&lt;&gt;"",F296&lt;=8))+--(AND(G296&lt;&gt;"",G296&lt;=8))+--(AND(H296&lt;&gt;"",H296&lt;=8))+--(AND(I296&lt;&gt;"",I296&lt;=8))+--(AND(J296&lt;&gt;"",J296&lt;=8))+--(AND(K296&lt;&gt;"",K296&lt;=8))+--(AND(L296&lt;&gt;"",L296&lt;=8))+--(AND(M296&lt;&gt;"",M296&lt;=8))+--(AND(N296&lt;&gt;"",N296&lt;=8))+--(AND(O296&lt;&gt;"",O296&lt;=8)))</f>
        <v/>
      </c>
    </row>
    <row r="297" customFormat="false" ht="15" hidden="false" customHeight="false" outlineLevel="0" collapsed="false">
      <c r="AZ297" s="5" t="str">
        <f aca="false">IF($B297="","",SUMPRODUCT(($AL297:$AO297&lt;&gt;"")*(COUNTIF($AP297:$AX297,$AL297:$AO297)&gt;0)))</f>
        <v/>
      </c>
      <c r="BA297" s="5" t="str">
        <f aca="false">IF($B297="","",IF(AZ297&gt;0,1,0))</f>
        <v/>
      </c>
      <c r="BB297" s="5" t="str">
        <f aca="false">IF($AP297="","",IF((($AP297="Engineering and Technology")+($AP297="Science and Mathematics")+($AP297="Computer Science, IT and Allied Fields")+($AP297="Life Sciences /Medicine and Healthcare")+($AP297="Paramedical")+($AP297="Architecture")+($AP297="Environmental Service")+($AP297="Agriculture, Food Industry and Forestry"))&gt;0,"Science",IF((($AP297="Banking and Finance")+($AP297="Management and Administration")+($AP297="Marketing")+($AP297="Sales")+($AP297="Entrepreneurship")+($AP297="Hospitality and Tourism"))&gt;0,"Commerce",IF((($AP297="Social Sciences and Humanities")+($AP297="Law Studies")+($AP297="Education and Training")+($AP297="Art, Design")+($AP297="Entertainment and Mass Media")+($AP297="Community and Social Service")+($AP297="Personal Care and Services")+($AP297="Government and Public Administration")+($AP297="Defence/ Protective Service")+($AP297="Sports"))&gt;0,"Arts / Humanities",""))))</f>
        <v/>
      </c>
      <c r="BC297" s="5" t="str">
        <f aca="false">IF($AL297="","",IF((($AL297="Engineering and Technology")+($AL297="Science and Mathematics")+($AL297="Computer Science, IT and Allied Fields")+($AL297="Life Sciences /Medicine and Healthcare")+($AL297="Paramedical")+($AL297="Architecture")+($AL297="Environmental Service")+($AL297="Agriculture, Food Industry and Forestry"))&gt;0,"Science",IF((($AL297="Banking and Finance")+($AL297="Management and Administration")+($AL297="Marketing")+($AL297="Sales")+($AL297="Entrepreneurship")+($AL297="Hospitality and Tourism"))&gt;0,"Commerce",IF((($AL297="Social Sciences and Humanities")+($AL297="Law Studies")+($AL297="Education and Training")+($AL297="Art, Design")+($AL297="Entertainment and Mass Media")+($AL297="Community and Social Service")+($AL297="Personal Care and Services")+($AL297="Government and Public Administration")+($AL297="Defence/ Protective Service")+($AL297="Sports"))&gt;0,"Arts / Humanities",""))))</f>
        <v/>
      </c>
      <c r="BD297" s="5" t="str">
        <f aca="false">IF($B297="","",--(F297&gt;=10)+--(G297&gt;=10)+--(H297&gt;=10)+--(I297&gt;=10)+--(J297&gt;=10)+--(K297&gt;=10)+--(L297&gt;=10)+--(M297&gt;=10)+--(N297&gt;=10)+--(O297&gt;=10))</f>
        <v/>
      </c>
      <c r="BE297" s="5" t="str">
        <f aca="false">IF($B297="","",--(AND(F297&lt;&gt;"",F297&lt;=8))+--(AND(G297&lt;&gt;"",G297&lt;=8))+--(AND(H297&lt;&gt;"",H297&lt;=8))+--(AND(I297&lt;&gt;"",I297&lt;=8))+--(AND(J297&lt;&gt;"",J297&lt;=8))+--(AND(K297&lt;&gt;"",K297&lt;=8))+--(AND(L297&lt;&gt;"",L297&lt;=8))+--(AND(M297&lt;&gt;"",M297&lt;=8))+--(AND(N297&lt;&gt;"",N297&lt;=8))+--(AND(O297&lt;&gt;"",O297&lt;=8)))</f>
        <v/>
      </c>
    </row>
    <row r="298" customFormat="false" ht="15" hidden="false" customHeight="false" outlineLevel="0" collapsed="false">
      <c r="AZ298" s="5" t="str">
        <f aca="false">IF($B298="","",SUMPRODUCT(($AL298:$AO298&lt;&gt;"")*(COUNTIF($AP298:$AX298,$AL298:$AO298)&gt;0)))</f>
        <v/>
      </c>
      <c r="BA298" s="5" t="str">
        <f aca="false">IF($B298="","",IF(AZ298&gt;0,1,0))</f>
        <v/>
      </c>
      <c r="BB298" s="5" t="str">
        <f aca="false">IF($AP298="","",IF((($AP298="Engineering and Technology")+($AP298="Science and Mathematics")+($AP298="Computer Science, IT and Allied Fields")+($AP298="Life Sciences /Medicine and Healthcare")+($AP298="Paramedical")+($AP298="Architecture")+($AP298="Environmental Service")+($AP298="Agriculture, Food Industry and Forestry"))&gt;0,"Science",IF((($AP298="Banking and Finance")+($AP298="Management and Administration")+($AP298="Marketing")+($AP298="Sales")+($AP298="Entrepreneurship")+($AP298="Hospitality and Tourism"))&gt;0,"Commerce",IF((($AP298="Social Sciences and Humanities")+($AP298="Law Studies")+($AP298="Education and Training")+($AP298="Art, Design")+($AP298="Entertainment and Mass Media")+($AP298="Community and Social Service")+($AP298="Personal Care and Services")+($AP298="Government and Public Administration")+($AP298="Defence/ Protective Service")+($AP298="Sports"))&gt;0,"Arts / Humanities",""))))</f>
        <v/>
      </c>
      <c r="BC298" s="5" t="str">
        <f aca="false">IF($AL298="","",IF((($AL298="Engineering and Technology")+($AL298="Science and Mathematics")+($AL298="Computer Science, IT and Allied Fields")+($AL298="Life Sciences /Medicine and Healthcare")+($AL298="Paramedical")+($AL298="Architecture")+($AL298="Environmental Service")+($AL298="Agriculture, Food Industry and Forestry"))&gt;0,"Science",IF((($AL298="Banking and Finance")+($AL298="Management and Administration")+($AL298="Marketing")+($AL298="Sales")+($AL298="Entrepreneurship")+($AL298="Hospitality and Tourism"))&gt;0,"Commerce",IF((($AL298="Social Sciences and Humanities")+($AL298="Law Studies")+($AL298="Education and Training")+($AL298="Art, Design")+($AL298="Entertainment and Mass Media")+($AL298="Community and Social Service")+($AL298="Personal Care and Services")+($AL298="Government and Public Administration")+($AL298="Defence/ Protective Service")+($AL298="Sports"))&gt;0,"Arts / Humanities",""))))</f>
        <v/>
      </c>
      <c r="BD298" s="5" t="str">
        <f aca="false">IF($B298="","",--(F298&gt;=10)+--(G298&gt;=10)+--(H298&gt;=10)+--(I298&gt;=10)+--(J298&gt;=10)+--(K298&gt;=10)+--(L298&gt;=10)+--(M298&gt;=10)+--(N298&gt;=10)+--(O298&gt;=10))</f>
        <v/>
      </c>
      <c r="BE298" s="5" t="str">
        <f aca="false">IF($B298="","",--(AND(F298&lt;&gt;"",F298&lt;=8))+--(AND(G298&lt;&gt;"",G298&lt;=8))+--(AND(H298&lt;&gt;"",H298&lt;=8))+--(AND(I298&lt;&gt;"",I298&lt;=8))+--(AND(J298&lt;&gt;"",J298&lt;=8))+--(AND(K298&lt;&gt;"",K298&lt;=8))+--(AND(L298&lt;&gt;"",L298&lt;=8))+--(AND(M298&lt;&gt;"",M298&lt;=8))+--(AND(N298&lt;&gt;"",N298&lt;=8))+--(AND(O298&lt;&gt;"",O298&lt;=8)))</f>
        <v/>
      </c>
    </row>
    <row r="299" customFormat="false" ht="15" hidden="false" customHeight="false" outlineLevel="0" collapsed="false">
      <c r="AZ299" s="5" t="str">
        <f aca="false">IF($B299="","",SUMPRODUCT(($AL299:$AO299&lt;&gt;"")*(COUNTIF($AP299:$AX299,$AL299:$AO299)&gt;0)))</f>
        <v/>
      </c>
      <c r="BA299" s="5" t="str">
        <f aca="false">IF($B299="","",IF(AZ299&gt;0,1,0))</f>
        <v/>
      </c>
      <c r="BB299" s="5" t="str">
        <f aca="false">IF($AP299="","",IF((($AP299="Engineering and Technology")+($AP299="Science and Mathematics")+($AP299="Computer Science, IT and Allied Fields")+($AP299="Life Sciences /Medicine and Healthcare")+($AP299="Paramedical")+($AP299="Architecture")+($AP299="Environmental Service")+($AP299="Agriculture, Food Industry and Forestry"))&gt;0,"Science",IF((($AP299="Banking and Finance")+($AP299="Management and Administration")+($AP299="Marketing")+($AP299="Sales")+($AP299="Entrepreneurship")+($AP299="Hospitality and Tourism"))&gt;0,"Commerce",IF((($AP299="Social Sciences and Humanities")+($AP299="Law Studies")+($AP299="Education and Training")+($AP299="Art, Design")+($AP299="Entertainment and Mass Media")+($AP299="Community and Social Service")+($AP299="Personal Care and Services")+($AP299="Government and Public Administration")+($AP299="Defence/ Protective Service")+($AP299="Sports"))&gt;0,"Arts / Humanities",""))))</f>
        <v/>
      </c>
      <c r="BC299" s="5" t="str">
        <f aca="false">IF($AL299="","",IF((($AL299="Engineering and Technology")+($AL299="Science and Mathematics")+($AL299="Computer Science, IT and Allied Fields")+($AL299="Life Sciences /Medicine and Healthcare")+($AL299="Paramedical")+($AL299="Architecture")+($AL299="Environmental Service")+($AL299="Agriculture, Food Industry and Forestry"))&gt;0,"Science",IF((($AL299="Banking and Finance")+($AL299="Management and Administration")+($AL299="Marketing")+($AL299="Sales")+($AL299="Entrepreneurship")+($AL299="Hospitality and Tourism"))&gt;0,"Commerce",IF((($AL299="Social Sciences and Humanities")+($AL299="Law Studies")+($AL299="Education and Training")+($AL299="Art, Design")+($AL299="Entertainment and Mass Media")+($AL299="Community and Social Service")+($AL299="Personal Care and Services")+($AL299="Government and Public Administration")+($AL299="Defence/ Protective Service")+($AL299="Sports"))&gt;0,"Arts / Humanities",""))))</f>
        <v/>
      </c>
      <c r="BD299" s="5" t="str">
        <f aca="false">IF($B299="","",--(F299&gt;=10)+--(G299&gt;=10)+--(H299&gt;=10)+--(I299&gt;=10)+--(J299&gt;=10)+--(K299&gt;=10)+--(L299&gt;=10)+--(M299&gt;=10)+--(N299&gt;=10)+--(O299&gt;=10))</f>
        <v/>
      </c>
      <c r="BE299" s="5" t="str">
        <f aca="false">IF($B299="","",--(AND(F299&lt;&gt;"",F299&lt;=8))+--(AND(G299&lt;&gt;"",G299&lt;=8))+--(AND(H299&lt;&gt;"",H299&lt;=8))+--(AND(I299&lt;&gt;"",I299&lt;=8))+--(AND(J299&lt;&gt;"",J299&lt;=8))+--(AND(K299&lt;&gt;"",K299&lt;=8))+--(AND(L299&lt;&gt;"",L299&lt;=8))+--(AND(M299&lt;&gt;"",M299&lt;=8))+--(AND(N299&lt;&gt;"",N299&lt;=8))+--(AND(O299&lt;&gt;"",O299&lt;=8)))</f>
        <v/>
      </c>
    </row>
    <row r="300" customFormat="false" ht="15" hidden="false" customHeight="false" outlineLevel="0" collapsed="false">
      <c r="AZ300" s="5" t="str">
        <f aca="false">IF($B300="","",SUMPRODUCT(($AL300:$AO300&lt;&gt;"")*(COUNTIF($AP300:$AX300,$AL300:$AO300)&gt;0)))</f>
        <v/>
      </c>
      <c r="BA300" s="5" t="str">
        <f aca="false">IF($B300="","",IF(AZ300&gt;0,1,0))</f>
        <v/>
      </c>
      <c r="BB300" s="5" t="str">
        <f aca="false">IF($AP300="","",IF((($AP300="Engineering and Technology")+($AP300="Science and Mathematics")+($AP300="Computer Science, IT and Allied Fields")+($AP300="Life Sciences /Medicine and Healthcare")+($AP300="Paramedical")+($AP300="Architecture")+($AP300="Environmental Service")+($AP300="Agriculture, Food Industry and Forestry"))&gt;0,"Science",IF((($AP300="Banking and Finance")+($AP300="Management and Administration")+($AP300="Marketing")+($AP300="Sales")+($AP300="Entrepreneurship")+($AP300="Hospitality and Tourism"))&gt;0,"Commerce",IF((($AP300="Social Sciences and Humanities")+($AP300="Law Studies")+($AP300="Education and Training")+($AP300="Art, Design")+($AP300="Entertainment and Mass Media")+($AP300="Community and Social Service")+($AP300="Personal Care and Services")+($AP300="Government and Public Administration")+($AP300="Defence/ Protective Service")+($AP300="Sports"))&gt;0,"Arts / Humanities",""))))</f>
        <v/>
      </c>
      <c r="BC300" s="5" t="str">
        <f aca="false">IF($AL300="","",IF((($AL300="Engineering and Technology")+($AL300="Science and Mathematics")+($AL300="Computer Science, IT and Allied Fields")+($AL300="Life Sciences /Medicine and Healthcare")+($AL300="Paramedical")+($AL300="Architecture")+($AL300="Environmental Service")+($AL300="Agriculture, Food Industry and Forestry"))&gt;0,"Science",IF((($AL300="Banking and Finance")+($AL300="Management and Administration")+($AL300="Marketing")+($AL300="Sales")+($AL300="Entrepreneurship")+($AL300="Hospitality and Tourism"))&gt;0,"Commerce",IF((($AL300="Social Sciences and Humanities")+($AL300="Law Studies")+($AL300="Education and Training")+($AL300="Art, Design")+($AL300="Entertainment and Mass Media")+($AL300="Community and Social Service")+($AL300="Personal Care and Services")+($AL300="Government and Public Administration")+($AL300="Defence/ Protective Service")+($AL300="Sports"))&gt;0,"Arts / Humanities",""))))</f>
        <v/>
      </c>
      <c r="BD300" s="5" t="str">
        <f aca="false">IF($B300="","",--(F300&gt;=10)+--(G300&gt;=10)+--(H300&gt;=10)+--(I300&gt;=10)+--(J300&gt;=10)+--(K300&gt;=10)+--(L300&gt;=10)+--(M300&gt;=10)+--(N300&gt;=10)+--(O300&gt;=10))</f>
        <v/>
      </c>
      <c r="BE300" s="5" t="str">
        <f aca="false">IF($B300="","",--(AND(F300&lt;&gt;"",F300&lt;=8))+--(AND(G300&lt;&gt;"",G300&lt;=8))+--(AND(H300&lt;&gt;"",H300&lt;=8))+--(AND(I300&lt;&gt;"",I300&lt;=8))+--(AND(J300&lt;&gt;"",J300&lt;=8))+--(AND(K300&lt;&gt;"",K300&lt;=8))+--(AND(L300&lt;&gt;"",L300&lt;=8))+--(AND(M300&lt;&gt;"",M300&lt;=8))+--(AND(N300&lt;&gt;"",N300&lt;=8))+--(AND(O300&lt;&gt;"",O300&lt;=8)))</f>
        <v/>
      </c>
    </row>
    <row r="301" customFormat="false" ht="15" hidden="false" customHeight="false" outlineLevel="0" collapsed="false">
      <c r="AZ301" s="5" t="str">
        <f aca="false">IF($B301="","",SUMPRODUCT(($AL301:$AO301&lt;&gt;"")*(COUNTIF($AP301:$AX301,$AL301:$AO301)&gt;0)))</f>
        <v/>
      </c>
      <c r="BA301" s="5" t="str">
        <f aca="false">IF($B301="","",IF(AZ301&gt;0,1,0))</f>
        <v/>
      </c>
      <c r="BB301" s="5" t="str">
        <f aca="false">IF($AP301="","",IF((($AP301="Engineering and Technology")+($AP301="Science and Mathematics")+($AP301="Computer Science, IT and Allied Fields")+($AP301="Life Sciences /Medicine and Healthcare")+($AP301="Paramedical")+($AP301="Architecture")+($AP301="Environmental Service")+($AP301="Agriculture, Food Industry and Forestry"))&gt;0,"Science",IF((($AP301="Banking and Finance")+($AP301="Management and Administration")+($AP301="Marketing")+($AP301="Sales")+($AP301="Entrepreneurship")+($AP301="Hospitality and Tourism"))&gt;0,"Commerce",IF((($AP301="Social Sciences and Humanities")+($AP301="Law Studies")+($AP301="Education and Training")+($AP301="Art, Design")+($AP301="Entertainment and Mass Media")+($AP301="Community and Social Service")+($AP301="Personal Care and Services")+($AP301="Government and Public Administration")+($AP301="Defence/ Protective Service")+($AP301="Sports"))&gt;0,"Arts / Humanities",""))))</f>
        <v/>
      </c>
      <c r="BC301" s="5" t="str">
        <f aca="false">IF($AL301="","",IF((($AL301="Engineering and Technology")+($AL301="Science and Mathematics")+($AL301="Computer Science, IT and Allied Fields")+($AL301="Life Sciences /Medicine and Healthcare")+($AL301="Paramedical")+($AL301="Architecture")+($AL301="Environmental Service")+($AL301="Agriculture, Food Industry and Forestry"))&gt;0,"Science",IF((($AL301="Banking and Finance")+($AL301="Management and Administration")+($AL301="Marketing")+($AL301="Sales")+($AL301="Entrepreneurship")+($AL301="Hospitality and Tourism"))&gt;0,"Commerce",IF((($AL301="Social Sciences and Humanities")+($AL301="Law Studies")+($AL301="Education and Training")+($AL301="Art, Design")+($AL301="Entertainment and Mass Media")+($AL301="Community and Social Service")+($AL301="Personal Care and Services")+($AL301="Government and Public Administration")+($AL301="Defence/ Protective Service")+($AL301="Sports"))&gt;0,"Arts / Humanities",""))))</f>
        <v/>
      </c>
      <c r="BD301" s="5" t="str">
        <f aca="false">IF($B301="","",--(F301&gt;=10)+--(G301&gt;=10)+--(H301&gt;=10)+--(I301&gt;=10)+--(J301&gt;=10)+--(K301&gt;=10)+--(L301&gt;=10)+--(M301&gt;=10)+--(N301&gt;=10)+--(O301&gt;=10))</f>
        <v/>
      </c>
      <c r="BE301" s="5" t="str">
        <f aca="false">IF($B301="","",--(AND(F301&lt;&gt;"",F301&lt;=8))+--(AND(G301&lt;&gt;"",G301&lt;=8))+--(AND(H301&lt;&gt;"",H301&lt;=8))+--(AND(I301&lt;&gt;"",I301&lt;=8))+--(AND(J301&lt;&gt;"",J301&lt;=8))+--(AND(K301&lt;&gt;"",K301&lt;=8))+--(AND(L301&lt;&gt;"",L301&lt;=8))+--(AND(M301&lt;&gt;"",M301&lt;=8))+--(AND(N301&lt;&gt;"",N301&lt;=8))+--(AND(O301&lt;&gt;"",O301&lt;=8)))</f>
        <v/>
      </c>
    </row>
    <row r="302" customFormat="false" ht="15" hidden="false" customHeight="false" outlineLevel="0" collapsed="false">
      <c r="AZ302" s="5" t="str">
        <f aca="false">IF($B302="","",SUMPRODUCT(($AL302:$AO302&lt;&gt;"")*(COUNTIF($AP302:$AX302,$AL302:$AO302)&gt;0)))</f>
        <v/>
      </c>
      <c r="BA302" s="5" t="str">
        <f aca="false">IF($B302="","",IF(AZ302&gt;0,1,0))</f>
        <v/>
      </c>
      <c r="BB302" s="5" t="str">
        <f aca="false">IF($AP302="","",IF((($AP302="Engineering and Technology")+($AP302="Science and Mathematics")+($AP302="Computer Science, IT and Allied Fields")+($AP302="Life Sciences /Medicine and Healthcare")+($AP302="Paramedical")+($AP302="Architecture")+($AP302="Environmental Service")+($AP302="Agriculture, Food Industry and Forestry"))&gt;0,"Science",IF((($AP302="Banking and Finance")+($AP302="Management and Administration")+($AP302="Marketing")+($AP302="Sales")+($AP302="Entrepreneurship")+($AP302="Hospitality and Tourism"))&gt;0,"Commerce",IF((($AP302="Social Sciences and Humanities")+($AP302="Law Studies")+($AP302="Education and Training")+($AP302="Art, Design")+($AP302="Entertainment and Mass Media")+($AP302="Community and Social Service")+($AP302="Personal Care and Services")+($AP302="Government and Public Administration")+($AP302="Defence/ Protective Service")+($AP302="Sports"))&gt;0,"Arts / Humanities",""))))</f>
        <v/>
      </c>
      <c r="BC302" s="5" t="str">
        <f aca="false">IF($AL302="","",IF((($AL302="Engineering and Technology")+($AL302="Science and Mathematics")+($AL302="Computer Science, IT and Allied Fields")+($AL302="Life Sciences /Medicine and Healthcare")+($AL302="Paramedical")+($AL302="Architecture")+($AL302="Environmental Service")+($AL302="Agriculture, Food Industry and Forestry"))&gt;0,"Science",IF((($AL302="Banking and Finance")+($AL302="Management and Administration")+($AL302="Marketing")+($AL302="Sales")+($AL302="Entrepreneurship")+($AL302="Hospitality and Tourism"))&gt;0,"Commerce",IF((($AL302="Social Sciences and Humanities")+($AL302="Law Studies")+($AL302="Education and Training")+($AL302="Art, Design")+($AL302="Entertainment and Mass Media")+($AL302="Community and Social Service")+($AL302="Personal Care and Services")+($AL302="Government and Public Administration")+($AL302="Defence/ Protective Service")+($AL302="Sports"))&gt;0,"Arts / Humanities",""))))</f>
        <v/>
      </c>
      <c r="BD302" s="5" t="str">
        <f aca="false">IF($B302="","",--(F302&gt;=10)+--(G302&gt;=10)+--(H302&gt;=10)+--(I302&gt;=10)+--(J302&gt;=10)+--(K302&gt;=10)+--(L302&gt;=10)+--(M302&gt;=10)+--(N302&gt;=10)+--(O302&gt;=10))</f>
        <v/>
      </c>
      <c r="BE302" s="5" t="str">
        <f aca="false">IF($B302="","",--(AND(F302&lt;&gt;"",F302&lt;=8))+--(AND(G302&lt;&gt;"",G302&lt;=8))+--(AND(H302&lt;&gt;"",H302&lt;=8))+--(AND(I302&lt;&gt;"",I302&lt;=8))+--(AND(J302&lt;&gt;"",J302&lt;=8))+--(AND(K302&lt;&gt;"",K302&lt;=8))+--(AND(L302&lt;&gt;"",L302&lt;=8))+--(AND(M302&lt;&gt;"",M302&lt;=8))+--(AND(N302&lt;&gt;"",N302&lt;=8))+--(AND(O302&lt;&gt;"",O302&lt;=8)))</f>
        <v/>
      </c>
    </row>
    <row r="303" customFormat="false" ht="15" hidden="false" customHeight="false" outlineLevel="0" collapsed="false">
      <c r="AZ303" s="5" t="str">
        <f aca="false">IF($B303="","",SUMPRODUCT(($AL303:$AO303&lt;&gt;"")*(COUNTIF($AP303:$AX303,$AL303:$AO303)&gt;0)))</f>
        <v/>
      </c>
      <c r="BA303" s="5" t="str">
        <f aca="false">IF($B303="","",IF(AZ303&gt;0,1,0))</f>
        <v/>
      </c>
      <c r="BB303" s="5" t="str">
        <f aca="false">IF($AP303="","",IF((($AP303="Engineering and Technology")+($AP303="Science and Mathematics")+($AP303="Computer Science, IT and Allied Fields")+($AP303="Life Sciences /Medicine and Healthcare")+($AP303="Paramedical")+($AP303="Architecture")+($AP303="Environmental Service")+($AP303="Agriculture, Food Industry and Forestry"))&gt;0,"Science",IF((($AP303="Banking and Finance")+($AP303="Management and Administration")+($AP303="Marketing")+($AP303="Sales")+($AP303="Entrepreneurship")+($AP303="Hospitality and Tourism"))&gt;0,"Commerce",IF((($AP303="Social Sciences and Humanities")+($AP303="Law Studies")+($AP303="Education and Training")+($AP303="Art, Design")+($AP303="Entertainment and Mass Media")+($AP303="Community and Social Service")+($AP303="Personal Care and Services")+($AP303="Government and Public Administration")+($AP303="Defence/ Protective Service")+($AP303="Sports"))&gt;0,"Arts / Humanities",""))))</f>
        <v/>
      </c>
      <c r="BC303" s="5" t="str">
        <f aca="false">IF($AL303="","",IF((($AL303="Engineering and Technology")+($AL303="Science and Mathematics")+($AL303="Computer Science, IT and Allied Fields")+($AL303="Life Sciences /Medicine and Healthcare")+($AL303="Paramedical")+($AL303="Architecture")+($AL303="Environmental Service")+($AL303="Agriculture, Food Industry and Forestry"))&gt;0,"Science",IF((($AL303="Banking and Finance")+($AL303="Management and Administration")+($AL303="Marketing")+($AL303="Sales")+($AL303="Entrepreneurship")+($AL303="Hospitality and Tourism"))&gt;0,"Commerce",IF((($AL303="Social Sciences and Humanities")+($AL303="Law Studies")+($AL303="Education and Training")+($AL303="Art, Design")+($AL303="Entertainment and Mass Media")+($AL303="Community and Social Service")+($AL303="Personal Care and Services")+($AL303="Government and Public Administration")+($AL303="Defence/ Protective Service")+($AL303="Sports"))&gt;0,"Arts / Humanities",""))))</f>
        <v/>
      </c>
      <c r="BD303" s="5" t="str">
        <f aca="false">IF($B303="","",--(F303&gt;=10)+--(G303&gt;=10)+--(H303&gt;=10)+--(I303&gt;=10)+--(J303&gt;=10)+--(K303&gt;=10)+--(L303&gt;=10)+--(M303&gt;=10)+--(N303&gt;=10)+--(O303&gt;=10))</f>
        <v/>
      </c>
      <c r="BE303" s="5" t="str">
        <f aca="false">IF($B303="","",--(AND(F303&lt;&gt;"",F303&lt;=8))+--(AND(G303&lt;&gt;"",G303&lt;=8))+--(AND(H303&lt;&gt;"",H303&lt;=8))+--(AND(I303&lt;&gt;"",I303&lt;=8))+--(AND(J303&lt;&gt;"",J303&lt;=8))+--(AND(K303&lt;&gt;"",K303&lt;=8))+--(AND(L303&lt;&gt;"",L303&lt;=8))+--(AND(M303&lt;&gt;"",M303&lt;=8))+--(AND(N303&lt;&gt;"",N303&lt;=8))+--(AND(O303&lt;&gt;"",O303&lt;=8)))</f>
        <v/>
      </c>
    </row>
    <row r="304" customFormat="false" ht="15" hidden="false" customHeight="false" outlineLevel="0" collapsed="false">
      <c r="AZ304" s="5" t="str">
        <f aca="false">IF($B304="","",SUMPRODUCT(($AL304:$AO304&lt;&gt;"")*(COUNTIF($AP304:$AX304,$AL304:$AO304)&gt;0)))</f>
        <v/>
      </c>
      <c r="BA304" s="5" t="str">
        <f aca="false">IF($B304="","",IF(AZ304&gt;0,1,0))</f>
        <v/>
      </c>
      <c r="BB304" s="5" t="str">
        <f aca="false">IF($AP304="","",IF((($AP304="Engineering and Technology")+($AP304="Science and Mathematics")+($AP304="Computer Science, IT and Allied Fields")+($AP304="Life Sciences /Medicine and Healthcare")+($AP304="Paramedical")+($AP304="Architecture")+($AP304="Environmental Service")+($AP304="Agriculture, Food Industry and Forestry"))&gt;0,"Science",IF((($AP304="Banking and Finance")+($AP304="Management and Administration")+($AP304="Marketing")+($AP304="Sales")+($AP304="Entrepreneurship")+($AP304="Hospitality and Tourism"))&gt;0,"Commerce",IF((($AP304="Social Sciences and Humanities")+($AP304="Law Studies")+($AP304="Education and Training")+($AP304="Art, Design")+($AP304="Entertainment and Mass Media")+($AP304="Community and Social Service")+($AP304="Personal Care and Services")+($AP304="Government and Public Administration")+($AP304="Defence/ Protective Service")+($AP304="Sports"))&gt;0,"Arts / Humanities",""))))</f>
        <v/>
      </c>
      <c r="BC304" s="5" t="str">
        <f aca="false">IF($AL304="","",IF((($AL304="Engineering and Technology")+($AL304="Science and Mathematics")+($AL304="Computer Science, IT and Allied Fields")+($AL304="Life Sciences /Medicine and Healthcare")+($AL304="Paramedical")+($AL304="Architecture")+($AL304="Environmental Service")+($AL304="Agriculture, Food Industry and Forestry"))&gt;0,"Science",IF((($AL304="Banking and Finance")+($AL304="Management and Administration")+($AL304="Marketing")+($AL304="Sales")+($AL304="Entrepreneurship")+($AL304="Hospitality and Tourism"))&gt;0,"Commerce",IF((($AL304="Social Sciences and Humanities")+($AL304="Law Studies")+($AL304="Education and Training")+($AL304="Art, Design")+($AL304="Entertainment and Mass Media")+($AL304="Community and Social Service")+($AL304="Personal Care and Services")+($AL304="Government and Public Administration")+($AL304="Defence/ Protective Service")+($AL304="Sports"))&gt;0,"Arts / Humanities",""))))</f>
        <v/>
      </c>
      <c r="BD304" s="5" t="str">
        <f aca="false">IF($B304="","",--(F304&gt;=10)+--(G304&gt;=10)+--(H304&gt;=10)+--(I304&gt;=10)+--(J304&gt;=10)+--(K304&gt;=10)+--(L304&gt;=10)+--(M304&gt;=10)+--(N304&gt;=10)+--(O304&gt;=10))</f>
        <v/>
      </c>
      <c r="BE304" s="5" t="str">
        <f aca="false">IF($B304="","",--(AND(F304&lt;&gt;"",F304&lt;=8))+--(AND(G304&lt;&gt;"",G304&lt;=8))+--(AND(H304&lt;&gt;"",H304&lt;=8))+--(AND(I304&lt;&gt;"",I304&lt;=8))+--(AND(J304&lt;&gt;"",J304&lt;=8))+--(AND(K304&lt;&gt;"",K304&lt;=8))+--(AND(L304&lt;&gt;"",L304&lt;=8))+--(AND(M304&lt;&gt;"",M304&lt;=8))+--(AND(N304&lt;&gt;"",N304&lt;=8))+--(AND(O304&lt;&gt;"",O304&lt;=8)))</f>
        <v/>
      </c>
    </row>
    <row r="305" customFormat="false" ht="15" hidden="false" customHeight="false" outlineLevel="0" collapsed="false">
      <c r="AZ305" s="5" t="str">
        <f aca="false">IF($B305="","",SUMPRODUCT(($AL305:$AO305&lt;&gt;"")*(COUNTIF($AP305:$AX305,$AL305:$AO305)&gt;0)))</f>
        <v/>
      </c>
      <c r="BA305" s="5" t="str">
        <f aca="false">IF($B305="","",IF(AZ305&gt;0,1,0))</f>
        <v/>
      </c>
      <c r="BB305" s="5" t="str">
        <f aca="false">IF($AP305="","",IF((($AP305="Engineering and Technology")+($AP305="Science and Mathematics")+($AP305="Computer Science, IT and Allied Fields")+($AP305="Life Sciences /Medicine and Healthcare")+($AP305="Paramedical")+($AP305="Architecture")+($AP305="Environmental Service")+($AP305="Agriculture, Food Industry and Forestry"))&gt;0,"Science",IF((($AP305="Banking and Finance")+($AP305="Management and Administration")+($AP305="Marketing")+($AP305="Sales")+($AP305="Entrepreneurship")+($AP305="Hospitality and Tourism"))&gt;0,"Commerce",IF((($AP305="Social Sciences and Humanities")+($AP305="Law Studies")+($AP305="Education and Training")+($AP305="Art, Design")+($AP305="Entertainment and Mass Media")+($AP305="Community and Social Service")+($AP305="Personal Care and Services")+($AP305="Government and Public Administration")+($AP305="Defence/ Protective Service")+($AP305="Sports"))&gt;0,"Arts / Humanities",""))))</f>
        <v/>
      </c>
      <c r="BC305" s="5" t="str">
        <f aca="false">IF($AL305="","",IF((($AL305="Engineering and Technology")+($AL305="Science and Mathematics")+($AL305="Computer Science, IT and Allied Fields")+($AL305="Life Sciences /Medicine and Healthcare")+($AL305="Paramedical")+($AL305="Architecture")+($AL305="Environmental Service")+($AL305="Agriculture, Food Industry and Forestry"))&gt;0,"Science",IF((($AL305="Banking and Finance")+($AL305="Management and Administration")+($AL305="Marketing")+($AL305="Sales")+($AL305="Entrepreneurship")+($AL305="Hospitality and Tourism"))&gt;0,"Commerce",IF((($AL305="Social Sciences and Humanities")+($AL305="Law Studies")+($AL305="Education and Training")+($AL305="Art, Design")+($AL305="Entertainment and Mass Media")+($AL305="Community and Social Service")+($AL305="Personal Care and Services")+($AL305="Government and Public Administration")+($AL305="Defence/ Protective Service")+($AL305="Sports"))&gt;0,"Arts / Humanities",""))))</f>
        <v/>
      </c>
      <c r="BD305" s="5" t="str">
        <f aca="false">IF($B305="","",--(F305&gt;=10)+--(G305&gt;=10)+--(H305&gt;=10)+--(I305&gt;=10)+--(J305&gt;=10)+--(K305&gt;=10)+--(L305&gt;=10)+--(M305&gt;=10)+--(N305&gt;=10)+--(O305&gt;=10))</f>
        <v/>
      </c>
      <c r="BE305" s="5" t="str">
        <f aca="false">IF($B305="","",--(AND(F305&lt;&gt;"",F305&lt;=8))+--(AND(G305&lt;&gt;"",G305&lt;=8))+--(AND(H305&lt;&gt;"",H305&lt;=8))+--(AND(I305&lt;&gt;"",I305&lt;=8))+--(AND(J305&lt;&gt;"",J305&lt;=8))+--(AND(K305&lt;&gt;"",K305&lt;=8))+--(AND(L305&lt;&gt;"",L305&lt;=8))+--(AND(M305&lt;&gt;"",M305&lt;=8))+--(AND(N305&lt;&gt;"",N305&lt;=8))+--(AND(O305&lt;&gt;"",O305&lt;=8)))</f>
        <v/>
      </c>
    </row>
    <row r="306" customFormat="false" ht="15" hidden="false" customHeight="false" outlineLevel="0" collapsed="false">
      <c r="AZ306" s="5" t="str">
        <f aca="false">IF($B306="","",SUMPRODUCT(($AL306:$AO306&lt;&gt;"")*(COUNTIF($AP306:$AX306,$AL306:$AO306)&gt;0)))</f>
        <v/>
      </c>
      <c r="BA306" s="5" t="str">
        <f aca="false">IF($B306="","",IF(AZ306&gt;0,1,0))</f>
        <v/>
      </c>
      <c r="BB306" s="5" t="str">
        <f aca="false">IF($AP306="","",IF((($AP306="Engineering and Technology")+($AP306="Science and Mathematics")+($AP306="Computer Science, IT and Allied Fields")+($AP306="Life Sciences /Medicine and Healthcare")+($AP306="Paramedical")+($AP306="Architecture")+($AP306="Environmental Service")+($AP306="Agriculture, Food Industry and Forestry"))&gt;0,"Science",IF((($AP306="Banking and Finance")+($AP306="Management and Administration")+($AP306="Marketing")+($AP306="Sales")+($AP306="Entrepreneurship")+($AP306="Hospitality and Tourism"))&gt;0,"Commerce",IF((($AP306="Social Sciences and Humanities")+($AP306="Law Studies")+($AP306="Education and Training")+($AP306="Art, Design")+($AP306="Entertainment and Mass Media")+($AP306="Community and Social Service")+($AP306="Personal Care and Services")+($AP306="Government and Public Administration")+($AP306="Defence/ Protective Service")+($AP306="Sports"))&gt;0,"Arts / Humanities",""))))</f>
        <v/>
      </c>
      <c r="BC306" s="5" t="str">
        <f aca="false">IF($AL306="","",IF((($AL306="Engineering and Technology")+($AL306="Science and Mathematics")+($AL306="Computer Science, IT and Allied Fields")+($AL306="Life Sciences /Medicine and Healthcare")+($AL306="Paramedical")+($AL306="Architecture")+($AL306="Environmental Service")+($AL306="Agriculture, Food Industry and Forestry"))&gt;0,"Science",IF((($AL306="Banking and Finance")+($AL306="Management and Administration")+($AL306="Marketing")+($AL306="Sales")+($AL306="Entrepreneurship")+($AL306="Hospitality and Tourism"))&gt;0,"Commerce",IF((($AL306="Social Sciences and Humanities")+($AL306="Law Studies")+($AL306="Education and Training")+($AL306="Art, Design")+($AL306="Entertainment and Mass Media")+($AL306="Community and Social Service")+($AL306="Personal Care and Services")+($AL306="Government and Public Administration")+($AL306="Defence/ Protective Service")+($AL306="Sports"))&gt;0,"Arts / Humanities",""))))</f>
        <v/>
      </c>
      <c r="BD306" s="5" t="str">
        <f aca="false">IF($B306="","",--(F306&gt;=10)+--(G306&gt;=10)+--(H306&gt;=10)+--(I306&gt;=10)+--(J306&gt;=10)+--(K306&gt;=10)+--(L306&gt;=10)+--(M306&gt;=10)+--(N306&gt;=10)+--(O306&gt;=10))</f>
        <v/>
      </c>
      <c r="BE306" s="5" t="str">
        <f aca="false">IF($B306="","",--(AND(F306&lt;&gt;"",F306&lt;=8))+--(AND(G306&lt;&gt;"",G306&lt;=8))+--(AND(H306&lt;&gt;"",H306&lt;=8))+--(AND(I306&lt;&gt;"",I306&lt;=8))+--(AND(J306&lt;&gt;"",J306&lt;=8))+--(AND(K306&lt;&gt;"",K306&lt;=8))+--(AND(L306&lt;&gt;"",L306&lt;=8))+--(AND(M306&lt;&gt;"",M306&lt;=8))+--(AND(N306&lt;&gt;"",N306&lt;=8))+--(AND(O306&lt;&gt;"",O306&lt;=8)))</f>
        <v/>
      </c>
    </row>
    <row r="307" customFormat="false" ht="15" hidden="false" customHeight="false" outlineLevel="0" collapsed="false">
      <c r="AZ307" s="5" t="str">
        <f aca="false">IF($B307="","",SUMPRODUCT(($AL307:$AO307&lt;&gt;"")*(COUNTIF($AP307:$AX307,$AL307:$AO307)&gt;0)))</f>
        <v/>
      </c>
      <c r="BA307" s="5" t="str">
        <f aca="false">IF($B307="","",IF(AZ307&gt;0,1,0))</f>
        <v/>
      </c>
      <c r="BB307" s="5" t="str">
        <f aca="false">IF($AP307="","",IF((($AP307="Engineering and Technology")+($AP307="Science and Mathematics")+($AP307="Computer Science, IT and Allied Fields")+($AP307="Life Sciences /Medicine and Healthcare")+($AP307="Paramedical")+($AP307="Architecture")+($AP307="Environmental Service")+($AP307="Agriculture, Food Industry and Forestry"))&gt;0,"Science",IF((($AP307="Banking and Finance")+($AP307="Management and Administration")+($AP307="Marketing")+($AP307="Sales")+($AP307="Entrepreneurship")+($AP307="Hospitality and Tourism"))&gt;0,"Commerce",IF((($AP307="Social Sciences and Humanities")+($AP307="Law Studies")+($AP307="Education and Training")+($AP307="Art, Design")+($AP307="Entertainment and Mass Media")+($AP307="Community and Social Service")+($AP307="Personal Care and Services")+($AP307="Government and Public Administration")+($AP307="Defence/ Protective Service")+($AP307="Sports"))&gt;0,"Arts / Humanities",""))))</f>
        <v/>
      </c>
      <c r="BC307" s="5" t="str">
        <f aca="false">IF($AL307="","",IF((($AL307="Engineering and Technology")+($AL307="Science and Mathematics")+($AL307="Computer Science, IT and Allied Fields")+($AL307="Life Sciences /Medicine and Healthcare")+($AL307="Paramedical")+($AL307="Architecture")+($AL307="Environmental Service")+($AL307="Agriculture, Food Industry and Forestry"))&gt;0,"Science",IF((($AL307="Banking and Finance")+($AL307="Management and Administration")+($AL307="Marketing")+($AL307="Sales")+($AL307="Entrepreneurship")+($AL307="Hospitality and Tourism"))&gt;0,"Commerce",IF((($AL307="Social Sciences and Humanities")+($AL307="Law Studies")+($AL307="Education and Training")+($AL307="Art, Design")+($AL307="Entertainment and Mass Media")+($AL307="Community and Social Service")+($AL307="Personal Care and Services")+($AL307="Government and Public Administration")+($AL307="Defence/ Protective Service")+($AL307="Sports"))&gt;0,"Arts / Humanities",""))))</f>
        <v/>
      </c>
      <c r="BD307" s="5" t="str">
        <f aca="false">IF($B307="","",--(F307&gt;=10)+--(G307&gt;=10)+--(H307&gt;=10)+--(I307&gt;=10)+--(J307&gt;=10)+--(K307&gt;=10)+--(L307&gt;=10)+--(M307&gt;=10)+--(N307&gt;=10)+--(O307&gt;=10))</f>
        <v/>
      </c>
      <c r="BE307" s="5" t="str">
        <f aca="false">IF($B307="","",--(AND(F307&lt;&gt;"",F307&lt;=8))+--(AND(G307&lt;&gt;"",G307&lt;=8))+--(AND(H307&lt;&gt;"",H307&lt;=8))+--(AND(I307&lt;&gt;"",I307&lt;=8))+--(AND(J307&lt;&gt;"",J307&lt;=8))+--(AND(K307&lt;&gt;"",K307&lt;=8))+--(AND(L307&lt;&gt;"",L307&lt;=8))+--(AND(M307&lt;&gt;"",M307&lt;=8))+--(AND(N307&lt;&gt;"",N307&lt;=8))+--(AND(O307&lt;&gt;"",O307&lt;=8)))</f>
        <v/>
      </c>
    </row>
    <row r="308" customFormat="false" ht="15" hidden="false" customHeight="false" outlineLevel="0" collapsed="false">
      <c r="AZ308" s="5" t="str">
        <f aca="false">IF($B308="","",SUMPRODUCT(($AL308:$AO308&lt;&gt;"")*(COUNTIF($AP308:$AX308,$AL308:$AO308)&gt;0)))</f>
        <v/>
      </c>
      <c r="BA308" s="5" t="str">
        <f aca="false">IF($B308="","",IF(AZ308&gt;0,1,0))</f>
        <v/>
      </c>
      <c r="BB308" s="5" t="str">
        <f aca="false">IF($AP308="","",IF((($AP308="Engineering and Technology")+($AP308="Science and Mathematics")+($AP308="Computer Science, IT and Allied Fields")+($AP308="Life Sciences /Medicine and Healthcare")+($AP308="Paramedical")+($AP308="Architecture")+($AP308="Environmental Service")+($AP308="Agriculture, Food Industry and Forestry"))&gt;0,"Science",IF((($AP308="Banking and Finance")+($AP308="Management and Administration")+($AP308="Marketing")+($AP308="Sales")+($AP308="Entrepreneurship")+($AP308="Hospitality and Tourism"))&gt;0,"Commerce",IF((($AP308="Social Sciences and Humanities")+($AP308="Law Studies")+($AP308="Education and Training")+($AP308="Art, Design")+($AP308="Entertainment and Mass Media")+($AP308="Community and Social Service")+($AP308="Personal Care and Services")+($AP308="Government and Public Administration")+($AP308="Defence/ Protective Service")+($AP308="Sports"))&gt;0,"Arts / Humanities",""))))</f>
        <v/>
      </c>
      <c r="BC308" s="5" t="str">
        <f aca="false">IF($AL308="","",IF((($AL308="Engineering and Technology")+($AL308="Science and Mathematics")+($AL308="Computer Science, IT and Allied Fields")+($AL308="Life Sciences /Medicine and Healthcare")+($AL308="Paramedical")+($AL308="Architecture")+($AL308="Environmental Service")+($AL308="Agriculture, Food Industry and Forestry"))&gt;0,"Science",IF((($AL308="Banking and Finance")+($AL308="Management and Administration")+($AL308="Marketing")+($AL308="Sales")+($AL308="Entrepreneurship")+($AL308="Hospitality and Tourism"))&gt;0,"Commerce",IF((($AL308="Social Sciences and Humanities")+($AL308="Law Studies")+($AL308="Education and Training")+($AL308="Art, Design")+($AL308="Entertainment and Mass Media")+($AL308="Community and Social Service")+($AL308="Personal Care and Services")+($AL308="Government and Public Administration")+($AL308="Defence/ Protective Service")+($AL308="Sports"))&gt;0,"Arts / Humanities",""))))</f>
        <v/>
      </c>
      <c r="BD308" s="5" t="str">
        <f aca="false">IF($B308="","",--(F308&gt;=10)+--(G308&gt;=10)+--(H308&gt;=10)+--(I308&gt;=10)+--(J308&gt;=10)+--(K308&gt;=10)+--(L308&gt;=10)+--(M308&gt;=10)+--(N308&gt;=10)+--(O308&gt;=10))</f>
        <v/>
      </c>
      <c r="BE308" s="5" t="str">
        <f aca="false">IF($B308="","",--(AND(F308&lt;&gt;"",F308&lt;=8))+--(AND(G308&lt;&gt;"",G308&lt;=8))+--(AND(H308&lt;&gt;"",H308&lt;=8))+--(AND(I308&lt;&gt;"",I308&lt;=8))+--(AND(J308&lt;&gt;"",J308&lt;=8))+--(AND(K308&lt;&gt;"",K308&lt;=8))+--(AND(L308&lt;&gt;"",L308&lt;=8))+--(AND(M308&lt;&gt;"",M308&lt;=8))+--(AND(N308&lt;&gt;"",N308&lt;=8))+--(AND(O308&lt;&gt;"",O308&lt;=8)))</f>
        <v/>
      </c>
    </row>
    <row r="309" customFormat="false" ht="15" hidden="false" customHeight="false" outlineLevel="0" collapsed="false">
      <c r="AZ309" s="5" t="str">
        <f aca="false">IF($B309="","",SUMPRODUCT(($AL309:$AO309&lt;&gt;"")*(COUNTIF($AP309:$AX309,$AL309:$AO309)&gt;0)))</f>
        <v/>
      </c>
      <c r="BA309" s="5" t="str">
        <f aca="false">IF($B309="","",IF(AZ309&gt;0,1,0))</f>
        <v/>
      </c>
      <c r="BB309" s="5" t="str">
        <f aca="false">IF($AP309="","",IF((($AP309="Engineering and Technology")+($AP309="Science and Mathematics")+($AP309="Computer Science, IT and Allied Fields")+($AP309="Life Sciences /Medicine and Healthcare")+($AP309="Paramedical")+($AP309="Architecture")+($AP309="Environmental Service")+($AP309="Agriculture, Food Industry and Forestry"))&gt;0,"Science",IF((($AP309="Banking and Finance")+($AP309="Management and Administration")+($AP309="Marketing")+($AP309="Sales")+($AP309="Entrepreneurship")+($AP309="Hospitality and Tourism"))&gt;0,"Commerce",IF((($AP309="Social Sciences and Humanities")+($AP309="Law Studies")+($AP309="Education and Training")+($AP309="Art, Design")+($AP309="Entertainment and Mass Media")+($AP309="Community and Social Service")+($AP309="Personal Care and Services")+($AP309="Government and Public Administration")+($AP309="Defence/ Protective Service")+($AP309="Sports"))&gt;0,"Arts / Humanities",""))))</f>
        <v/>
      </c>
      <c r="BC309" s="5" t="str">
        <f aca="false">IF($AL309="","",IF((($AL309="Engineering and Technology")+($AL309="Science and Mathematics")+($AL309="Computer Science, IT and Allied Fields")+($AL309="Life Sciences /Medicine and Healthcare")+($AL309="Paramedical")+($AL309="Architecture")+($AL309="Environmental Service")+($AL309="Agriculture, Food Industry and Forestry"))&gt;0,"Science",IF((($AL309="Banking and Finance")+($AL309="Management and Administration")+($AL309="Marketing")+($AL309="Sales")+($AL309="Entrepreneurship")+($AL309="Hospitality and Tourism"))&gt;0,"Commerce",IF((($AL309="Social Sciences and Humanities")+($AL309="Law Studies")+($AL309="Education and Training")+($AL309="Art, Design")+($AL309="Entertainment and Mass Media")+($AL309="Community and Social Service")+($AL309="Personal Care and Services")+($AL309="Government and Public Administration")+($AL309="Defence/ Protective Service")+($AL309="Sports"))&gt;0,"Arts / Humanities",""))))</f>
        <v/>
      </c>
      <c r="BD309" s="5" t="str">
        <f aca="false">IF($B309="","",--(F309&gt;=10)+--(G309&gt;=10)+--(H309&gt;=10)+--(I309&gt;=10)+--(J309&gt;=10)+--(K309&gt;=10)+--(L309&gt;=10)+--(M309&gt;=10)+--(N309&gt;=10)+--(O309&gt;=10))</f>
        <v/>
      </c>
      <c r="BE309" s="5" t="str">
        <f aca="false">IF($B309="","",--(AND(F309&lt;&gt;"",F309&lt;=8))+--(AND(G309&lt;&gt;"",G309&lt;=8))+--(AND(H309&lt;&gt;"",H309&lt;=8))+--(AND(I309&lt;&gt;"",I309&lt;=8))+--(AND(J309&lt;&gt;"",J309&lt;=8))+--(AND(K309&lt;&gt;"",K309&lt;=8))+--(AND(L309&lt;&gt;"",L309&lt;=8))+--(AND(M309&lt;&gt;"",M309&lt;=8))+--(AND(N309&lt;&gt;"",N309&lt;=8))+--(AND(O309&lt;&gt;"",O309&lt;=8)))</f>
        <v/>
      </c>
    </row>
    <row r="310" customFormat="false" ht="15" hidden="false" customHeight="false" outlineLevel="0" collapsed="false">
      <c r="AZ310" s="5" t="str">
        <f aca="false">IF($B310="","",SUMPRODUCT(($AL310:$AO310&lt;&gt;"")*(COUNTIF($AP310:$AX310,$AL310:$AO310)&gt;0)))</f>
        <v/>
      </c>
      <c r="BA310" s="5" t="str">
        <f aca="false">IF($B310="","",IF(AZ310&gt;0,1,0))</f>
        <v/>
      </c>
      <c r="BB310" s="5" t="str">
        <f aca="false">IF($AP310="","",IF((($AP310="Engineering and Technology")+($AP310="Science and Mathematics")+($AP310="Computer Science, IT and Allied Fields")+($AP310="Life Sciences /Medicine and Healthcare")+($AP310="Paramedical")+($AP310="Architecture")+($AP310="Environmental Service")+($AP310="Agriculture, Food Industry and Forestry"))&gt;0,"Science",IF((($AP310="Banking and Finance")+($AP310="Management and Administration")+($AP310="Marketing")+($AP310="Sales")+($AP310="Entrepreneurship")+($AP310="Hospitality and Tourism"))&gt;0,"Commerce",IF((($AP310="Social Sciences and Humanities")+($AP310="Law Studies")+($AP310="Education and Training")+($AP310="Art, Design")+($AP310="Entertainment and Mass Media")+($AP310="Community and Social Service")+($AP310="Personal Care and Services")+($AP310="Government and Public Administration")+($AP310="Defence/ Protective Service")+($AP310="Sports"))&gt;0,"Arts / Humanities",""))))</f>
        <v/>
      </c>
      <c r="BC310" s="5" t="str">
        <f aca="false">IF($AL310="","",IF((($AL310="Engineering and Technology")+($AL310="Science and Mathematics")+($AL310="Computer Science, IT and Allied Fields")+($AL310="Life Sciences /Medicine and Healthcare")+($AL310="Paramedical")+($AL310="Architecture")+($AL310="Environmental Service")+($AL310="Agriculture, Food Industry and Forestry"))&gt;0,"Science",IF((($AL310="Banking and Finance")+($AL310="Management and Administration")+($AL310="Marketing")+($AL310="Sales")+($AL310="Entrepreneurship")+($AL310="Hospitality and Tourism"))&gt;0,"Commerce",IF((($AL310="Social Sciences and Humanities")+($AL310="Law Studies")+($AL310="Education and Training")+($AL310="Art, Design")+($AL310="Entertainment and Mass Media")+($AL310="Community and Social Service")+($AL310="Personal Care and Services")+($AL310="Government and Public Administration")+($AL310="Defence/ Protective Service")+($AL310="Sports"))&gt;0,"Arts / Humanities",""))))</f>
        <v/>
      </c>
      <c r="BD310" s="5" t="str">
        <f aca="false">IF($B310="","",--(F310&gt;=10)+--(G310&gt;=10)+--(H310&gt;=10)+--(I310&gt;=10)+--(J310&gt;=10)+--(K310&gt;=10)+--(L310&gt;=10)+--(M310&gt;=10)+--(N310&gt;=10)+--(O310&gt;=10))</f>
        <v/>
      </c>
      <c r="BE310" s="5" t="str">
        <f aca="false">IF($B310="","",--(AND(F310&lt;&gt;"",F310&lt;=8))+--(AND(G310&lt;&gt;"",G310&lt;=8))+--(AND(H310&lt;&gt;"",H310&lt;=8))+--(AND(I310&lt;&gt;"",I310&lt;=8))+--(AND(J310&lt;&gt;"",J310&lt;=8))+--(AND(K310&lt;&gt;"",K310&lt;=8))+--(AND(L310&lt;&gt;"",L310&lt;=8))+--(AND(M310&lt;&gt;"",M310&lt;=8))+--(AND(N310&lt;&gt;"",N310&lt;=8))+--(AND(O310&lt;&gt;"",O310&lt;=8)))</f>
        <v/>
      </c>
    </row>
    <row r="311" customFormat="false" ht="15" hidden="false" customHeight="false" outlineLevel="0" collapsed="false">
      <c r="AZ311" s="5" t="str">
        <f aca="false">IF($B311="","",SUMPRODUCT(($AL311:$AO311&lt;&gt;"")*(COUNTIF($AP311:$AX311,$AL311:$AO311)&gt;0)))</f>
        <v/>
      </c>
      <c r="BA311" s="5" t="str">
        <f aca="false">IF($B311="","",IF(AZ311&gt;0,1,0))</f>
        <v/>
      </c>
      <c r="BB311" s="5" t="str">
        <f aca="false">IF($AP311="","",IF((($AP311="Engineering and Technology")+($AP311="Science and Mathematics")+($AP311="Computer Science, IT and Allied Fields")+($AP311="Life Sciences /Medicine and Healthcare")+($AP311="Paramedical")+($AP311="Architecture")+($AP311="Environmental Service")+($AP311="Agriculture, Food Industry and Forestry"))&gt;0,"Science",IF((($AP311="Banking and Finance")+($AP311="Management and Administration")+($AP311="Marketing")+($AP311="Sales")+($AP311="Entrepreneurship")+($AP311="Hospitality and Tourism"))&gt;0,"Commerce",IF((($AP311="Social Sciences and Humanities")+($AP311="Law Studies")+($AP311="Education and Training")+($AP311="Art, Design")+($AP311="Entertainment and Mass Media")+($AP311="Community and Social Service")+($AP311="Personal Care and Services")+($AP311="Government and Public Administration")+($AP311="Defence/ Protective Service")+($AP311="Sports"))&gt;0,"Arts / Humanities",""))))</f>
        <v/>
      </c>
      <c r="BC311" s="5" t="str">
        <f aca="false">IF($AL311="","",IF((($AL311="Engineering and Technology")+($AL311="Science and Mathematics")+($AL311="Computer Science, IT and Allied Fields")+($AL311="Life Sciences /Medicine and Healthcare")+($AL311="Paramedical")+($AL311="Architecture")+($AL311="Environmental Service")+($AL311="Agriculture, Food Industry and Forestry"))&gt;0,"Science",IF((($AL311="Banking and Finance")+($AL311="Management and Administration")+($AL311="Marketing")+($AL311="Sales")+($AL311="Entrepreneurship")+($AL311="Hospitality and Tourism"))&gt;0,"Commerce",IF((($AL311="Social Sciences and Humanities")+($AL311="Law Studies")+($AL311="Education and Training")+($AL311="Art, Design")+($AL311="Entertainment and Mass Media")+($AL311="Community and Social Service")+($AL311="Personal Care and Services")+($AL311="Government and Public Administration")+($AL311="Defence/ Protective Service")+($AL311="Sports"))&gt;0,"Arts / Humanities",""))))</f>
        <v/>
      </c>
      <c r="BD311" s="5" t="str">
        <f aca="false">IF($B311="","",--(F311&gt;=10)+--(G311&gt;=10)+--(H311&gt;=10)+--(I311&gt;=10)+--(J311&gt;=10)+--(K311&gt;=10)+--(L311&gt;=10)+--(M311&gt;=10)+--(N311&gt;=10)+--(O311&gt;=10))</f>
        <v/>
      </c>
      <c r="BE311" s="5" t="str">
        <f aca="false">IF($B311="","",--(AND(F311&lt;&gt;"",F311&lt;=8))+--(AND(G311&lt;&gt;"",G311&lt;=8))+--(AND(H311&lt;&gt;"",H311&lt;=8))+--(AND(I311&lt;&gt;"",I311&lt;=8))+--(AND(J311&lt;&gt;"",J311&lt;=8))+--(AND(K311&lt;&gt;"",K311&lt;=8))+--(AND(L311&lt;&gt;"",L311&lt;=8))+--(AND(M311&lt;&gt;"",M311&lt;=8))+--(AND(N311&lt;&gt;"",N311&lt;=8))+--(AND(O311&lt;&gt;"",O311&lt;=8)))</f>
        <v/>
      </c>
    </row>
    <row r="312" customFormat="false" ht="15" hidden="false" customHeight="false" outlineLevel="0" collapsed="false">
      <c r="AZ312" s="5" t="str">
        <f aca="false">IF($B312="","",SUMPRODUCT(($AL312:$AO312&lt;&gt;"")*(COUNTIF($AP312:$AX312,$AL312:$AO312)&gt;0)))</f>
        <v/>
      </c>
      <c r="BA312" s="5" t="str">
        <f aca="false">IF($B312="","",IF(AZ312&gt;0,1,0))</f>
        <v/>
      </c>
      <c r="BB312" s="5" t="str">
        <f aca="false">IF($AP312="","",IF((($AP312="Engineering and Technology")+($AP312="Science and Mathematics")+($AP312="Computer Science, IT and Allied Fields")+($AP312="Life Sciences /Medicine and Healthcare")+($AP312="Paramedical")+($AP312="Architecture")+($AP312="Environmental Service")+($AP312="Agriculture, Food Industry and Forestry"))&gt;0,"Science",IF((($AP312="Banking and Finance")+($AP312="Management and Administration")+($AP312="Marketing")+($AP312="Sales")+($AP312="Entrepreneurship")+($AP312="Hospitality and Tourism"))&gt;0,"Commerce",IF((($AP312="Social Sciences and Humanities")+($AP312="Law Studies")+($AP312="Education and Training")+($AP312="Art, Design")+($AP312="Entertainment and Mass Media")+($AP312="Community and Social Service")+($AP312="Personal Care and Services")+($AP312="Government and Public Administration")+($AP312="Defence/ Protective Service")+($AP312="Sports"))&gt;0,"Arts / Humanities",""))))</f>
        <v/>
      </c>
      <c r="BC312" s="5" t="str">
        <f aca="false">IF($AL312="","",IF((($AL312="Engineering and Technology")+($AL312="Science and Mathematics")+($AL312="Computer Science, IT and Allied Fields")+($AL312="Life Sciences /Medicine and Healthcare")+($AL312="Paramedical")+($AL312="Architecture")+($AL312="Environmental Service")+($AL312="Agriculture, Food Industry and Forestry"))&gt;0,"Science",IF((($AL312="Banking and Finance")+($AL312="Management and Administration")+($AL312="Marketing")+($AL312="Sales")+($AL312="Entrepreneurship")+($AL312="Hospitality and Tourism"))&gt;0,"Commerce",IF((($AL312="Social Sciences and Humanities")+($AL312="Law Studies")+($AL312="Education and Training")+($AL312="Art, Design")+($AL312="Entertainment and Mass Media")+($AL312="Community and Social Service")+($AL312="Personal Care and Services")+($AL312="Government and Public Administration")+($AL312="Defence/ Protective Service")+($AL312="Sports"))&gt;0,"Arts / Humanities",""))))</f>
        <v/>
      </c>
      <c r="BD312" s="5" t="str">
        <f aca="false">IF($B312="","",--(F312&gt;=10)+--(G312&gt;=10)+--(H312&gt;=10)+--(I312&gt;=10)+--(J312&gt;=10)+--(K312&gt;=10)+--(L312&gt;=10)+--(M312&gt;=10)+--(N312&gt;=10)+--(O312&gt;=10))</f>
        <v/>
      </c>
      <c r="BE312" s="5" t="str">
        <f aca="false">IF($B312="","",--(AND(F312&lt;&gt;"",F312&lt;=8))+--(AND(G312&lt;&gt;"",G312&lt;=8))+--(AND(H312&lt;&gt;"",H312&lt;=8))+--(AND(I312&lt;&gt;"",I312&lt;=8))+--(AND(J312&lt;&gt;"",J312&lt;=8))+--(AND(K312&lt;&gt;"",K312&lt;=8))+--(AND(L312&lt;&gt;"",L312&lt;=8))+--(AND(M312&lt;&gt;"",M312&lt;=8))+--(AND(N312&lt;&gt;"",N312&lt;=8))+--(AND(O312&lt;&gt;"",O312&lt;=8)))</f>
        <v/>
      </c>
    </row>
    <row r="313" customFormat="false" ht="15" hidden="false" customHeight="false" outlineLevel="0" collapsed="false">
      <c r="AZ313" s="5" t="str">
        <f aca="false">IF($B313="","",SUMPRODUCT(($AL313:$AO313&lt;&gt;"")*(COUNTIF($AP313:$AX313,$AL313:$AO313)&gt;0)))</f>
        <v/>
      </c>
      <c r="BA313" s="5" t="str">
        <f aca="false">IF($B313="","",IF(AZ313&gt;0,1,0))</f>
        <v/>
      </c>
      <c r="BB313" s="5" t="str">
        <f aca="false">IF($AP313="","",IF((($AP313="Engineering and Technology")+($AP313="Science and Mathematics")+($AP313="Computer Science, IT and Allied Fields")+($AP313="Life Sciences /Medicine and Healthcare")+($AP313="Paramedical")+($AP313="Architecture")+($AP313="Environmental Service")+($AP313="Agriculture, Food Industry and Forestry"))&gt;0,"Science",IF((($AP313="Banking and Finance")+($AP313="Management and Administration")+($AP313="Marketing")+($AP313="Sales")+($AP313="Entrepreneurship")+($AP313="Hospitality and Tourism"))&gt;0,"Commerce",IF((($AP313="Social Sciences and Humanities")+($AP313="Law Studies")+($AP313="Education and Training")+($AP313="Art, Design")+($AP313="Entertainment and Mass Media")+($AP313="Community and Social Service")+($AP313="Personal Care and Services")+($AP313="Government and Public Administration")+($AP313="Defence/ Protective Service")+($AP313="Sports"))&gt;0,"Arts / Humanities",""))))</f>
        <v/>
      </c>
      <c r="BC313" s="5" t="str">
        <f aca="false">IF($AL313="","",IF((($AL313="Engineering and Technology")+($AL313="Science and Mathematics")+($AL313="Computer Science, IT and Allied Fields")+($AL313="Life Sciences /Medicine and Healthcare")+($AL313="Paramedical")+($AL313="Architecture")+($AL313="Environmental Service")+($AL313="Agriculture, Food Industry and Forestry"))&gt;0,"Science",IF((($AL313="Banking and Finance")+($AL313="Management and Administration")+($AL313="Marketing")+($AL313="Sales")+($AL313="Entrepreneurship")+($AL313="Hospitality and Tourism"))&gt;0,"Commerce",IF((($AL313="Social Sciences and Humanities")+($AL313="Law Studies")+($AL313="Education and Training")+($AL313="Art, Design")+($AL313="Entertainment and Mass Media")+($AL313="Community and Social Service")+($AL313="Personal Care and Services")+($AL313="Government and Public Administration")+($AL313="Defence/ Protective Service")+($AL313="Sports"))&gt;0,"Arts / Humanities",""))))</f>
        <v/>
      </c>
      <c r="BD313" s="5" t="str">
        <f aca="false">IF($B313="","",--(F313&gt;=10)+--(G313&gt;=10)+--(H313&gt;=10)+--(I313&gt;=10)+--(J313&gt;=10)+--(K313&gt;=10)+--(L313&gt;=10)+--(M313&gt;=10)+--(N313&gt;=10)+--(O313&gt;=10))</f>
        <v/>
      </c>
      <c r="BE313" s="5" t="str">
        <f aca="false">IF($B313="","",--(AND(F313&lt;&gt;"",F313&lt;=8))+--(AND(G313&lt;&gt;"",G313&lt;=8))+--(AND(H313&lt;&gt;"",H313&lt;=8))+--(AND(I313&lt;&gt;"",I313&lt;=8))+--(AND(J313&lt;&gt;"",J313&lt;=8))+--(AND(K313&lt;&gt;"",K313&lt;=8))+--(AND(L313&lt;&gt;"",L313&lt;=8))+--(AND(M313&lt;&gt;"",M313&lt;=8))+--(AND(N313&lt;&gt;"",N313&lt;=8))+--(AND(O313&lt;&gt;"",O313&lt;=8)))</f>
        <v/>
      </c>
    </row>
    <row r="314" customFormat="false" ht="15" hidden="false" customHeight="false" outlineLevel="0" collapsed="false">
      <c r="AZ314" s="5" t="str">
        <f aca="false">IF($B314="","",SUMPRODUCT(($AL314:$AO314&lt;&gt;"")*(COUNTIF($AP314:$AX314,$AL314:$AO314)&gt;0)))</f>
        <v/>
      </c>
      <c r="BA314" s="5" t="str">
        <f aca="false">IF($B314="","",IF(AZ314&gt;0,1,0))</f>
        <v/>
      </c>
      <c r="BB314" s="5" t="str">
        <f aca="false">IF($AP314="","",IF((($AP314="Engineering and Technology")+($AP314="Science and Mathematics")+($AP314="Computer Science, IT and Allied Fields")+($AP314="Life Sciences /Medicine and Healthcare")+($AP314="Paramedical")+($AP314="Architecture")+($AP314="Environmental Service")+($AP314="Agriculture, Food Industry and Forestry"))&gt;0,"Science",IF((($AP314="Banking and Finance")+($AP314="Management and Administration")+($AP314="Marketing")+($AP314="Sales")+($AP314="Entrepreneurship")+($AP314="Hospitality and Tourism"))&gt;0,"Commerce",IF((($AP314="Social Sciences and Humanities")+($AP314="Law Studies")+($AP314="Education and Training")+($AP314="Art, Design")+($AP314="Entertainment and Mass Media")+($AP314="Community and Social Service")+($AP314="Personal Care and Services")+($AP314="Government and Public Administration")+($AP314="Defence/ Protective Service")+($AP314="Sports"))&gt;0,"Arts / Humanities",""))))</f>
        <v/>
      </c>
      <c r="BC314" s="5" t="str">
        <f aca="false">IF($AL314="","",IF((($AL314="Engineering and Technology")+($AL314="Science and Mathematics")+($AL314="Computer Science, IT and Allied Fields")+($AL314="Life Sciences /Medicine and Healthcare")+($AL314="Paramedical")+($AL314="Architecture")+($AL314="Environmental Service")+($AL314="Agriculture, Food Industry and Forestry"))&gt;0,"Science",IF((($AL314="Banking and Finance")+($AL314="Management and Administration")+($AL314="Marketing")+($AL314="Sales")+($AL314="Entrepreneurship")+($AL314="Hospitality and Tourism"))&gt;0,"Commerce",IF((($AL314="Social Sciences and Humanities")+($AL314="Law Studies")+($AL314="Education and Training")+($AL314="Art, Design")+($AL314="Entertainment and Mass Media")+($AL314="Community and Social Service")+($AL314="Personal Care and Services")+($AL314="Government and Public Administration")+($AL314="Defence/ Protective Service")+($AL314="Sports"))&gt;0,"Arts / Humanities",""))))</f>
        <v/>
      </c>
      <c r="BD314" s="5" t="str">
        <f aca="false">IF($B314="","",--(F314&gt;=10)+--(G314&gt;=10)+--(H314&gt;=10)+--(I314&gt;=10)+--(J314&gt;=10)+--(K314&gt;=10)+--(L314&gt;=10)+--(M314&gt;=10)+--(N314&gt;=10)+--(O314&gt;=10))</f>
        <v/>
      </c>
      <c r="BE314" s="5" t="str">
        <f aca="false">IF($B314="","",--(AND(F314&lt;&gt;"",F314&lt;=8))+--(AND(G314&lt;&gt;"",G314&lt;=8))+--(AND(H314&lt;&gt;"",H314&lt;=8))+--(AND(I314&lt;&gt;"",I314&lt;=8))+--(AND(J314&lt;&gt;"",J314&lt;=8))+--(AND(K314&lt;&gt;"",K314&lt;=8))+--(AND(L314&lt;&gt;"",L314&lt;=8))+--(AND(M314&lt;&gt;"",M314&lt;=8))+--(AND(N314&lt;&gt;"",N314&lt;=8))+--(AND(O314&lt;&gt;"",O314&lt;=8)))</f>
        <v/>
      </c>
    </row>
    <row r="315" customFormat="false" ht="15" hidden="false" customHeight="false" outlineLevel="0" collapsed="false">
      <c r="AZ315" s="5" t="str">
        <f aca="false">IF($B315="","",SUMPRODUCT(($AL315:$AO315&lt;&gt;"")*(COUNTIF($AP315:$AX315,$AL315:$AO315)&gt;0)))</f>
        <v/>
      </c>
      <c r="BA315" s="5" t="str">
        <f aca="false">IF($B315="","",IF(AZ315&gt;0,1,0))</f>
        <v/>
      </c>
      <c r="BB315" s="5" t="str">
        <f aca="false">IF($AP315="","",IF((($AP315="Engineering and Technology")+($AP315="Science and Mathematics")+($AP315="Computer Science, IT and Allied Fields")+($AP315="Life Sciences /Medicine and Healthcare")+($AP315="Paramedical")+($AP315="Architecture")+($AP315="Environmental Service")+($AP315="Agriculture, Food Industry and Forestry"))&gt;0,"Science",IF((($AP315="Banking and Finance")+($AP315="Management and Administration")+($AP315="Marketing")+($AP315="Sales")+($AP315="Entrepreneurship")+($AP315="Hospitality and Tourism"))&gt;0,"Commerce",IF((($AP315="Social Sciences and Humanities")+($AP315="Law Studies")+($AP315="Education and Training")+($AP315="Art, Design")+($AP315="Entertainment and Mass Media")+($AP315="Community and Social Service")+($AP315="Personal Care and Services")+($AP315="Government and Public Administration")+($AP315="Defence/ Protective Service")+($AP315="Sports"))&gt;0,"Arts / Humanities",""))))</f>
        <v/>
      </c>
      <c r="BC315" s="5" t="str">
        <f aca="false">IF($AL315="","",IF((($AL315="Engineering and Technology")+($AL315="Science and Mathematics")+($AL315="Computer Science, IT and Allied Fields")+($AL315="Life Sciences /Medicine and Healthcare")+($AL315="Paramedical")+($AL315="Architecture")+($AL315="Environmental Service")+($AL315="Agriculture, Food Industry and Forestry"))&gt;0,"Science",IF((($AL315="Banking and Finance")+($AL315="Management and Administration")+($AL315="Marketing")+($AL315="Sales")+($AL315="Entrepreneurship")+($AL315="Hospitality and Tourism"))&gt;0,"Commerce",IF((($AL315="Social Sciences and Humanities")+($AL315="Law Studies")+($AL315="Education and Training")+($AL315="Art, Design")+($AL315="Entertainment and Mass Media")+($AL315="Community and Social Service")+($AL315="Personal Care and Services")+($AL315="Government and Public Administration")+($AL315="Defence/ Protective Service")+($AL315="Sports"))&gt;0,"Arts / Humanities",""))))</f>
        <v/>
      </c>
      <c r="BD315" s="5" t="str">
        <f aca="false">IF($B315="","",--(F315&gt;=10)+--(G315&gt;=10)+--(H315&gt;=10)+--(I315&gt;=10)+--(J315&gt;=10)+--(K315&gt;=10)+--(L315&gt;=10)+--(M315&gt;=10)+--(N315&gt;=10)+--(O315&gt;=10))</f>
        <v/>
      </c>
      <c r="BE315" s="5" t="str">
        <f aca="false">IF($B315="","",--(AND(F315&lt;&gt;"",F315&lt;=8))+--(AND(G315&lt;&gt;"",G315&lt;=8))+--(AND(H315&lt;&gt;"",H315&lt;=8))+--(AND(I315&lt;&gt;"",I315&lt;=8))+--(AND(J315&lt;&gt;"",J315&lt;=8))+--(AND(K315&lt;&gt;"",K315&lt;=8))+--(AND(L315&lt;&gt;"",L315&lt;=8))+--(AND(M315&lt;&gt;"",M315&lt;=8))+--(AND(N315&lt;&gt;"",N315&lt;=8))+--(AND(O315&lt;&gt;"",O315&lt;=8)))</f>
        <v/>
      </c>
    </row>
    <row r="316" customFormat="false" ht="15" hidden="false" customHeight="false" outlineLevel="0" collapsed="false">
      <c r="AZ316" s="5" t="str">
        <f aca="false">IF($B316="","",SUMPRODUCT(($AL316:$AO316&lt;&gt;"")*(COUNTIF($AP316:$AX316,$AL316:$AO316)&gt;0)))</f>
        <v/>
      </c>
      <c r="BA316" s="5" t="str">
        <f aca="false">IF($B316="","",IF(AZ316&gt;0,1,0))</f>
        <v/>
      </c>
      <c r="BB316" s="5" t="str">
        <f aca="false">IF($AP316="","",IF((($AP316="Engineering and Technology")+($AP316="Science and Mathematics")+($AP316="Computer Science, IT and Allied Fields")+($AP316="Life Sciences /Medicine and Healthcare")+($AP316="Paramedical")+($AP316="Architecture")+($AP316="Environmental Service")+($AP316="Agriculture, Food Industry and Forestry"))&gt;0,"Science",IF((($AP316="Banking and Finance")+($AP316="Management and Administration")+($AP316="Marketing")+($AP316="Sales")+($AP316="Entrepreneurship")+($AP316="Hospitality and Tourism"))&gt;0,"Commerce",IF((($AP316="Social Sciences and Humanities")+($AP316="Law Studies")+($AP316="Education and Training")+($AP316="Art, Design")+($AP316="Entertainment and Mass Media")+($AP316="Community and Social Service")+($AP316="Personal Care and Services")+($AP316="Government and Public Administration")+($AP316="Defence/ Protective Service")+($AP316="Sports"))&gt;0,"Arts / Humanities",""))))</f>
        <v/>
      </c>
      <c r="BC316" s="5" t="str">
        <f aca="false">IF($AL316="","",IF((($AL316="Engineering and Technology")+($AL316="Science and Mathematics")+($AL316="Computer Science, IT and Allied Fields")+($AL316="Life Sciences /Medicine and Healthcare")+($AL316="Paramedical")+($AL316="Architecture")+($AL316="Environmental Service")+($AL316="Agriculture, Food Industry and Forestry"))&gt;0,"Science",IF((($AL316="Banking and Finance")+($AL316="Management and Administration")+($AL316="Marketing")+($AL316="Sales")+($AL316="Entrepreneurship")+($AL316="Hospitality and Tourism"))&gt;0,"Commerce",IF((($AL316="Social Sciences and Humanities")+($AL316="Law Studies")+($AL316="Education and Training")+($AL316="Art, Design")+($AL316="Entertainment and Mass Media")+($AL316="Community and Social Service")+($AL316="Personal Care and Services")+($AL316="Government and Public Administration")+($AL316="Defence/ Protective Service")+($AL316="Sports"))&gt;0,"Arts / Humanities",""))))</f>
        <v/>
      </c>
      <c r="BD316" s="5" t="str">
        <f aca="false">IF($B316="","",--(F316&gt;=10)+--(G316&gt;=10)+--(H316&gt;=10)+--(I316&gt;=10)+--(J316&gt;=10)+--(K316&gt;=10)+--(L316&gt;=10)+--(M316&gt;=10)+--(N316&gt;=10)+--(O316&gt;=10))</f>
        <v/>
      </c>
      <c r="BE316" s="5" t="str">
        <f aca="false">IF($B316="","",--(AND(F316&lt;&gt;"",F316&lt;=8))+--(AND(G316&lt;&gt;"",G316&lt;=8))+--(AND(H316&lt;&gt;"",H316&lt;=8))+--(AND(I316&lt;&gt;"",I316&lt;=8))+--(AND(J316&lt;&gt;"",J316&lt;=8))+--(AND(K316&lt;&gt;"",K316&lt;=8))+--(AND(L316&lt;&gt;"",L316&lt;=8))+--(AND(M316&lt;&gt;"",M316&lt;=8))+--(AND(N316&lt;&gt;"",N316&lt;=8))+--(AND(O316&lt;&gt;"",O316&lt;=8)))</f>
        <v/>
      </c>
    </row>
    <row r="317" customFormat="false" ht="15" hidden="false" customHeight="false" outlineLevel="0" collapsed="false">
      <c r="AZ317" s="5" t="str">
        <f aca="false">IF($B317="","",SUMPRODUCT(($AL317:$AO317&lt;&gt;"")*(COUNTIF($AP317:$AX317,$AL317:$AO317)&gt;0)))</f>
        <v/>
      </c>
      <c r="BA317" s="5" t="str">
        <f aca="false">IF($B317="","",IF(AZ317&gt;0,1,0))</f>
        <v/>
      </c>
      <c r="BB317" s="5" t="str">
        <f aca="false">IF($AP317="","",IF((($AP317="Engineering and Technology")+($AP317="Science and Mathematics")+($AP317="Computer Science, IT and Allied Fields")+($AP317="Life Sciences /Medicine and Healthcare")+($AP317="Paramedical")+($AP317="Architecture")+($AP317="Environmental Service")+($AP317="Agriculture, Food Industry and Forestry"))&gt;0,"Science",IF((($AP317="Banking and Finance")+($AP317="Management and Administration")+($AP317="Marketing")+($AP317="Sales")+($AP317="Entrepreneurship")+($AP317="Hospitality and Tourism"))&gt;0,"Commerce",IF((($AP317="Social Sciences and Humanities")+($AP317="Law Studies")+($AP317="Education and Training")+($AP317="Art, Design")+($AP317="Entertainment and Mass Media")+($AP317="Community and Social Service")+($AP317="Personal Care and Services")+($AP317="Government and Public Administration")+($AP317="Defence/ Protective Service")+($AP317="Sports"))&gt;0,"Arts / Humanities",""))))</f>
        <v/>
      </c>
      <c r="BC317" s="5" t="str">
        <f aca="false">IF($AL317="","",IF((($AL317="Engineering and Technology")+($AL317="Science and Mathematics")+($AL317="Computer Science, IT and Allied Fields")+($AL317="Life Sciences /Medicine and Healthcare")+($AL317="Paramedical")+($AL317="Architecture")+($AL317="Environmental Service")+($AL317="Agriculture, Food Industry and Forestry"))&gt;0,"Science",IF((($AL317="Banking and Finance")+($AL317="Management and Administration")+($AL317="Marketing")+($AL317="Sales")+($AL317="Entrepreneurship")+($AL317="Hospitality and Tourism"))&gt;0,"Commerce",IF((($AL317="Social Sciences and Humanities")+($AL317="Law Studies")+($AL317="Education and Training")+($AL317="Art, Design")+($AL317="Entertainment and Mass Media")+($AL317="Community and Social Service")+($AL317="Personal Care and Services")+($AL317="Government and Public Administration")+($AL317="Defence/ Protective Service")+($AL317="Sports"))&gt;0,"Arts / Humanities",""))))</f>
        <v/>
      </c>
      <c r="BD317" s="5" t="str">
        <f aca="false">IF($B317="","",--(F317&gt;=10)+--(G317&gt;=10)+--(H317&gt;=10)+--(I317&gt;=10)+--(J317&gt;=10)+--(K317&gt;=10)+--(L317&gt;=10)+--(M317&gt;=10)+--(N317&gt;=10)+--(O317&gt;=10))</f>
        <v/>
      </c>
      <c r="BE317" s="5" t="str">
        <f aca="false">IF($B317="","",--(AND(F317&lt;&gt;"",F317&lt;=8))+--(AND(G317&lt;&gt;"",G317&lt;=8))+--(AND(H317&lt;&gt;"",H317&lt;=8))+--(AND(I317&lt;&gt;"",I317&lt;=8))+--(AND(J317&lt;&gt;"",J317&lt;=8))+--(AND(K317&lt;&gt;"",K317&lt;=8))+--(AND(L317&lt;&gt;"",L317&lt;=8))+--(AND(M317&lt;&gt;"",M317&lt;=8))+--(AND(N317&lt;&gt;"",N317&lt;=8))+--(AND(O317&lt;&gt;"",O317&lt;=8)))</f>
        <v/>
      </c>
    </row>
    <row r="318" customFormat="false" ht="15" hidden="false" customHeight="false" outlineLevel="0" collapsed="false">
      <c r="AZ318" s="5" t="str">
        <f aca="false">IF($B318="","",SUMPRODUCT(($AL318:$AO318&lt;&gt;"")*(COUNTIF($AP318:$AX318,$AL318:$AO318)&gt;0)))</f>
        <v/>
      </c>
      <c r="BA318" s="5" t="str">
        <f aca="false">IF($B318="","",IF(AZ318&gt;0,1,0))</f>
        <v/>
      </c>
      <c r="BB318" s="5" t="str">
        <f aca="false">IF($AP318="","",IF((($AP318="Engineering and Technology")+($AP318="Science and Mathematics")+($AP318="Computer Science, IT and Allied Fields")+($AP318="Life Sciences /Medicine and Healthcare")+($AP318="Paramedical")+($AP318="Architecture")+($AP318="Environmental Service")+($AP318="Agriculture, Food Industry and Forestry"))&gt;0,"Science",IF((($AP318="Banking and Finance")+($AP318="Management and Administration")+($AP318="Marketing")+($AP318="Sales")+($AP318="Entrepreneurship")+($AP318="Hospitality and Tourism"))&gt;0,"Commerce",IF((($AP318="Social Sciences and Humanities")+($AP318="Law Studies")+($AP318="Education and Training")+($AP318="Art, Design")+($AP318="Entertainment and Mass Media")+($AP318="Community and Social Service")+($AP318="Personal Care and Services")+($AP318="Government and Public Administration")+($AP318="Defence/ Protective Service")+($AP318="Sports"))&gt;0,"Arts / Humanities",""))))</f>
        <v/>
      </c>
      <c r="BC318" s="5" t="str">
        <f aca="false">IF($AL318="","",IF((($AL318="Engineering and Technology")+($AL318="Science and Mathematics")+($AL318="Computer Science, IT and Allied Fields")+($AL318="Life Sciences /Medicine and Healthcare")+($AL318="Paramedical")+($AL318="Architecture")+($AL318="Environmental Service")+($AL318="Agriculture, Food Industry and Forestry"))&gt;0,"Science",IF((($AL318="Banking and Finance")+($AL318="Management and Administration")+($AL318="Marketing")+($AL318="Sales")+($AL318="Entrepreneurship")+($AL318="Hospitality and Tourism"))&gt;0,"Commerce",IF((($AL318="Social Sciences and Humanities")+($AL318="Law Studies")+($AL318="Education and Training")+($AL318="Art, Design")+($AL318="Entertainment and Mass Media")+($AL318="Community and Social Service")+($AL318="Personal Care and Services")+($AL318="Government and Public Administration")+($AL318="Defence/ Protective Service")+($AL318="Sports"))&gt;0,"Arts / Humanities",""))))</f>
        <v/>
      </c>
      <c r="BD318" s="5" t="str">
        <f aca="false">IF($B318="","",--(F318&gt;=10)+--(G318&gt;=10)+--(H318&gt;=10)+--(I318&gt;=10)+--(J318&gt;=10)+--(K318&gt;=10)+--(L318&gt;=10)+--(M318&gt;=10)+--(N318&gt;=10)+--(O318&gt;=10))</f>
        <v/>
      </c>
      <c r="BE318" s="5" t="str">
        <f aca="false">IF($B318="","",--(AND(F318&lt;&gt;"",F318&lt;=8))+--(AND(G318&lt;&gt;"",G318&lt;=8))+--(AND(H318&lt;&gt;"",H318&lt;=8))+--(AND(I318&lt;&gt;"",I318&lt;=8))+--(AND(J318&lt;&gt;"",J318&lt;=8))+--(AND(K318&lt;&gt;"",K318&lt;=8))+--(AND(L318&lt;&gt;"",L318&lt;=8))+--(AND(M318&lt;&gt;"",M318&lt;=8))+--(AND(N318&lt;&gt;"",N318&lt;=8))+--(AND(O318&lt;&gt;"",O318&lt;=8)))</f>
        <v/>
      </c>
    </row>
    <row r="319" customFormat="false" ht="15" hidden="false" customHeight="false" outlineLevel="0" collapsed="false">
      <c r="AZ319" s="5" t="str">
        <f aca="false">IF($B319="","",SUMPRODUCT(($AL319:$AO319&lt;&gt;"")*(COUNTIF($AP319:$AX319,$AL319:$AO319)&gt;0)))</f>
        <v/>
      </c>
      <c r="BA319" s="5" t="str">
        <f aca="false">IF($B319="","",IF(AZ319&gt;0,1,0))</f>
        <v/>
      </c>
      <c r="BB319" s="5" t="str">
        <f aca="false">IF($AP319="","",IF((($AP319="Engineering and Technology")+($AP319="Science and Mathematics")+($AP319="Computer Science, IT and Allied Fields")+($AP319="Life Sciences /Medicine and Healthcare")+($AP319="Paramedical")+($AP319="Architecture")+($AP319="Environmental Service")+($AP319="Agriculture, Food Industry and Forestry"))&gt;0,"Science",IF((($AP319="Banking and Finance")+($AP319="Management and Administration")+($AP319="Marketing")+($AP319="Sales")+($AP319="Entrepreneurship")+($AP319="Hospitality and Tourism"))&gt;0,"Commerce",IF((($AP319="Social Sciences and Humanities")+($AP319="Law Studies")+($AP319="Education and Training")+($AP319="Art, Design")+($AP319="Entertainment and Mass Media")+($AP319="Community and Social Service")+($AP319="Personal Care and Services")+($AP319="Government and Public Administration")+($AP319="Defence/ Protective Service")+($AP319="Sports"))&gt;0,"Arts / Humanities",""))))</f>
        <v/>
      </c>
      <c r="BC319" s="5" t="str">
        <f aca="false">IF($AL319="","",IF((($AL319="Engineering and Technology")+($AL319="Science and Mathematics")+($AL319="Computer Science, IT and Allied Fields")+($AL319="Life Sciences /Medicine and Healthcare")+($AL319="Paramedical")+($AL319="Architecture")+($AL319="Environmental Service")+($AL319="Agriculture, Food Industry and Forestry"))&gt;0,"Science",IF((($AL319="Banking and Finance")+($AL319="Management and Administration")+($AL319="Marketing")+($AL319="Sales")+($AL319="Entrepreneurship")+($AL319="Hospitality and Tourism"))&gt;0,"Commerce",IF((($AL319="Social Sciences and Humanities")+($AL319="Law Studies")+($AL319="Education and Training")+($AL319="Art, Design")+($AL319="Entertainment and Mass Media")+($AL319="Community and Social Service")+($AL319="Personal Care and Services")+($AL319="Government and Public Administration")+($AL319="Defence/ Protective Service")+($AL319="Sports"))&gt;0,"Arts / Humanities",""))))</f>
        <v/>
      </c>
      <c r="BD319" s="5" t="str">
        <f aca="false">IF($B319="","",--(F319&gt;=10)+--(G319&gt;=10)+--(H319&gt;=10)+--(I319&gt;=10)+--(J319&gt;=10)+--(K319&gt;=10)+--(L319&gt;=10)+--(M319&gt;=10)+--(N319&gt;=10)+--(O319&gt;=10))</f>
        <v/>
      </c>
      <c r="BE319" s="5" t="str">
        <f aca="false">IF($B319="","",--(AND(F319&lt;&gt;"",F319&lt;=8))+--(AND(G319&lt;&gt;"",G319&lt;=8))+--(AND(H319&lt;&gt;"",H319&lt;=8))+--(AND(I319&lt;&gt;"",I319&lt;=8))+--(AND(J319&lt;&gt;"",J319&lt;=8))+--(AND(K319&lt;&gt;"",K319&lt;=8))+--(AND(L319&lt;&gt;"",L319&lt;=8))+--(AND(M319&lt;&gt;"",M319&lt;=8))+--(AND(N319&lt;&gt;"",N319&lt;=8))+--(AND(O319&lt;&gt;"",O319&lt;=8)))</f>
        <v/>
      </c>
    </row>
    <row r="320" customFormat="false" ht="15" hidden="false" customHeight="false" outlineLevel="0" collapsed="false">
      <c r="AZ320" s="5" t="str">
        <f aca="false">IF($B320="","",SUMPRODUCT(($AL320:$AO320&lt;&gt;"")*(COUNTIF($AP320:$AX320,$AL320:$AO320)&gt;0)))</f>
        <v/>
      </c>
      <c r="BA320" s="5" t="str">
        <f aca="false">IF($B320="","",IF(AZ320&gt;0,1,0))</f>
        <v/>
      </c>
      <c r="BB320" s="5" t="str">
        <f aca="false">IF($AP320="","",IF((($AP320="Engineering and Technology")+($AP320="Science and Mathematics")+($AP320="Computer Science, IT and Allied Fields")+($AP320="Life Sciences /Medicine and Healthcare")+($AP320="Paramedical")+($AP320="Architecture")+($AP320="Environmental Service")+($AP320="Agriculture, Food Industry and Forestry"))&gt;0,"Science",IF((($AP320="Banking and Finance")+($AP320="Management and Administration")+($AP320="Marketing")+($AP320="Sales")+($AP320="Entrepreneurship")+($AP320="Hospitality and Tourism"))&gt;0,"Commerce",IF((($AP320="Social Sciences and Humanities")+($AP320="Law Studies")+($AP320="Education and Training")+($AP320="Art, Design")+($AP320="Entertainment and Mass Media")+($AP320="Community and Social Service")+($AP320="Personal Care and Services")+($AP320="Government and Public Administration")+($AP320="Defence/ Protective Service")+($AP320="Sports"))&gt;0,"Arts / Humanities",""))))</f>
        <v/>
      </c>
      <c r="BC320" s="5" t="str">
        <f aca="false">IF($AL320="","",IF((($AL320="Engineering and Technology")+($AL320="Science and Mathematics")+($AL320="Computer Science, IT and Allied Fields")+($AL320="Life Sciences /Medicine and Healthcare")+($AL320="Paramedical")+($AL320="Architecture")+($AL320="Environmental Service")+($AL320="Agriculture, Food Industry and Forestry"))&gt;0,"Science",IF((($AL320="Banking and Finance")+($AL320="Management and Administration")+($AL320="Marketing")+($AL320="Sales")+($AL320="Entrepreneurship")+($AL320="Hospitality and Tourism"))&gt;0,"Commerce",IF((($AL320="Social Sciences and Humanities")+($AL320="Law Studies")+($AL320="Education and Training")+($AL320="Art, Design")+($AL320="Entertainment and Mass Media")+($AL320="Community and Social Service")+($AL320="Personal Care and Services")+($AL320="Government and Public Administration")+($AL320="Defence/ Protective Service")+($AL320="Sports"))&gt;0,"Arts / Humanities",""))))</f>
        <v/>
      </c>
      <c r="BD320" s="5" t="str">
        <f aca="false">IF($B320="","",--(F320&gt;=10)+--(G320&gt;=10)+--(H320&gt;=10)+--(I320&gt;=10)+--(J320&gt;=10)+--(K320&gt;=10)+--(L320&gt;=10)+--(M320&gt;=10)+--(N320&gt;=10)+--(O320&gt;=10))</f>
        <v/>
      </c>
      <c r="BE320" s="5" t="str">
        <f aca="false">IF($B320="","",--(AND(F320&lt;&gt;"",F320&lt;=8))+--(AND(G320&lt;&gt;"",G320&lt;=8))+--(AND(H320&lt;&gt;"",H320&lt;=8))+--(AND(I320&lt;&gt;"",I320&lt;=8))+--(AND(J320&lt;&gt;"",J320&lt;=8))+--(AND(K320&lt;&gt;"",K320&lt;=8))+--(AND(L320&lt;&gt;"",L320&lt;=8))+--(AND(M320&lt;&gt;"",M320&lt;=8))+--(AND(N320&lt;&gt;"",N320&lt;=8))+--(AND(O320&lt;&gt;"",O320&lt;=8)))</f>
        <v/>
      </c>
    </row>
    <row r="321" customFormat="false" ht="15" hidden="false" customHeight="false" outlineLevel="0" collapsed="false">
      <c r="AZ321" s="5" t="str">
        <f aca="false">IF($B321="","",SUMPRODUCT(($AL321:$AO321&lt;&gt;"")*(COUNTIF($AP321:$AX321,$AL321:$AO321)&gt;0)))</f>
        <v/>
      </c>
      <c r="BA321" s="5" t="str">
        <f aca="false">IF($B321="","",IF(AZ321&gt;0,1,0))</f>
        <v/>
      </c>
      <c r="BB321" s="5" t="str">
        <f aca="false">IF($AP321="","",IF((($AP321="Engineering and Technology")+($AP321="Science and Mathematics")+($AP321="Computer Science, IT and Allied Fields")+($AP321="Life Sciences /Medicine and Healthcare")+($AP321="Paramedical")+($AP321="Architecture")+($AP321="Environmental Service")+($AP321="Agriculture, Food Industry and Forestry"))&gt;0,"Science",IF((($AP321="Banking and Finance")+($AP321="Management and Administration")+($AP321="Marketing")+($AP321="Sales")+($AP321="Entrepreneurship")+($AP321="Hospitality and Tourism"))&gt;0,"Commerce",IF((($AP321="Social Sciences and Humanities")+($AP321="Law Studies")+($AP321="Education and Training")+($AP321="Art, Design")+($AP321="Entertainment and Mass Media")+($AP321="Community and Social Service")+($AP321="Personal Care and Services")+($AP321="Government and Public Administration")+($AP321="Defence/ Protective Service")+($AP321="Sports"))&gt;0,"Arts / Humanities",""))))</f>
        <v/>
      </c>
      <c r="BC321" s="5" t="str">
        <f aca="false">IF($AL321="","",IF((($AL321="Engineering and Technology")+($AL321="Science and Mathematics")+($AL321="Computer Science, IT and Allied Fields")+($AL321="Life Sciences /Medicine and Healthcare")+($AL321="Paramedical")+($AL321="Architecture")+($AL321="Environmental Service")+($AL321="Agriculture, Food Industry and Forestry"))&gt;0,"Science",IF((($AL321="Banking and Finance")+($AL321="Management and Administration")+($AL321="Marketing")+($AL321="Sales")+($AL321="Entrepreneurship")+($AL321="Hospitality and Tourism"))&gt;0,"Commerce",IF((($AL321="Social Sciences and Humanities")+($AL321="Law Studies")+($AL321="Education and Training")+($AL321="Art, Design")+($AL321="Entertainment and Mass Media")+($AL321="Community and Social Service")+($AL321="Personal Care and Services")+($AL321="Government and Public Administration")+($AL321="Defence/ Protective Service")+($AL321="Sports"))&gt;0,"Arts / Humanities",""))))</f>
        <v/>
      </c>
      <c r="BD321" s="5" t="str">
        <f aca="false">IF($B321="","",--(F321&gt;=10)+--(G321&gt;=10)+--(H321&gt;=10)+--(I321&gt;=10)+--(J321&gt;=10)+--(K321&gt;=10)+--(L321&gt;=10)+--(M321&gt;=10)+--(N321&gt;=10)+--(O321&gt;=10))</f>
        <v/>
      </c>
      <c r="BE321" s="5" t="str">
        <f aca="false">IF($B321="","",--(AND(F321&lt;&gt;"",F321&lt;=8))+--(AND(G321&lt;&gt;"",G321&lt;=8))+--(AND(H321&lt;&gt;"",H321&lt;=8))+--(AND(I321&lt;&gt;"",I321&lt;=8))+--(AND(J321&lt;&gt;"",J321&lt;=8))+--(AND(K321&lt;&gt;"",K321&lt;=8))+--(AND(L321&lt;&gt;"",L321&lt;=8))+--(AND(M321&lt;&gt;"",M321&lt;=8))+--(AND(N321&lt;&gt;"",N321&lt;=8))+--(AND(O321&lt;&gt;"",O321&lt;=8)))</f>
        <v/>
      </c>
    </row>
    <row r="322" customFormat="false" ht="15" hidden="false" customHeight="false" outlineLevel="0" collapsed="false">
      <c r="AZ322" s="5" t="str">
        <f aca="false">IF($B322="","",SUMPRODUCT(($AL322:$AO322&lt;&gt;"")*(COUNTIF($AP322:$AX322,$AL322:$AO322)&gt;0)))</f>
        <v/>
      </c>
      <c r="BA322" s="5" t="str">
        <f aca="false">IF($B322="","",IF(AZ322&gt;0,1,0))</f>
        <v/>
      </c>
      <c r="BB322" s="5" t="str">
        <f aca="false">IF($AP322="","",IF((($AP322="Engineering and Technology")+($AP322="Science and Mathematics")+($AP322="Computer Science, IT and Allied Fields")+($AP322="Life Sciences /Medicine and Healthcare")+($AP322="Paramedical")+($AP322="Architecture")+($AP322="Environmental Service")+($AP322="Agriculture, Food Industry and Forestry"))&gt;0,"Science",IF((($AP322="Banking and Finance")+($AP322="Management and Administration")+($AP322="Marketing")+($AP322="Sales")+($AP322="Entrepreneurship")+($AP322="Hospitality and Tourism"))&gt;0,"Commerce",IF((($AP322="Social Sciences and Humanities")+($AP322="Law Studies")+($AP322="Education and Training")+($AP322="Art, Design")+($AP322="Entertainment and Mass Media")+($AP322="Community and Social Service")+($AP322="Personal Care and Services")+($AP322="Government and Public Administration")+($AP322="Defence/ Protective Service")+($AP322="Sports"))&gt;0,"Arts / Humanities",""))))</f>
        <v/>
      </c>
      <c r="BC322" s="5" t="str">
        <f aca="false">IF($AL322="","",IF((($AL322="Engineering and Technology")+($AL322="Science and Mathematics")+($AL322="Computer Science, IT and Allied Fields")+($AL322="Life Sciences /Medicine and Healthcare")+($AL322="Paramedical")+($AL322="Architecture")+($AL322="Environmental Service")+($AL322="Agriculture, Food Industry and Forestry"))&gt;0,"Science",IF((($AL322="Banking and Finance")+($AL322="Management and Administration")+($AL322="Marketing")+($AL322="Sales")+($AL322="Entrepreneurship")+($AL322="Hospitality and Tourism"))&gt;0,"Commerce",IF((($AL322="Social Sciences and Humanities")+($AL322="Law Studies")+($AL322="Education and Training")+($AL322="Art, Design")+($AL322="Entertainment and Mass Media")+($AL322="Community and Social Service")+($AL322="Personal Care and Services")+($AL322="Government and Public Administration")+($AL322="Defence/ Protective Service")+($AL322="Sports"))&gt;0,"Arts / Humanities",""))))</f>
        <v/>
      </c>
      <c r="BD322" s="5" t="str">
        <f aca="false">IF($B322="","",--(F322&gt;=10)+--(G322&gt;=10)+--(H322&gt;=10)+--(I322&gt;=10)+--(J322&gt;=10)+--(K322&gt;=10)+--(L322&gt;=10)+--(M322&gt;=10)+--(N322&gt;=10)+--(O322&gt;=10))</f>
        <v/>
      </c>
      <c r="BE322" s="5" t="str">
        <f aca="false">IF($B322="","",--(AND(F322&lt;&gt;"",F322&lt;=8))+--(AND(G322&lt;&gt;"",G322&lt;=8))+--(AND(H322&lt;&gt;"",H322&lt;=8))+--(AND(I322&lt;&gt;"",I322&lt;=8))+--(AND(J322&lt;&gt;"",J322&lt;=8))+--(AND(K322&lt;&gt;"",K322&lt;=8))+--(AND(L322&lt;&gt;"",L322&lt;=8))+--(AND(M322&lt;&gt;"",M322&lt;=8))+--(AND(N322&lt;&gt;"",N322&lt;=8))+--(AND(O322&lt;&gt;"",O322&lt;=8)))</f>
        <v/>
      </c>
    </row>
    <row r="323" customFormat="false" ht="15" hidden="false" customHeight="false" outlineLevel="0" collapsed="false">
      <c r="AZ323" s="5" t="str">
        <f aca="false">IF($B323="","",SUMPRODUCT(($AL323:$AO323&lt;&gt;"")*(COUNTIF($AP323:$AX323,$AL323:$AO323)&gt;0)))</f>
        <v/>
      </c>
      <c r="BA323" s="5" t="str">
        <f aca="false">IF($B323="","",IF(AZ323&gt;0,1,0))</f>
        <v/>
      </c>
      <c r="BB323" s="5" t="str">
        <f aca="false">IF($AP323="","",IF((($AP323="Engineering and Technology")+($AP323="Science and Mathematics")+($AP323="Computer Science, IT and Allied Fields")+($AP323="Life Sciences /Medicine and Healthcare")+($AP323="Paramedical")+($AP323="Architecture")+($AP323="Environmental Service")+($AP323="Agriculture, Food Industry and Forestry"))&gt;0,"Science",IF((($AP323="Banking and Finance")+($AP323="Management and Administration")+($AP323="Marketing")+($AP323="Sales")+($AP323="Entrepreneurship")+($AP323="Hospitality and Tourism"))&gt;0,"Commerce",IF((($AP323="Social Sciences and Humanities")+($AP323="Law Studies")+($AP323="Education and Training")+($AP323="Art, Design")+($AP323="Entertainment and Mass Media")+($AP323="Community and Social Service")+($AP323="Personal Care and Services")+($AP323="Government and Public Administration")+($AP323="Defence/ Protective Service")+($AP323="Sports"))&gt;0,"Arts / Humanities",""))))</f>
        <v/>
      </c>
      <c r="BC323" s="5" t="str">
        <f aca="false">IF($AL323="","",IF((($AL323="Engineering and Technology")+($AL323="Science and Mathematics")+($AL323="Computer Science, IT and Allied Fields")+($AL323="Life Sciences /Medicine and Healthcare")+($AL323="Paramedical")+($AL323="Architecture")+($AL323="Environmental Service")+($AL323="Agriculture, Food Industry and Forestry"))&gt;0,"Science",IF((($AL323="Banking and Finance")+($AL323="Management and Administration")+($AL323="Marketing")+($AL323="Sales")+($AL323="Entrepreneurship")+($AL323="Hospitality and Tourism"))&gt;0,"Commerce",IF((($AL323="Social Sciences and Humanities")+($AL323="Law Studies")+($AL323="Education and Training")+($AL323="Art, Design")+($AL323="Entertainment and Mass Media")+($AL323="Community and Social Service")+($AL323="Personal Care and Services")+($AL323="Government and Public Administration")+($AL323="Defence/ Protective Service")+($AL323="Sports"))&gt;0,"Arts / Humanities",""))))</f>
        <v/>
      </c>
      <c r="BD323" s="5" t="str">
        <f aca="false">IF($B323="","",--(F323&gt;=10)+--(G323&gt;=10)+--(H323&gt;=10)+--(I323&gt;=10)+--(J323&gt;=10)+--(K323&gt;=10)+--(L323&gt;=10)+--(M323&gt;=10)+--(N323&gt;=10)+--(O323&gt;=10))</f>
        <v/>
      </c>
      <c r="BE323" s="5" t="str">
        <f aca="false">IF($B323="","",--(AND(F323&lt;&gt;"",F323&lt;=8))+--(AND(G323&lt;&gt;"",G323&lt;=8))+--(AND(H323&lt;&gt;"",H323&lt;=8))+--(AND(I323&lt;&gt;"",I323&lt;=8))+--(AND(J323&lt;&gt;"",J323&lt;=8))+--(AND(K323&lt;&gt;"",K323&lt;=8))+--(AND(L323&lt;&gt;"",L323&lt;=8))+--(AND(M323&lt;&gt;"",M323&lt;=8))+--(AND(N323&lt;&gt;"",N323&lt;=8))+--(AND(O323&lt;&gt;"",O323&lt;=8)))</f>
        <v/>
      </c>
    </row>
    <row r="324" customFormat="false" ht="15" hidden="false" customHeight="false" outlineLevel="0" collapsed="false">
      <c r="AZ324" s="5" t="str">
        <f aca="false">IF($B324="","",SUMPRODUCT(($AL324:$AO324&lt;&gt;"")*(COUNTIF($AP324:$AX324,$AL324:$AO324)&gt;0)))</f>
        <v/>
      </c>
      <c r="BA324" s="5" t="str">
        <f aca="false">IF($B324="","",IF(AZ324&gt;0,1,0))</f>
        <v/>
      </c>
      <c r="BB324" s="5" t="str">
        <f aca="false">IF($AP324="","",IF((($AP324="Engineering and Technology")+($AP324="Science and Mathematics")+($AP324="Computer Science, IT and Allied Fields")+($AP324="Life Sciences /Medicine and Healthcare")+($AP324="Paramedical")+($AP324="Architecture")+($AP324="Environmental Service")+($AP324="Agriculture, Food Industry and Forestry"))&gt;0,"Science",IF((($AP324="Banking and Finance")+($AP324="Management and Administration")+($AP324="Marketing")+($AP324="Sales")+($AP324="Entrepreneurship")+($AP324="Hospitality and Tourism"))&gt;0,"Commerce",IF((($AP324="Social Sciences and Humanities")+($AP324="Law Studies")+($AP324="Education and Training")+($AP324="Art, Design")+($AP324="Entertainment and Mass Media")+($AP324="Community and Social Service")+($AP324="Personal Care and Services")+($AP324="Government and Public Administration")+($AP324="Defence/ Protective Service")+($AP324="Sports"))&gt;0,"Arts / Humanities",""))))</f>
        <v/>
      </c>
      <c r="BC324" s="5" t="str">
        <f aca="false">IF($AL324="","",IF((($AL324="Engineering and Technology")+($AL324="Science and Mathematics")+($AL324="Computer Science, IT and Allied Fields")+($AL324="Life Sciences /Medicine and Healthcare")+($AL324="Paramedical")+($AL324="Architecture")+($AL324="Environmental Service")+($AL324="Agriculture, Food Industry and Forestry"))&gt;0,"Science",IF((($AL324="Banking and Finance")+($AL324="Management and Administration")+($AL324="Marketing")+($AL324="Sales")+($AL324="Entrepreneurship")+($AL324="Hospitality and Tourism"))&gt;0,"Commerce",IF((($AL324="Social Sciences and Humanities")+($AL324="Law Studies")+($AL324="Education and Training")+($AL324="Art, Design")+($AL324="Entertainment and Mass Media")+($AL324="Community and Social Service")+($AL324="Personal Care and Services")+($AL324="Government and Public Administration")+($AL324="Defence/ Protective Service")+($AL324="Sports"))&gt;0,"Arts / Humanities",""))))</f>
        <v/>
      </c>
      <c r="BD324" s="5" t="str">
        <f aca="false">IF($B324="","",--(F324&gt;=10)+--(G324&gt;=10)+--(H324&gt;=10)+--(I324&gt;=10)+--(J324&gt;=10)+--(K324&gt;=10)+--(L324&gt;=10)+--(M324&gt;=10)+--(N324&gt;=10)+--(O324&gt;=10))</f>
        <v/>
      </c>
      <c r="BE324" s="5" t="str">
        <f aca="false">IF($B324="","",--(AND(F324&lt;&gt;"",F324&lt;=8))+--(AND(G324&lt;&gt;"",G324&lt;=8))+--(AND(H324&lt;&gt;"",H324&lt;=8))+--(AND(I324&lt;&gt;"",I324&lt;=8))+--(AND(J324&lt;&gt;"",J324&lt;=8))+--(AND(K324&lt;&gt;"",K324&lt;=8))+--(AND(L324&lt;&gt;"",L324&lt;=8))+--(AND(M324&lt;&gt;"",M324&lt;=8))+--(AND(N324&lt;&gt;"",N324&lt;=8))+--(AND(O324&lt;&gt;"",O324&lt;=8)))</f>
        <v/>
      </c>
    </row>
    <row r="325" customFormat="false" ht="15" hidden="false" customHeight="false" outlineLevel="0" collapsed="false">
      <c r="AZ325" s="5" t="str">
        <f aca="false">IF($B325="","",SUMPRODUCT(($AL325:$AO325&lt;&gt;"")*(COUNTIF($AP325:$AX325,$AL325:$AO325)&gt;0)))</f>
        <v/>
      </c>
      <c r="BA325" s="5" t="str">
        <f aca="false">IF($B325="","",IF(AZ325&gt;0,1,0))</f>
        <v/>
      </c>
      <c r="BB325" s="5" t="str">
        <f aca="false">IF($AP325="","",IF((($AP325="Engineering and Technology")+($AP325="Science and Mathematics")+($AP325="Computer Science, IT and Allied Fields")+($AP325="Life Sciences /Medicine and Healthcare")+($AP325="Paramedical")+($AP325="Architecture")+($AP325="Environmental Service")+($AP325="Agriculture, Food Industry and Forestry"))&gt;0,"Science",IF((($AP325="Banking and Finance")+($AP325="Management and Administration")+($AP325="Marketing")+($AP325="Sales")+($AP325="Entrepreneurship")+($AP325="Hospitality and Tourism"))&gt;0,"Commerce",IF((($AP325="Social Sciences and Humanities")+($AP325="Law Studies")+($AP325="Education and Training")+($AP325="Art, Design")+($AP325="Entertainment and Mass Media")+($AP325="Community and Social Service")+($AP325="Personal Care and Services")+($AP325="Government and Public Administration")+($AP325="Defence/ Protective Service")+($AP325="Sports"))&gt;0,"Arts / Humanities",""))))</f>
        <v/>
      </c>
      <c r="BC325" s="5" t="str">
        <f aca="false">IF($AL325="","",IF((($AL325="Engineering and Technology")+($AL325="Science and Mathematics")+($AL325="Computer Science, IT and Allied Fields")+($AL325="Life Sciences /Medicine and Healthcare")+($AL325="Paramedical")+($AL325="Architecture")+($AL325="Environmental Service")+($AL325="Agriculture, Food Industry and Forestry"))&gt;0,"Science",IF((($AL325="Banking and Finance")+($AL325="Management and Administration")+($AL325="Marketing")+($AL325="Sales")+($AL325="Entrepreneurship")+($AL325="Hospitality and Tourism"))&gt;0,"Commerce",IF((($AL325="Social Sciences and Humanities")+($AL325="Law Studies")+($AL325="Education and Training")+($AL325="Art, Design")+($AL325="Entertainment and Mass Media")+($AL325="Community and Social Service")+($AL325="Personal Care and Services")+($AL325="Government and Public Administration")+($AL325="Defence/ Protective Service")+($AL325="Sports"))&gt;0,"Arts / Humanities",""))))</f>
        <v/>
      </c>
      <c r="BD325" s="5" t="str">
        <f aca="false">IF($B325="","",--(F325&gt;=10)+--(G325&gt;=10)+--(H325&gt;=10)+--(I325&gt;=10)+--(J325&gt;=10)+--(K325&gt;=10)+--(L325&gt;=10)+--(M325&gt;=10)+--(N325&gt;=10)+--(O325&gt;=10))</f>
        <v/>
      </c>
      <c r="BE325" s="5" t="str">
        <f aca="false">IF($B325="","",--(AND(F325&lt;&gt;"",F325&lt;=8))+--(AND(G325&lt;&gt;"",G325&lt;=8))+--(AND(H325&lt;&gt;"",H325&lt;=8))+--(AND(I325&lt;&gt;"",I325&lt;=8))+--(AND(J325&lt;&gt;"",J325&lt;=8))+--(AND(K325&lt;&gt;"",K325&lt;=8))+--(AND(L325&lt;&gt;"",L325&lt;=8))+--(AND(M325&lt;&gt;"",M325&lt;=8))+--(AND(N325&lt;&gt;"",N325&lt;=8))+--(AND(O325&lt;&gt;"",O325&lt;=8)))</f>
        <v/>
      </c>
    </row>
    <row r="326" customFormat="false" ht="15" hidden="false" customHeight="false" outlineLevel="0" collapsed="false">
      <c r="AZ326" s="5" t="str">
        <f aca="false">IF($B326="","",SUMPRODUCT(($AL326:$AO326&lt;&gt;"")*(COUNTIF($AP326:$AX326,$AL326:$AO326)&gt;0)))</f>
        <v/>
      </c>
      <c r="BA326" s="5" t="str">
        <f aca="false">IF($B326="","",IF(AZ326&gt;0,1,0))</f>
        <v/>
      </c>
      <c r="BB326" s="5" t="str">
        <f aca="false">IF($AP326="","",IF((($AP326="Engineering and Technology")+($AP326="Science and Mathematics")+($AP326="Computer Science, IT and Allied Fields")+($AP326="Life Sciences /Medicine and Healthcare")+($AP326="Paramedical")+($AP326="Architecture")+($AP326="Environmental Service")+($AP326="Agriculture, Food Industry and Forestry"))&gt;0,"Science",IF((($AP326="Banking and Finance")+($AP326="Management and Administration")+($AP326="Marketing")+($AP326="Sales")+($AP326="Entrepreneurship")+($AP326="Hospitality and Tourism"))&gt;0,"Commerce",IF((($AP326="Social Sciences and Humanities")+($AP326="Law Studies")+($AP326="Education and Training")+($AP326="Art, Design")+($AP326="Entertainment and Mass Media")+($AP326="Community and Social Service")+($AP326="Personal Care and Services")+($AP326="Government and Public Administration")+($AP326="Defence/ Protective Service")+($AP326="Sports"))&gt;0,"Arts / Humanities",""))))</f>
        <v/>
      </c>
      <c r="BC326" s="5" t="str">
        <f aca="false">IF($AL326="","",IF((($AL326="Engineering and Technology")+($AL326="Science and Mathematics")+($AL326="Computer Science, IT and Allied Fields")+($AL326="Life Sciences /Medicine and Healthcare")+($AL326="Paramedical")+($AL326="Architecture")+($AL326="Environmental Service")+($AL326="Agriculture, Food Industry and Forestry"))&gt;0,"Science",IF((($AL326="Banking and Finance")+($AL326="Management and Administration")+($AL326="Marketing")+($AL326="Sales")+($AL326="Entrepreneurship")+($AL326="Hospitality and Tourism"))&gt;0,"Commerce",IF((($AL326="Social Sciences and Humanities")+($AL326="Law Studies")+($AL326="Education and Training")+($AL326="Art, Design")+($AL326="Entertainment and Mass Media")+($AL326="Community and Social Service")+($AL326="Personal Care and Services")+($AL326="Government and Public Administration")+($AL326="Defence/ Protective Service")+($AL326="Sports"))&gt;0,"Arts / Humanities",""))))</f>
        <v/>
      </c>
      <c r="BD326" s="5" t="str">
        <f aca="false">IF($B326="","",--(F326&gt;=10)+--(G326&gt;=10)+--(H326&gt;=10)+--(I326&gt;=10)+--(J326&gt;=10)+--(K326&gt;=10)+--(L326&gt;=10)+--(M326&gt;=10)+--(N326&gt;=10)+--(O326&gt;=10))</f>
        <v/>
      </c>
      <c r="BE326" s="5" t="str">
        <f aca="false">IF($B326="","",--(AND(F326&lt;&gt;"",F326&lt;=8))+--(AND(G326&lt;&gt;"",G326&lt;=8))+--(AND(H326&lt;&gt;"",H326&lt;=8))+--(AND(I326&lt;&gt;"",I326&lt;=8))+--(AND(J326&lt;&gt;"",J326&lt;=8))+--(AND(K326&lt;&gt;"",K326&lt;=8))+--(AND(L326&lt;&gt;"",L326&lt;=8))+--(AND(M326&lt;&gt;"",M326&lt;=8))+--(AND(N326&lt;&gt;"",N326&lt;=8))+--(AND(O326&lt;&gt;"",O326&lt;=8)))</f>
        <v/>
      </c>
    </row>
    <row r="327" customFormat="false" ht="15" hidden="false" customHeight="false" outlineLevel="0" collapsed="false">
      <c r="AZ327" s="5" t="str">
        <f aca="false">IF($B327="","",SUMPRODUCT(($AL327:$AO327&lt;&gt;"")*(COUNTIF($AP327:$AX327,$AL327:$AO327)&gt;0)))</f>
        <v/>
      </c>
      <c r="BA327" s="5" t="str">
        <f aca="false">IF($B327="","",IF(AZ327&gt;0,1,0))</f>
        <v/>
      </c>
      <c r="BB327" s="5" t="str">
        <f aca="false">IF($AP327="","",IF((($AP327="Engineering and Technology")+($AP327="Science and Mathematics")+($AP327="Computer Science, IT and Allied Fields")+($AP327="Life Sciences /Medicine and Healthcare")+($AP327="Paramedical")+($AP327="Architecture")+($AP327="Environmental Service")+($AP327="Agriculture, Food Industry and Forestry"))&gt;0,"Science",IF((($AP327="Banking and Finance")+($AP327="Management and Administration")+($AP327="Marketing")+($AP327="Sales")+($AP327="Entrepreneurship")+($AP327="Hospitality and Tourism"))&gt;0,"Commerce",IF((($AP327="Social Sciences and Humanities")+($AP327="Law Studies")+($AP327="Education and Training")+($AP327="Art, Design")+($AP327="Entertainment and Mass Media")+($AP327="Community and Social Service")+($AP327="Personal Care and Services")+($AP327="Government and Public Administration")+($AP327="Defence/ Protective Service")+($AP327="Sports"))&gt;0,"Arts / Humanities",""))))</f>
        <v/>
      </c>
      <c r="BC327" s="5" t="str">
        <f aca="false">IF($AL327="","",IF((($AL327="Engineering and Technology")+($AL327="Science and Mathematics")+($AL327="Computer Science, IT and Allied Fields")+($AL327="Life Sciences /Medicine and Healthcare")+($AL327="Paramedical")+($AL327="Architecture")+($AL327="Environmental Service")+($AL327="Agriculture, Food Industry and Forestry"))&gt;0,"Science",IF((($AL327="Banking and Finance")+($AL327="Management and Administration")+($AL327="Marketing")+($AL327="Sales")+($AL327="Entrepreneurship")+($AL327="Hospitality and Tourism"))&gt;0,"Commerce",IF((($AL327="Social Sciences and Humanities")+($AL327="Law Studies")+($AL327="Education and Training")+($AL327="Art, Design")+($AL327="Entertainment and Mass Media")+($AL327="Community and Social Service")+($AL327="Personal Care and Services")+($AL327="Government and Public Administration")+($AL327="Defence/ Protective Service")+($AL327="Sports"))&gt;0,"Arts / Humanities",""))))</f>
        <v/>
      </c>
      <c r="BD327" s="5" t="str">
        <f aca="false">IF($B327="","",--(F327&gt;=10)+--(G327&gt;=10)+--(H327&gt;=10)+--(I327&gt;=10)+--(J327&gt;=10)+--(K327&gt;=10)+--(L327&gt;=10)+--(M327&gt;=10)+--(N327&gt;=10)+--(O327&gt;=10))</f>
        <v/>
      </c>
      <c r="BE327" s="5" t="str">
        <f aca="false">IF($B327="","",--(AND(F327&lt;&gt;"",F327&lt;=8))+--(AND(G327&lt;&gt;"",G327&lt;=8))+--(AND(H327&lt;&gt;"",H327&lt;=8))+--(AND(I327&lt;&gt;"",I327&lt;=8))+--(AND(J327&lt;&gt;"",J327&lt;=8))+--(AND(K327&lt;&gt;"",K327&lt;=8))+--(AND(L327&lt;&gt;"",L327&lt;=8))+--(AND(M327&lt;&gt;"",M327&lt;=8))+--(AND(N327&lt;&gt;"",N327&lt;=8))+--(AND(O327&lt;&gt;"",O327&lt;=8)))</f>
        <v/>
      </c>
    </row>
    <row r="328" customFormat="false" ht="15" hidden="false" customHeight="false" outlineLevel="0" collapsed="false">
      <c r="AZ328" s="5" t="str">
        <f aca="false">IF($B328="","",SUMPRODUCT(($AL328:$AO328&lt;&gt;"")*(COUNTIF($AP328:$AX328,$AL328:$AO328)&gt;0)))</f>
        <v/>
      </c>
      <c r="BA328" s="5" t="str">
        <f aca="false">IF($B328="","",IF(AZ328&gt;0,1,0))</f>
        <v/>
      </c>
      <c r="BB328" s="5" t="str">
        <f aca="false">IF($AP328="","",IF((($AP328="Engineering and Technology")+($AP328="Science and Mathematics")+($AP328="Computer Science, IT and Allied Fields")+($AP328="Life Sciences /Medicine and Healthcare")+($AP328="Paramedical")+($AP328="Architecture")+($AP328="Environmental Service")+($AP328="Agriculture, Food Industry and Forestry"))&gt;0,"Science",IF((($AP328="Banking and Finance")+($AP328="Management and Administration")+($AP328="Marketing")+($AP328="Sales")+($AP328="Entrepreneurship")+($AP328="Hospitality and Tourism"))&gt;0,"Commerce",IF((($AP328="Social Sciences and Humanities")+($AP328="Law Studies")+($AP328="Education and Training")+($AP328="Art, Design")+($AP328="Entertainment and Mass Media")+($AP328="Community and Social Service")+($AP328="Personal Care and Services")+($AP328="Government and Public Administration")+($AP328="Defence/ Protective Service")+($AP328="Sports"))&gt;0,"Arts / Humanities",""))))</f>
        <v/>
      </c>
      <c r="BC328" s="5" t="str">
        <f aca="false">IF($AL328="","",IF((($AL328="Engineering and Technology")+($AL328="Science and Mathematics")+($AL328="Computer Science, IT and Allied Fields")+($AL328="Life Sciences /Medicine and Healthcare")+($AL328="Paramedical")+($AL328="Architecture")+($AL328="Environmental Service")+($AL328="Agriculture, Food Industry and Forestry"))&gt;0,"Science",IF((($AL328="Banking and Finance")+($AL328="Management and Administration")+($AL328="Marketing")+($AL328="Sales")+($AL328="Entrepreneurship")+($AL328="Hospitality and Tourism"))&gt;0,"Commerce",IF((($AL328="Social Sciences and Humanities")+($AL328="Law Studies")+($AL328="Education and Training")+($AL328="Art, Design")+($AL328="Entertainment and Mass Media")+($AL328="Community and Social Service")+($AL328="Personal Care and Services")+($AL328="Government and Public Administration")+($AL328="Defence/ Protective Service")+($AL328="Sports"))&gt;0,"Arts / Humanities",""))))</f>
        <v/>
      </c>
      <c r="BD328" s="5" t="str">
        <f aca="false">IF($B328="","",--(F328&gt;=10)+--(G328&gt;=10)+--(H328&gt;=10)+--(I328&gt;=10)+--(J328&gt;=10)+--(K328&gt;=10)+--(L328&gt;=10)+--(M328&gt;=10)+--(N328&gt;=10)+--(O328&gt;=10))</f>
        <v/>
      </c>
      <c r="BE328" s="5" t="str">
        <f aca="false">IF($B328="","",--(AND(F328&lt;&gt;"",F328&lt;=8))+--(AND(G328&lt;&gt;"",G328&lt;=8))+--(AND(H328&lt;&gt;"",H328&lt;=8))+--(AND(I328&lt;&gt;"",I328&lt;=8))+--(AND(J328&lt;&gt;"",J328&lt;=8))+--(AND(K328&lt;&gt;"",K328&lt;=8))+--(AND(L328&lt;&gt;"",L328&lt;=8))+--(AND(M328&lt;&gt;"",M328&lt;=8))+--(AND(N328&lt;&gt;"",N328&lt;=8))+--(AND(O328&lt;&gt;"",O328&lt;=8)))</f>
        <v/>
      </c>
    </row>
    <row r="329" customFormat="false" ht="15" hidden="false" customHeight="false" outlineLevel="0" collapsed="false">
      <c r="AZ329" s="5" t="str">
        <f aca="false">IF($B329="","",SUMPRODUCT(($AL329:$AO329&lt;&gt;"")*(COUNTIF($AP329:$AX329,$AL329:$AO329)&gt;0)))</f>
        <v/>
      </c>
      <c r="BA329" s="5" t="str">
        <f aca="false">IF($B329="","",IF(AZ329&gt;0,1,0))</f>
        <v/>
      </c>
      <c r="BB329" s="5" t="str">
        <f aca="false">IF($AP329="","",IF((($AP329="Engineering and Technology")+($AP329="Science and Mathematics")+($AP329="Computer Science, IT and Allied Fields")+($AP329="Life Sciences /Medicine and Healthcare")+($AP329="Paramedical")+($AP329="Architecture")+($AP329="Environmental Service")+($AP329="Agriculture, Food Industry and Forestry"))&gt;0,"Science",IF((($AP329="Banking and Finance")+($AP329="Management and Administration")+($AP329="Marketing")+($AP329="Sales")+($AP329="Entrepreneurship")+($AP329="Hospitality and Tourism"))&gt;0,"Commerce",IF((($AP329="Social Sciences and Humanities")+($AP329="Law Studies")+($AP329="Education and Training")+($AP329="Art, Design")+($AP329="Entertainment and Mass Media")+($AP329="Community and Social Service")+($AP329="Personal Care and Services")+($AP329="Government and Public Administration")+($AP329="Defence/ Protective Service")+($AP329="Sports"))&gt;0,"Arts / Humanities",""))))</f>
        <v/>
      </c>
      <c r="BC329" s="5" t="str">
        <f aca="false">IF($AL329="","",IF((($AL329="Engineering and Technology")+($AL329="Science and Mathematics")+($AL329="Computer Science, IT and Allied Fields")+($AL329="Life Sciences /Medicine and Healthcare")+($AL329="Paramedical")+($AL329="Architecture")+($AL329="Environmental Service")+($AL329="Agriculture, Food Industry and Forestry"))&gt;0,"Science",IF((($AL329="Banking and Finance")+($AL329="Management and Administration")+($AL329="Marketing")+($AL329="Sales")+($AL329="Entrepreneurship")+($AL329="Hospitality and Tourism"))&gt;0,"Commerce",IF((($AL329="Social Sciences and Humanities")+($AL329="Law Studies")+($AL329="Education and Training")+($AL329="Art, Design")+($AL329="Entertainment and Mass Media")+($AL329="Community and Social Service")+($AL329="Personal Care and Services")+($AL329="Government and Public Administration")+($AL329="Defence/ Protective Service")+($AL329="Sports"))&gt;0,"Arts / Humanities",""))))</f>
        <v/>
      </c>
      <c r="BD329" s="5" t="str">
        <f aca="false">IF($B329="","",--(F329&gt;=10)+--(G329&gt;=10)+--(H329&gt;=10)+--(I329&gt;=10)+--(J329&gt;=10)+--(K329&gt;=10)+--(L329&gt;=10)+--(M329&gt;=10)+--(N329&gt;=10)+--(O329&gt;=10))</f>
        <v/>
      </c>
      <c r="BE329" s="5" t="str">
        <f aca="false">IF($B329="","",--(AND(F329&lt;&gt;"",F329&lt;=8))+--(AND(G329&lt;&gt;"",G329&lt;=8))+--(AND(H329&lt;&gt;"",H329&lt;=8))+--(AND(I329&lt;&gt;"",I329&lt;=8))+--(AND(J329&lt;&gt;"",J329&lt;=8))+--(AND(K329&lt;&gt;"",K329&lt;=8))+--(AND(L329&lt;&gt;"",L329&lt;=8))+--(AND(M329&lt;&gt;"",M329&lt;=8))+--(AND(N329&lt;&gt;"",N329&lt;=8))+--(AND(O329&lt;&gt;"",O329&lt;=8)))</f>
        <v/>
      </c>
    </row>
    <row r="330" customFormat="false" ht="15" hidden="false" customHeight="false" outlineLevel="0" collapsed="false">
      <c r="AZ330" s="5" t="str">
        <f aca="false">IF($B330="","",SUMPRODUCT(($AL330:$AO330&lt;&gt;"")*(COUNTIF($AP330:$AX330,$AL330:$AO330)&gt;0)))</f>
        <v/>
      </c>
      <c r="BA330" s="5" t="str">
        <f aca="false">IF($B330="","",IF(AZ330&gt;0,1,0))</f>
        <v/>
      </c>
      <c r="BB330" s="5" t="str">
        <f aca="false">IF($AP330="","",IF((($AP330="Engineering and Technology")+($AP330="Science and Mathematics")+($AP330="Computer Science, IT and Allied Fields")+($AP330="Life Sciences /Medicine and Healthcare")+($AP330="Paramedical")+($AP330="Architecture")+($AP330="Environmental Service")+($AP330="Agriculture, Food Industry and Forestry"))&gt;0,"Science",IF((($AP330="Banking and Finance")+($AP330="Management and Administration")+($AP330="Marketing")+($AP330="Sales")+($AP330="Entrepreneurship")+($AP330="Hospitality and Tourism"))&gt;0,"Commerce",IF((($AP330="Social Sciences and Humanities")+($AP330="Law Studies")+($AP330="Education and Training")+($AP330="Art, Design")+($AP330="Entertainment and Mass Media")+($AP330="Community and Social Service")+($AP330="Personal Care and Services")+($AP330="Government and Public Administration")+($AP330="Defence/ Protective Service")+($AP330="Sports"))&gt;0,"Arts / Humanities",""))))</f>
        <v/>
      </c>
      <c r="BC330" s="5" t="str">
        <f aca="false">IF($AL330="","",IF((($AL330="Engineering and Technology")+($AL330="Science and Mathematics")+($AL330="Computer Science, IT and Allied Fields")+($AL330="Life Sciences /Medicine and Healthcare")+($AL330="Paramedical")+($AL330="Architecture")+($AL330="Environmental Service")+($AL330="Agriculture, Food Industry and Forestry"))&gt;0,"Science",IF((($AL330="Banking and Finance")+($AL330="Management and Administration")+($AL330="Marketing")+($AL330="Sales")+($AL330="Entrepreneurship")+($AL330="Hospitality and Tourism"))&gt;0,"Commerce",IF((($AL330="Social Sciences and Humanities")+($AL330="Law Studies")+($AL330="Education and Training")+($AL330="Art, Design")+($AL330="Entertainment and Mass Media")+($AL330="Community and Social Service")+($AL330="Personal Care and Services")+($AL330="Government and Public Administration")+($AL330="Defence/ Protective Service")+($AL330="Sports"))&gt;0,"Arts / Humanities",""))))</f>
        <v/>
      </c>
      <c r="BD330" s="5" t="str">
        <f aca="false">IF($B330="","",--(F330&gt;=10)+--(G330&gt;=10)+--(H330&gt;=10)+--(I330&gt;=10)+--(J330&gt;=10)+--(K330&gt;=10)+--(L330&gt;=10)+--(M330&gt;=10)+--(N330&gt;=10)+--(O330&gt;=10))</f>
        <v/>
      </c>
      <c r="BE330" s="5" t="str">
        <f aca="false">IF($B330="","",--(AND(F330&lt;&gt;"",F330&lt;=8))+--(AND(G330&lt;&gt;"",G330&lt;=8))+--(AND(H330&lt;&gt;"",H330&lt;=8))+--(AND(I330&lt;&gt;"",I330&lt;=8))+--(AND(J330&lt;&gt;"",J330&lt;=8))+--(AND(K330&lt;&gt;"",K330&lt;=8))+--(AND(L330&lt;&gt;"",L330&lt;=8))+--(AND(M330&lt;&gt;"",M330&lt;=8))+--(AND(N330&lt;&gt;"",N330&lt;=8))+--(AND(O330&lt;&gt;"",O330&lt;=8)))</f>
        <v/>
      </c>
    </row>
    <row r="331" customFormat="false" ht="15" hidden="false" customHeight="false" outlineLevel="0" collapsed="false">
      <c r="AZ331" s="5" t="str">
        <f aca="false">IF($B331="","",SUMPRODUCT(($AL331:$AO331&lt;&gt;"")*(COUNTIF($AP331:$AX331,$AL331:$AO331)&gt;0)))</f>
        <v/>
      </c>
      <c r="BA331" s="5" t="str">
        <f aca="false">IF($B331="","",IF(AZ331&gt;0,1,0))</f>
        <v/>
      </c>
      <c r="BB331" s="5" t="str">
        <f aca="false">IF($AP331="","",IF((($AP331="Engineering and Technology")+($AP331="Science and Mathematics")+($AP331="Computer Science, IT and Allied Fields")+($AP331="Life Sciences /Medicine and Healthcare")+($AP331="Paramedical")+($AP331="Architecture")+($AP331="Environmental Service")+($AP331="Agriculture, Food Industry and Forestry"))&gt;0,"Science",IF((($AP331="Banking and Finance")+($AP331="Management and Administration")+($AP331="Marketing")+($AP331="Sales")+($AP331="Entrepreneurship")+($AP331="Hospitality and Tourism"))&gt;0,"Commerce",IF((($AP331="Social Sciences and Humanities")+($AP331="Law Studies")+($AP331="Education and Training")+($AP331="Art, Design")+($AP331="Entertainment and Mass Media")+($AP331="Community and Social Service")+($AP331="Personal Care and Services")+($AP331="Government and Public Administration")+($AP331="Defence/ Protective Service")+($AP331="Sports"))&gt;0,"Arts / Humanities",""))))</f>
        <v/>
      </c>
      <c r="BC331" s="5" t="str">
        <f aca="false">IF($AL331="","",IF((($AL331="Engineering and Technology")+($AL331="Science and Mathematics")+($AL331="Computer Science, IT and Allied Fields")+($AL331="Life Sciences /Medicine and Healthcare")+($AL331="Paramedical")+($AL331="Architecture")+($AL331="Environmental Service")+($AL331="Agriculture, Food Industry and Forestry"))&gt;0,"Science",IF((($AL331="Banking and Finance")+($AL331="Management and Administration")+($AL331="Marketing")+($AL331="Sales")+($AL331="Entrepreneurship")+($AL331="Hospitality and Tourism"))&gt;0,"Commerce",IF((($AL331="Social Sciences and Humanities")+($AL331="Law Studies")+($AL331="Education and Training")+($AL331="Art, Design")+($AL331="Entertainment and Mass Media")+($AL331="Community and Social Service")+($AL331="Personal Care and Services")+($AL331="Government and Public Administration")+($AL331="Defence/ Protective Service")+($AL331="Sports"))&gt;0,"Arts / Humanities",""))))</f>
        <v/>
      </c>
      <c r="BD331" s="5" t="str">
        <f aca="false">IF($B331="","",--(F331&gt;=10)+--(G331&gt;=10)+--(H331&gt;=10)+--(I331&gt;=10)+--(J331&gt;=10)+--(K331&gt;=10)+--(L331&gt;=10)+--(M331&gt;=10)+--(N331&gt;=10)+--(O331&gt;=10))</f>
        <v/>
      </c>
      <c r="BE331" s="5" t="str">
        <f aca="false">IF($B331="","",--(AND(F331&lt;&gt;"",F331&lt;=8))+--(AND(G331&lt;&gt;"",G331&lt;=8))+--(AND(H331&lt;&gt;"",H331&lt;=8))+--(AND(I331&lt;&gt;"",I331&lt;=8))+--(AND(J331&lt;&gt;"",J331&lt;=8))+--(AND(K331&lt;&gt;"",K331&lt;=8))+--(AND(L331&lt;&gt;"",L331&lt;=8))+--(AND(M331&lt;&gt;"",M331&lt;=8))+--(AND(N331&lt;&gt;"",N331&lt;=8))+--(AND(O331&lt;&gt;"",O331&lt;=8)))</f>
        <v/>
      </c>
    </row>
    <row r="332" customFormat="false" ht="15" hidden="false" customHeight="false" outlineLevel="0" collapsed="false">
      <c r="AZ332" s="5" t="str">
        <f aca="false">IF($B332="","",SUMPRODUCT(($AL332:$AO332&lt;&gt;"")*(COUNTIF($AP332:$AX332,$AL332:$AO332)&gt;0)))</f>
        <v/>
      </c>
      <c r="BA332" s="5" t="str">
        <f aca="false">IF($B332="","",IF(AZ332&gt;0,1,0))</f>
        <v/>
      </c>
      <c r="BB332" s="5" t="str">
        <f aca="false">IF($AP332="","",IF((($AP332="Engineering and Technology")+($AP332="Science and Mathematics")+($AP332="Computer Science, IT and Allied Fields")+($AP332="Life Sciences /Medicine and Healthcare")+($AP332="Paramedical")+($AP332="Architecture")+($AP332="Environmental Service")+($AP332="Agriculture, Food Industry and Forestry"))&gt;0,"Science",IF((($AP332="Banking and Finance")+($AP332="Management and Administration")+($AP332="Marketing")+($AP332="Sales")+($AP332="Entrepreneurship")+($AP332="Hospitality and Tourism"))&gt;0,"Commerce",IF((($AP332="Social Sciences and Humanities")+($AP332="Law Studies")+($AP332="Education and Training")+($AP332="Art, Design")+($AP332="Entertainment and Mass Media")+($AP332="Community and Social Service")+($AP332="Personal Care and Services")+($AP332="Government and Public Administration")+($AP332="Defence/ Protective Service")+($AP332="Sports"))&gt;0,"Arts / Humanities",""))))</f>
        <v/>
      </c>
      <c r="BC332" s="5" t="str">
        <f aca="false">IF($AL332="","",IF((($AL332="Engineering and Technology")+($AL332="Science and Mathematics")+($AL332="Computer Science, IT and Allied Fields")+($AL332="Life Sciences /Medicine and Healthcare")+($AL332="Paramedical")+($AL332="Architecture")+($AL332="Environmental Service")+($AL332="Agriculture, Food Industry and Forestry"))&gt;0,"Science",IF((($AL332="Banking and Finance")+($AL332="Management and Administration")+($AL332="Marketing")+($AL332="Sales")+($AL332="Entrepreneurship")+($AL332="Hospitality and Tourism"))&gt;0,"Commerce",IF((($AL332="Social Sciences and Humanities")+($AL332="Law Studies")+($AL332="Education and Training")+($AL332="Art, Design")+($AL332="Entertainment and Mass Media")+($AL332="Community and Social Service")+($AL332="Personal Care and Services")+($AL332="Government and Public Administration")+($AL332="Defence/ Protective Service")+($AL332="Sports"))&gt;0,"Arts / Humanities",""))))</f>
        <v/>
      </c>
      <c r="BD332" s="5" t="str">
        <f aca="false">IF($B332="","",--(F332&gt;=10)+--(G332&gt;=10)+--(H332&gt;=10)+--(I332&gt;=10)+--(J332&gt;=10)+--(K332&gt;=10)+--(L332&gt;=10)+--(M332&gt;=10)+--(N332&gt;=10)+--(O332&gt;=10))</f>
        <v/>
      </c>
      <c r="BE332" s="5" t="str">
        <f aca="false">IF($B332="","",--(AND(F332&lt;&gt;"",F332&lt;=8))+--(AND(G332&lt;&gt;"",G332&lt;=8))+--(AND(H332&lt;&gt;"",H332&lt;=8))+--(AND(I332&lt;&gt;"",I332&lt;=8))+--(AND(J332&lt;&gt;"",J332&lt;=8))+--(AND(K332&lt;&gt;"",K332&lt;=8))+--(AND(L332&lt;&gt;"",L332&lt;=8))+--(AND(M332&lt;&gt;"",M332&lt;=8))+--(AND(N332&lt;&gt;"",N332&lt;=8))+--(AND(O332&lt;&gt;"",O332&lt;=8)))</f>
        <v/>
      </c>
    </row>
    <row r="333" customFormat="false" ht="15" hidden="false" customHeight="false" outlineLevel="0" collapsed="false">
      <c r="AZ333" s="5" t="str">
        <f aca="false">IF($B333="","",SUMPRODUCT(($AL333:$AO333&lt;&gt;"")*(COUNTIF($AP333:$AX333,$AL333:$AO333)&gt;0)))</f>
        <v/>
      </c>
      <c r="BA333" s="5" t="str">
        <f aca="false">IF($B333="","",IF(AZ333&gt;0,1,0))</f>
        <v/>
      </c>
      <c r="BB333" s="5" t="str">
        <f aca="false">IF($AP333="","",IF((($AP333="Engineering and Technology")+($AP333="Science and Mathematics")+($AP333="Computer Science, IT and Allied Fields")+($AP333="Life Sciences /Medicine and Healthcare")+($AP333="Paramedical")+($AP333="Architecture")+($AP333="Environmental Service")+($AP333="Agriculture, Food Industry and Forestry"))&gt;0,"Science",IF((($AP333="Banking and Finance")+($AP333="Management and Administration")+($AP333="Marketing")+($AP333="Sales")+($AP333="Entrepreneurship")+($AP333="Hospitality and Tourism"))&gt;0,"Commerce",IF((($AP333="Social Sciences and Humanities")+($AP333="Law Studies")+($AP333="Education and Training")+($AP333="Art, Design")+($AP333="Entertainment and Mass Media")+($AP333="Community and Social Service")+($AP333="Personal Care and Services")+($AP333="Government and Public Administration")+($AP333="Defence/ Protective Service")+($AP333="Sports"))&gt;0,"Arts / Humanities",""))))</f>
        <v/>
      </c>
      <c r="BC333" s="5" t="str">
        <f aca="false">IF($AL333="","",IF((($AL333="Engineering and Technology")+($AL333="Science and Mathematics")+($AL333="Computer Science, IT and Allied Fields")+($AL333="Life Sciences /Medicine and Healthcare")+($AL333="Paramedical")+($AL333="Architecture")+($AL333="Environmental Service")+($AL333="Agriculture, Food Industry and Forestry"))&gt;0,"Science",IF((($AL333="Banking and Finance")+($AL333="Management and Administration")+($AL333="Marketing")+($AL333="Sales")+($AL333="Entrepreneurship")+($AL333="Hospitality and Tourism"))&gt;0,"Commerce",IF((($AL333="Social Sciences and Humanities")+($AL333="Law Studies")+($AL333="Education and Training")+($AL333="Art, Design")+($AL333="Entertainment and Mass Media")+($AL333="Community and Social Service")+($AL333="Personal Care and Services")+($AL333="Government and Public Administration")+($AL333="Defence/ Protective Service")+($AL333="Sports"))&gt;0,"Arts / Humanities",""))))</f>
        <v/>
      </c>
      <c r="BD333" s="5" t="str">
        <f aca="false">IF($B333="","",--(F333&gt;=10)+--(G333&gt;=10)+--(H333&gt;=10)+--(I333&gt;=10)+--(J333&gt;=10)+--(K333&gt;=10)+--(L333&gt;=10)+--(M333&gt;=10)+--(N333&gt;=10)+--(O333&gt;=10))</f>
        <v/>
      </c>
      <c r="BE333" s="5" t="str">
        <f aca="false">IF($B333="","",--(AND(F333&lt;&gt;"",F333&lt;=8))+--(AND(G333&lt;&gt;"",G333&lt;=8))+--(AND(H333&lt;&gt;"",H333&lt;=8))+--(AND(I333&lt;&gt;"",I333&lt;=8))+--(AND(J333&lt;&gt;"",J333&lt;=8))+--(AND(K333&lt;&gt;"",K333&lt;=8))+--(AND(L333&lt;&gt;"",L333&lt;=8))+--(AND(M333&lt;&gt;"",M333&lt;=8))+--(AND(N333&lt;&gt;"",N333&lt;=8))+--(AND(O333&lt;&gt;"",O333&lt;=8)))</f>
        <v/>
      </c>
    </row>
    <row r="334" customFormat="false" ht="15" hidden="false" customHeight="false" outlineLevel="0" collapsed="false">
      <c r="AZ334" s="5" t="str">
        <f aca="false">IF($B334="","",SUMPRODUCT(($AL334:$AO334&lt;&gt;"")*(COUNTIF($AP334:$AX334,$AL334:$AO334)&gt;0)))</f>
        <v/>
      </c>
      <c r="BA334" s="5" t="str">
        <f aca="false">IF($B334="","",IF(AZ334&gt;0,1,0))</f>
        <v/>
      </c>
      <c r="BB334" s="5" t="str">
        <f aca="false">IF($AP334="","",IF((($AP334="Engineering and Technology")+($AP334="Science and Mathematics")+($AP334="Computer Science, IT and Allied Fields")+($AP334="Life Sciences /Medicine and Healthcare")+($AP334="Paramedical")+($AP334="Architecture")+($AP334="Environmental Service")+($AP334="Agriculture, Food Industry and Forestry"))&gt;0,"Science",IF((($AP334="Banking and Finance")+($AP334="Management and Administration")+($AP334="Marketing")+($AP334="Sales")+($AP334="Entrepreneurship")+($AP334="Hospitality and Tourism"))&gt;0,"Commerce",IF((($AP334="Social Sciences and Humanities")+($AP334="Law Studies")+($AP334="Education and Training")+($AP334="Art, Design")+($AP334="Entertainment and Mass Media")+($AP334="Community and Social Service")+($AP334="Personal Care and Services")+($AP334="Government and Public Administration")+($AP334="Defence/ Protective Service")+($AP334="Sports"))&gt;0,"Arts / Humanities",""))))</f>
        <v/>
      </c>
      <c r="BC334" s="5" t="str">
        <f aca="false">IF($AL334="","",IF((($AL334="Engineering and Technology")+($AL334="Science and Mathematics")+($AL334="Computer Science, IT and Allied Fields")+($AL334="Life Sciences /Medicine and Healthcare")+($AL334="Paramedical")+($AL334="Architecture")+($AL334="Environmental Service")+($AL334="Agriculture, Food Industry and Forestry"))&gt;0,"Science",IF((($AL334="Banking and Finance")+($AL334="Management and Administration")+($AL334="Marketing")+($AL334="Sales")+($AL334="Entrepreneurship")+($AL334="Hospitality and Tourism"))&gt;0,"Commerce",IF((($AL334="Social Sciences and Humanities")+($AL334="Law Studies")+($AL334="Education and Training")+($AL334="Art, Design")+($AL334="Entertainment and Mass Media")+($AL334="Community and Social Service")+($AL334="Personal Care and Services")+($AL334="Government and Public Administration")+($AL334="Defence/ Protective Service")+($AL334="Sports"))&gt;0,"Arts / Humanities",""))))</f>
        <v/>
      </c>
      <c r="BD334" s="5" t="str">
        <f aca="false">IF($B334="","",--(F334&gt;=10)+--(G334&gt;=10)+--(H334&gt;=10)+--(I334&gt;=10)+--(J334&gt;=10)+--(K334&gt;=10)+--(L334&gt;=10)+--(M334&gt;=10)+--(N334&gt;=10)+--(O334&gt;=10))</f>
        <v/>
      </c>
      <c r="BE334" s="5" t="str">
        <f aca="false">IF($B334="","",--(AND(F334&lt;&gt;"",F334&lt;=8))+--(AND(G334&lt;&gt;"",G334&lt;=8))+--(AND(H334&lt;&gt;"",H334&lt;=8))+--(AND(I334&lt;&gt;"",I334&lt;=8))+--(AND(J334&lt;&gt;"",J334&lt;=8))+--(AND(K334&lt;&gt;"",K334&lt;=8))+--(AND(L334&lt;&gt;"",L334&lt;=8))+--(AND(M334&lt;&gt;"",M334&lt;=8))+--(AND(N334&lt;&gt;"",N334&lt;=8))+--(AND(O334&lt;&gt;"",O334&lt;=8)))</f>
        <v/>
      </c>
    </row>
    <row r="335" customFormat="false" ht="15" hidden="false" customHeight="false" outlineLevel="0" collapsed="false">
      <c r="AZ335" s="5" t="str">
        <f aca="false">IF($B335="","",SUMPRODUCT(($AL335:$AO335&lt;&gt;"")*(COUNTIF($AP335:$AX335,$AL335:$AO335)&gt;0)))</f>
        <v/>
      </c>
      <c r="BA335" s="5" t="str">
        <f aca="false">IF($B335="","",IF(AZ335&gt;0,1,0))</f>
        <v/>
      </c>
      <c r="BB335" s="5" t="str">
        <f aca="false">IF($AP335="","",IF((($AP335="Engineering and Technology")+($AP335="Science and Mathematics")+($AP335="Computer Science, IT and Allied Fields")+($AP335="Life Sciences /Medicine and Healthcare")+($AP335="Paramedical")+($AP335="Architecture")+($AP335="Environmental Service")+($AP335="Agriculture, Food Industry and Forestry"))&gt;0,"Science",IF((($AP335="Banking and Finance")+($AP335="Management and Administration")+($AP335="Marketing")+($AP335="Sales")+($AP335="Entrepreneurship")+($AP335="Hospitality and Tourism"))&gt;0,"Commerce",IF((($AP335="Social Sciences and Humanities")+($AP335="Law Studies")+($AP335="Education and Training")+($AP335="Art, Design")+($AP335="Entertainment and Mass Media")+($AP335="Community and Social Service")+($AP335="Personal Care and Services")+($AP335="Government and Public Administration")+($AP335="Defence/ Protective Service")+($AP335="Sports"))&gt;0,"Arts / Humanities",""))))</f>
        <v/>
      </c>
      <c r="BC335" s="5" t="str">
        <f aca="false">IF($AL335="","",IF((($AL335="Engineering and Technology")+($AL335="Science and Mathematics")+($AL335="Computer Science, IT and Allied Fields")+($AL335="Life Sciences /Medicine and Healthcare")+($AL335="Paramedical")+($AL335="Architecture")+($AL335="Environmental Service")+($AL335="Agriculture, Food Industry and Forestry"))&gt;0,"Science",IF((($AL335="Banking and Finance")+($AL335="Management and Administration")+($AL335="Marketing")+($AL335="Sales")+($AL335="Entrepreneurship")+($AL335="Hospitality and Tourism"))&gt;0,"Commerce",IF((($AL335="Social Sciences and Humanities")+($AL335="Law Studies")+($AL335="Education and Training")+($AL335="Art, Design")+($AL335="Entertainment and Mass Media")+($AL335="Community and Social Service")+($AL335="Personal Care and Services")+($AL335="Government and Public Administration")+($AL335="Defence/ Protective Service")+($AL335="Sports"))&gt;0,"Arts / Humanities",""))))</f>
        <v/>
      </c>
      <c r="BD335" s="5" t="str">
        <f aca="false">IF($B335="","",--(F335&gt;=10)+--(G335&gt;=10)+--(H335&gt;=10)+--(I335&gt;=10)+--(J335&gt;=10)+--(K335&gt;=10)+--(L335&gt;=10)+--(M335&gt;=10)+--(N335&gt;=10)+--(O335&gt;=10))</f>
        <v/>
      </c>
      <c r="BE335" s="5" t="str">
        <f aca="false">IF($B335="","",--(AND(F335&lt;&gt;"",F335&lt;=8))+--(AND(G335&lt;&gt;"",G335&lt;=8))+--(AND(H335&lt;&gt;"",H335&lt;=8))+--(AND(I335&lt;&gt;"",I335&lt;=8))+--(AND(J335&lt;&gt;"",J335&lt;=8))+--(AND(K335&lt;&gt;"",K335&lt;=8))+--(AND(L335&lt;&gt;"",L335&lt;=8))+--(AND(M335&lt;&gt;"",M335&lt;=8))+--(AND(N335&lt;&gt;"",N335&lt;=8))+--(AND(O335&lt;&gt;"",O335&lt;=8)))</f>
        <v/>
      </c>
    </row>
    <row r="336" customFormat="false" ht="15" hidden="false" customHeight="false" outlineLevel="0" collapsed="false">
      <c r="AZ336" s="5" t="str">
        <f aca="false">IF($B336="","",SUMPRODUCT(($AL336:$AO336&lt;&gt;"")*(COUNTIF($AP336:$AX336,$AL336:$AO336)&gt;0)))</f>
        <v/>
      </c>
      <c r="BA336" s="5" t="str">
        <f aca="false">IF($B336="","",IF(AZ336&gt;0,1,0))</f>
        <v/>
      </c>
      <c r="BB336" s="5" t="str">
        <f aca="false">IF($AP336="","",IF((($AP336="Engineering and Technology")+($AP336="Science and Mathematics")+($AP336="Computer Science, IT and Allied Fields")+($AP336="Life Sciences /Medicine and Healthcare")+($AP336="Paramedical")+($AP336="Architecture")+($AP336="Environmental Service")+($AP336="Agriculture, Food Industry and Forestry"))&gt;0,"Science",IF((($AP336="Banking and Finance")+($AP336="Management and Administration")+($AP336="Marketing")+($AP336="Sales")+($AP336="Entrepreneurship")+($AP336="Hospitality and Tourism"))&gt;0,"Commerce",IF((($AP336="Social Sciences and Humanities")+($AP336="Law Studies")+($AP336="Education and Training")+($AP336="Art, Design")+($AP336="Entertainment and Mass Media")+($AP336="Community and Social Service")+($AP336="Personal Care and Services")+($AP336="Government and Public Administration")+($AP336="Defence/ Protective Service")+($AP336="Sports"))&gt;0,"Arts / Humanities",""))))</f>
        <v/>
      </c>
      <c r="BC336" s="5" t="str">
        <f aca="false">IF($AL336="","",IF((($AL336="Engineering and Technology")+($AL336="Science and Mathematics")+($AL336="Computer Science, IT and Allied Fields")+($AL336="Life Sciences /Medicine and Healthcare")+($AL336="Paramedical")+($AL336="Architecture")+($AL336="Environmental Service")+($AL336="Agriculture, Food Industry and Forestry"))&gt;0,"Science",IF((($AL336="Banking and Finance")+($AL336="Management and Administration")+($AL336="Marketing")+($AL336="Sales")+($AL336="Entrepreneurship")+($AL336="Hospitality and Tourism"))&gt;0,"Commerce",IF((($AL336="Social Sciences and Humanities")+($AL336="Law Studies")+($AL336="Education and Training")+($AL336="Art, Design")+($AL336="Entertainment and Mass Media")+($AL336="Community and Social Service")+($AL336="Personal Care and Services")+($AL336="Government and Public Administration")+($AL336="Defence/ Protective Service")+($AL336="Sports"))&gt;0,"Arts / Humanities",""))))</f>
        <v/>
      </c>
      <c r="BD336" s="5" t="str">
        <f aca="false">IF($B336="","",--(F336&gt;=10)+--(G336&gt;=10)+--(H336&gt;=10)+--(I336&gt;=10)+--(J336&gt;=10)+--(K336&gt;=10)+--(L336&gt;=10)+--(M336&gt;=10)+--(N336&gt;=10)+--(O336&gt;=10))</f>
        <v/>
      </c>
      <c r="BE336" s="5" t="str">
        <f aca="false">IF($B336="","",--(AND(F336&lt;&gt;"",F336&lt;=8))+--(AND(G336&lt;&gt;"",G336&lt;=8))+--(AND(H336&lt;&gt;"",H336&lt;=8))+--(AND(I336&lt;&gt;"",I336&lt;=8))+--(AND(J336&lt;&gt;"",J336&lt;=8))+--(AND(K336&lt;&gt;"",K336&lt;=8))+--(AND(L336&lt;&gt;"",L336&lt;=8))+--(AND(M336&lt;&gt;"",M336&lt;=8))+--(AND(N336&lt;&gt;"",N336&lt;=8))+--(AND(O336&lt;&gt;"",O336&lt;=8)))</f>
        <v/>
      </c>
    </row>
    <row r="337" customFormat="false" ht="15" hidden="false" customHeight="false" outlineLevel="0" collapsed="false">
      <c r="AZ337" s="5" t="str">
        <f aca="false">IF($B337="","",SUMPRODUCT(($AL337:$AO337&lt;&gt;"")*(COUNTIF($AP337:$AX337,$AL337:$AO337)&gt;0)))</f>
        <v/>
      </c>
      <c r="BA337" s="5" t="str">
        <f aca="false">IF($B337="","",IF(AZ337&gt;0,1,0))</f>
        <v/>
      </c>
      <c r="BB337" s="5" t="str">
        <f aca="false">IF($AP337="","",IF((($AP337="Engineering and Technology")+($AP337="Science and Mathematics")+($AP337="Computer Science, IT and Allied Fields")+($AP337="Life Sciences /Medicine and Healthcare")+($AP337="Paramedical")+($AP337="Architecture")+($AP337="Environmental Service")+($AP337="Agriculture, Food Industry and Forestry"))&gt;0,"Science",IF((($AP337="Banking and Finance")+($AP337="Management and Administration")+($AP337="Marketing")+($AP337="Sales")+($AP337="Entrepreneurship")+($AP337="Hospitality and Tourism"))&gt;0,"Commerce",IF((($AP337="Social Sciences and Humanities")+($AP337="Law Studies")+($AP337="Education and Training")+($AP337="Art, Design")+($AP337="Entertainment and Mass Media")+($AP337="Community and Social Service")+($AP337="Personal Care and Services")+($AP337="Government and Public Administration")+($AP337="Defence/ Protective Service")+($AP337="Sports"))&gt;0,"Arts / Humanities",""))))</f>
        <v/>
      </c>
      <c r="BC337" s="5" t="str">
        <f aca="false">IF($AL337="","",IF((($AL337="Engineering and Technology")+($AL337="Science and Mathematics")+($AL337="Computer Science, IT and Allied Fields")+($AL337="Life Sciences /Medicine and Healthcare")+($AL337="Paramedical")+($AL337="Architecture")+($AL337="Environmental Service")+($AL337="Agriculture, Food Industry and Forestry"))&gt;0,"Science",IF((($AL337="Banking and Finance")+($AL337="Management and Administration")+($AL337="Marketing")+($AL337="Sales")+($AL337="Entrepreneurship")+($AL337="Hospitality and Tourism"))&gt;0,"Commerce",IF((($AL337="Social Sciences and Humanities")+($AL337="Law Studies")+($AL337="Education and Training")+($AL337="Art, Design")+($AL337="Entertainment and Mass Media")+($AL337="Community and Social Service")+($AL337="Personal Care and Services")+($AL337="Government and Public Administration")+($AL337="Defence/ Protective Service")+($AL337="Sports"))&gt;0,"Arts / Humanities",""))))</f>
        <v/>
      </c>
      <c r="BD337" s="5" t="str">
        <f aca="false">IF($B337="","",--(F337&gt;=10)+--(G337&gt;=10)+--(H337&gt;=10)+--(I337&gt;=10)+--(J337&gt;=10)+--(K337&gt;=10)+--(L337&gt;=10)+--(M337&gt;=10)+--(N337&gt;=10)+--(O337&gt;=10))</f>
        <v/>
      </c>
      <c r="BE337" s="5" t="str">
        <f aca="false">IF($B337="","",--(AND(F337&lt;&gt;"",F337&lt;=8))+--(AND(G337&lt;&gt;"",G337&lt;=8))+--(AND(H337&lt;&gt;"",H337&lt;=8))+--(AND(I337&lt;&gt;"",I337&lt;=8))+--(AND(J337&lt;&gt;"",J337&lt;=8))+--(AND(K337&lt;&gt;"",K337&lt;=8))+--(AND(L337&lt;&gt;"",L337&lt;=8))+--(AND(M337&lt;&gt;"",M337&lt;=8))+--(AND(N337&lt;&gt;"",N337&lt;=8))+--(AND(O337&lt;&gt;"",O337&lt;=8)))</f>
        <v/>
      </c>
    </row>
    <row r="338" customFormat="false" ht="15" hidden="false" customHeight="false" outlineLevel="0" collapsed="false">
      <c r="AZ338" s="5" t="str">
        <f aca="false">IF($B338="","",SUMPRODUCT(($AL338:$AO338&lt;&gt;"")*(COUNTIF($AP338:$AX338,$AL338:$AO338)&gt;0)))</f>
        <v/>
      </c>
      <c r="BA338" s="5" t="str">
        <f aca="false">IF($B338="","",IF(AZ338&gt;0,1,0))</f>
        <v/>
      </c>
      <c r="BB338" s="5" t="str">
        <f aca="false">IF($AP338="","",IF((($AP338="Engineering and Technology")+($AP338="Science and Mathematics")+($AP338="Computer Science, IT and Allied Fields")+($AP338="Life Sciences /Medicine and Healthcare")+($AP338="Paramedical")+($AP338="Architecture")+($AP338="Environmental Service")+($AP338="Agriculture, Food Industry and Forestry"))&gt;0,"Science",IF((($AP338="Banking and Finance")+($AP338="Management and Administration")+($AP338="Marketing")+($AP338="Sales")+($AP338="Entrepreneurship")+($AP338="Hospitality and Tourism"))&gt;0,"Commerce",IF((($AP338="Social Sciences and Humanities")+($AP338="Law Studies")+($AP338="Education and Training")+($AP338="Art, Design")+($AP338="Entertainment and Mass Media")+($AP338="Community and Social Service")+($AP338="Personal Care and Services")+($AP338="Government and Public Administration")+($AP338="Defence/ Protective Service")+($AP338="Sports"))&gt;0,"Arts / Humanities",""))))</f>
        <v/>
      </c>
      <c r="BC338" s="5" t="str">
        <f aca="false">IF($AL338="","",IF((($AL338="Engineering and Technology")+($AL338="Science and Mathematics")+($AL338="Computer Science, IT and Allied Fields")+($AL338="Life Sciences /Medicine and Healthcare")+($AL338="Paramedical")+($AL338="Architecture")+($AL338="Environmental Service")+($AL338="Agriculture, Food Industry and Forestry"))&gt;0,"Science",IF((($AL338="Banking and Finance")+($AL338="Management and Administration")+($AL338="Marketing")+($AL338="Sales")+($AL338="Entrepreneurship")+($AL338="Hospitality and Tourism"))&gt;0,"Commerce",IF((($AL338="Social Sciences and Humanities")+($AL338="Law Studies")+($AL338="Education and Training")+($AL338="Art, Design")+($AL338="Entertainment and Mass Media")+($AL338="Community and Social Service")+($AL338="Personal Care and Services")+($AL338="Government and Public Administration")+($AL338="Defence/ Protective Service")+($AL338="Sports"))&gt;0,"Arts / Humanities",""))))</f>
        <v/>
      </c>
      <c r="BD338" s="5" t="str">
        <f aca="false">IF($B338="","",--(F338&gt;=10)+--(G338&gt;=10)+--(H338&gt;=10)+--(I338&gt;=10)+--(J338&gt;=10)+--(K338&gt;=10)+--(L338&gt;=10)+--(M338&gt;=10)+--(N338&gt;=10)+--(O338&gt;=10))</f>
        <v/>
      </c>
      <c r="BE338" s="5" t="str">
        <f aca="false">IF($B338="","",--(AND(F338&lt;&gt;"",F338&lt;=8))+--(AND(G338&lt;&gt;"",G338&lt;=8))+--(AND(H338&lt;&gt;"",H338&lt;=8))+--(AND(I338&lt;&gt;"",I338&lt;=8))+--(AND(J338&lt;&gt;"",J338&lt;=8))+--(AND(K338&lt;&gt;"",K338&lt;=8))+--(AND(L338&lt;&gt;"",L338&lt;=8))+--(AND(M338&lt;&gt;"",M338&lt;=8))+--(AND(N338&lt;&gt;"",N338&lt;=8))+--(AND(O338&lt;&gt;"",O338&lt;=8)))</f>
        <v/>
      </c>
    </row>
    <row r="339" customFormat="false" ht="15" hidden="false" customHeight="false" outlineLevel="0" collapsed="false">
      <c r="AZ339" s="5" t="str">
        <f aca="false">IF($B339="","",SUMPRODUCT(($AL339:$AO339&lt;&gt;"")*(COUNTIF($AP339:$AX339,$AL339:$AO339)&gt;0)))</f>
        <v/>
      </c>
      <c r="BA339" s="5" t="str">
        <f aca="false">IF($B339="","",IF(AZ339&gt;0,1,0))</f>
        <v/>
      </c>
      <c r="BB339" s="5" t="str">
        <f aca="false">IF($AP339="","",IF((($AP339="Engineering and Technology")+($AP339="Science and Mathematics")+($AP339="Computer Science, IT and Allied Fields")+($AP339="Life Sciences /Medicine and Healthcare")+($AP339="Paramedical")+($AP339="Architecture")+($AP339="Environmental Service")+($AP339="Agriculture, Food Industry and Forestry"))&gt;0,"Science",IF((($AP339="Banking and Finance")+($AP339="Management and Administration")+($AP339="Marketing")+($AP339="Sales")+($AP339="Entrepreneurship")+($AP339="Hospitality and Tourism"))&gt;0,"Commerce",IF((($AP339="Social Sciences and Humanities")+($AP339="Law Studies")+($AP339="Education and Training")+($AP339="Art, Design")+($AP339="Entertainment and Mass Media")+($AP339="Community and Social Service")+($AP339="Personal Care and Services")+($AP339="Government and Public Administration")+($AP339="Defence/ Protective Service")+($AP339="Sports"))&gt;0,"Arts / Humanities",""))))</f>
        <v/>
      </c>
      <c r="BC339" s="5" t="str">
        <f aca="false">IF($AL339="","",IF((($AL339="Engineering and Technology")+($AL339="Science and Mathematics")+($AL339="Computer Science, IT and Allied Fields")+($AL339="Life Sciences /Medicine and Healthcare")+($AL339="Paramedical")+($AL339="Architecture")+($AL339="Environmental Service")+($AL339="Agriculture, Food Industry and Forestry"))&gt;0,"Science",IF((($AL339="Banking and Finance")+($AL339="Management and Administration")+($AL339="Marketing")+($AL339="Sales")+($AL339="Entrepreneurship")+($AL339="Hospitality and Tourism"))&gt;0,"Commerce",IF((($AL339="Social Sciences and Humanities")+($AL339="Law Studies")+($AL339="Education and Training")+($AL339="Art, Design")+($AL339="Entertainment and Mass Media")+($AL339="Community and Social Service")+($AL339="Personal Care and Services")+($AL339="Government and Public Administration")+($AL339="Defence/ Protective Service")+($AL339="Sports"))&gt;0,"Arts / Humanities",""))))</f>
        <v/>
      </c>
      <c r="BD339" s="5" t="str">
        <f aca="false">IF($B339="","",--(F339&gt;=10)+--(G339&gt;=10)+--(H339&gt;=10)+--(I339&gt;=10)+--(J339&gt;=10)+--(K339&gt;=10)+--(L339&gt;=10)+--(M339&gt;=10)+--(N339&gt;=10)+--(O339&gt;=10))</f>
        <v/>
      </c>
      <c r="BE339" s="5" t="str">
        <f aca="false">IF($B339="","",--(AND(F339&lt;&gt;"",F339&lt;=8))+--(AND(G339&lt;&gt;"",G339&lt;=8))+--(AND(H339&lt;&gt;"",H339&lt;=8))+--(AND(I339&lt;&gt;"",I339&lt;=8))+--(AND(J339&lt;&gt;"",J339&lt;=8))+--(AND(K339&lt;&gt;"",K339&lt;=8))+--(AND(L339&lt;&gt;"",L339&lt;=8))+--(AND(M339&lt;&gt;"",M339&lt;=8))+--(AND(N339&lt;&gt;"",N339&lt;=8))+--(AND(O339&lt;&gt;"",O339&lt;=8)))</f>
        <v/>
      </c>
    </row>
    <row r="340" customFormat="false" ht="15" hidden="false" customHeight="false" outlineLevel="0" collapsed="false">
      <c r="AZ340" s="5" t="str">
        <f aca="false">IF($B340="","",SUMPRODUCT(($AL340:$AO340&lt;&gt;"")*(COUNTIF($AP340:$AX340,$AL340:$AO340)&gt;0)))</f>
        <v/>
      </c>
      <c r="BA340" s="5" t="str">
        <f aca="false">IF($B340="","",IF(AZ340&gt;0,1,0))</f>
        <v/>
      </c>
      <c r="BB340" s="5" t="str">
        <f aca="false">IF($AP340="","",IF((($AP340="Engineering and Technology")+($AP340="Science and Mathematics")+($AP340="Computer Science, IT and Allied Fields")+($AP340="Life Sciences /Medicine and Healthcare")+($AP340="Paramedical")+($AP340="Architecture")+($AP340="Environmental Service")+($AP340="Agriculture, Food Industry and Forestry"))&gt;0,"Science",IF((($AP340="Banking and Finance")+($AP340="Management and Administration")+($AP340="Marketing")+($AP340="Sales")+($AP340="Entrepreneurship")+($AP340="Hospitality and Tourism"))&gt;0,"Commerce",IF((($AP340="Social Sciences and Humanities")+($AP340="Law Studies")+($AP340="Education and Training")+($AP340="Art, Design")+($AP340="Entertainment and Mass Media")+($AP340="Community and Social Service")+($AP340="Personal Care and Services")+($AP340="Government and Public Administration")+($AP340="Defence/ Protective Service")+($AP340="Sports"))&gt;0,"Arts / Humanities",""))))</f>
        <v/>
      </c>
      <c r="BC340" s="5" t="str">
        <f aca="false">IF($AL340="","",IF((($AL340="Engineering and Technology")+($AL340="Science and Mathematics")+($AL340="Computer Science, IT and Allied Fields")+($AL340="Life Sciences /Medicine and Healthcare")+($AL340="Paramedical")+($AL340="Architecture")+($AL340="Environmental Service")+($AL340="Agriculture, Food Industry and Forestry"))&gt;0,"Science",IF((($AL340="Banking and Finance")+($AL340="Management and Administration")+($AL340="Marketing")+($AL340="Sales")+($AL340="Entrepreneurship")+($AL340="Hospitality and Tourism"))&gt;0,"Commerce",IF((($AL340="Social Sciences and Humanities")+($AL340="Law Studies")+($AL340="Education and Training")+($AL340="Art, Design")+($AL340="Entertainment and Mass Media")+($AL340="Community and Social Service")+($AL340="Personal Care and Services")+($AL340="Government and Public Administration")+($AL340="Defence/ Protective Service")+($AL340="Sports"))&gt;0,"Arts / Humanities",""))))</f>
        <v/>
      </c>
      <c r="BD340" s="5" t="str">
        <f aca="false">IF($B340="","",--(F340&gt;=10)+--(G340&gt;=10)+--(H340&gt;=10)+--(I340&gt;=10)+--(J340&gt;=10)+--(K340&gt;=10)+--(L340&gt;=10)+--(M340&gt;=10)+--(N340&gt;=10)+--(O340&gt;=10))</f>
        <v/>
      </c>
      <c r="BE340" s="5" t="str">
        <f aca="false">IF($B340="","",--(AND(F340&lt;&gt;"",F340&lt;=8))+--(AND(G340&lt;&gt;"",G340&lt;=8))+--(AND(H340&lt;&gt;"",H340&lt;=8))+--(AND(I340&lt;&gt;"",I340&lt;=8))+--(AND(J340&lt;&gt;"",J340&lt;=8))+--(AND(K340&lt;&gt;"",K340&lt;=8))+--(AND(L340&lt;&gt;"",L340&lt;=8))+--(AND(M340&lt;&gt;"",M340&lt;=8))+--(AND(N340&lt;&gt;"",N340&lt;=8))+--(AND(O340&lt;&gt;"",O340&lt;=8)))</f>
        <v/>
      </c>
    </row>
    <row r="341" customFormat="false" ht="15" hidden="false" customHeight="false" outlineLevel="0" collapsed="false">
      <c r="AZ341" s="5" t="str">
        <f aca="false">IF($B341="","",SUMPRODUCT(($AL341:$AO341&lt;&gt;"")*(COUNTIF($AP341:$AX341,$AL341:$AO341)&gt;0)))</f>
        <v/>
      </c>
      <c r="BA341" s="5" t="str">
        <f aca="false">IF($B341="","",IF(AZ341&gt;0,1,0))</f>
        <v/>
      </c>
      <c r="BB341" s="5" t="str">
        <f aca="false">IF($AP341="","",IF((($AP341="Engineering and Technology")+($AP341="Science and Mathematics")+($AP341="Computer Science, IT and Allied Fields")+($AP341="Life Sciences /Medicine and Healthcare")+($AP341="Paramedical")+($AP341="Architecture")+($AP341="Environmental Service")+($AP341="Agriculture, Food Industry and Forestry"))&gt;0,"Science",IF((($AP341="Banking and Finance")+($AP341="Management and Administration")+($AP341="Marketing")+($AP341="Sales")+($AP341="Entrepreneurship")+($AP341="Hospitality and Tourism"))&gt;0,"Commerce",IF((($AP341="Social Sciences and Humanities")+($AP341="Law Studies")+($AP341="Education and Training")+($AP341="Art, Design")+($AP341="Entertainment and Mass Media")+($AP341="Community and Social Service")+($AP341="Personal Care and Services")+($AP341="Government and Public Administration")+($AP341="Defence/ Protective Service")+($AP341="Sports"))&gt;0,"Arts / Humanities",""))))</f>
        <v/>
      </c>
      <c r="BC341" s="5" t="str">
        <f aca="false">IF($AL341="","",IF((($AL341="Engineering and Technology")+($AL341="Science and Mathematics")+($AL341="Computer Science, IT and Allied Fields")+($AL341="Life Sciences /Medicine and Healthcare")+($AL341="Paramedical")+($AL341="Architecture")+($AL341="Environmental Service")+($AL341="Agriculture, Food Industry and Forestry"))&gt;0,"Science",IF((($AL341="Banking and Finance")+($AL341="Management and Administration")+($AL341="Marketing")+($AL341="Sales")+($AL341="Entrepreneurship")+($AL341="Hospitality and Tourism"))&gt;0,"Commerce",IF((($AL341="Social Sciences and Humanities")+($AL341="Law Studies")+($AL341="Education and Training")+($AL341="Art, Design")+($AL341="Entertainment and Mass Media")+($AL341="Community and Social Service")+($AL341="Personal Care and Services")+($AL341="Government and Public Administration")+($AL341="Defence/ Protective Service")+($AL341="Sports"))&gt;0,"Arts / Humanities",""))))</f>
        <v/>
      </c>
      <c r="BD341" s="5" t="str">
        <f aca="false">IF($B341="","",--(F341&gt;=10)+--(G341&gt;=10)+--(H341&gt;=10)+--(I341&gt;=10)+--(J341&gt;=10)+--(K341&gt;=10)+--(L341&gt;=10)+--(M341&gt;=10)+--(N341&gt;=10)+--(O341&gt;=10))</f>
        <v/>
      </c>
      <c r="BE341" s="5" t="str">
        <f aca="false">IF($B341="","",--(AND(F341&lt;&gt;"",F341&lt;=8))+--(AND(G341&lt;&gt;"",G341&lt;=8))+--(AND(H341&lt;&gt;"",H341&lt;=8))+--(AND(I341&lt;&gt;"",I341&lt;=8))+--(AND(J341&lt;&gt;"",J341&lt;=8))+--(AND(K341&lt;&gt;"",K341&lt;=8))+--(AND(L341&lt;&gt;"",L341&lt;=8))+--(AND(M341&lt;&gt;"",M341&lt;=8))+--(AND(N341&lt;&gt;"",N341&lt;=8))+--(AND(O341&lt;&gt;"",O341&lt;=8)))</f>
        <v/>
      </c>
    </row>
    <row r="342" customFormat="false" ht="15" hidden="false" customHeight="false" outlineLevel="0" collapsed="false">
      <c r="AZ342" s="5" t="str">
        <f aca="false">IF($B342="","",SUMPRODUCT(($AL342:$AO342&lt;&gt;"")*(COUNTIF($AP342:$AX342,$AL342:$AO342)&gt;0)))</f>
        <v/>
      </c>
      <c r="BA342" s="5" t="str">
        <f aca="false">IF($B342="","",IF(AZ342&gt;0,1,0))</f>
        <v/>
      </c>
      <c r="BB342" s="5" t="str">
        <f aca="false">IF($AP342="","",IF((($AP342="Engineering and Technology")+($AP342="Science and Mathematics")+($AP342="Computer Science, IT and Allied Fields")+($AP342="Life Sciences /Medicine and Healthcare")+($AP342="Paramedical")+($AP342="Architecture")+($AP342="Environmental Service")+($AP342="Agriculture, Food Industry and Forestry"))&gt;0,"Science",IF((($AP342="Banking and Finance")+($AP342="Management and Administration")+($AP342="Marketing")+($AP342="Sales")+($AP342="Entrepreneurship")+($AP342="Hospitality and Tourism"))&gt;0,"Commerce",IF((($AP342="Social Sciences and Humanities")+($AP342="Law Studies")+($AP342="Education and Training")+($AP342="Art, Design")+($AP342="Entertainment and Mass Media")+($AP342="Community and Social Service")+($AP342="Personal Care and Services")+($AP342="Government and Public Administration")+($AP342="Defence/ Protective Service")+($AP342="Sports"))&gt;0,"Arts / Humanities",""))))</f>
        <v/>
      </c>
      <c r="BC342" s="5" t="str">
        <f aca="false">IF($AL342="","",IF((($AL342="Engineering and Technology")+($AL342="Science and Mathematics")+($AL342="Computer Science, IT and Allied Fields")+($AL342="Life Sciences /Medicine and Healthcare")+($AL342="Paramedical")+($AL342="Architecture")+($AL342="Environmental Service")+($AL342="Agriculture, Food Industry and Forestry"))&gt;0,"Science",IF((($AL342="Banking and Finance")+($AL342="Management and Administration")+($AL342="Marketing")+($AL342="Sales")+($AL342="Entrepreneurship")+($AL342="Hospitality and Tourism"))&gt;0,"Commerce",IF((($AL342="Social Sciences and Humanities")+($AL342="Law Studies")+($AL342="Education and Training")+($AL342="Art, Design")+($AL342="Entertainment and Mass Media")+($AL342="Community and Social Service")+($AL342="Personal Care and Services")+($AL342="Government and Public Administration")+($AL342="Defence/ Protective Service")+($AL342="Sports"))&gt;0,"Arts / Humanities",""))))</f>
        <v/>
      </c>
      <c r="BD342" s="5" t="str">
        <f aca="false">IF($B342="","",--(F342&gt;=10)+--(G342&gt;=10)+--(H342&gt;=10)+--(I342&gt;=10)+--(J342&gt;=10)+--(K342&gt;=10)+--(L342&gt;=10)+--(M342&gt;=10)+--(N342&gt;=10)+--(O342&gt;=10))</f>
        <v/>
      </c>
      <c r="BE342" s="5" t="str">
        <f aca="false">IF($B342="","",--(AND(F342&lt;&gt;"",F342&lt;=8))+--(AND(G342&lt;&gt;"",G342&lt;=8))+--(AND(H342&lt;&gt;"",H342&lt;=8))+--(AND(I342&lt;&gt;"",I342&lt;=8))+--(AND(J342&lt;&gt;"",J342&lt;=8))+--(AND(K342&lt;&gt;"",K342&lt;=8))+--(AND(L342&lt;&gt;"",L342&lt;=8))+--(AND(M342&lt;&gt;"",M342&lt;=8))+--(AND(N342&lt;&gt;"",N342&lt;=8))+--(AND(O342&lt;&gt;"",O342&lt;=8)))</f>
        <v/>
      </c>
    </row>
    <row r="343" customFormat="false" ht="15" hidden="false" customHeight="false" outlineLevel="0" collapsed="false">
      <c r="AZ343" s="5" t="str">
        <f aca="false">IF($B343="","",SUMPRODUCT(($AL343:$AO343&lt;&gt;"")*(COUNTIF($AP343:$AX343,$AL343:$AO343)&gt;0)))</f>
        <v/>
      </c>
      <c r="BA343" s="5" t="str">
        <f aca="false">IF($B343="","",IF(AZ343&gt;0,1,0))</f>
        <v/>
      </c>
      <c r="BB343" s="5" t="str">
        <f aca="false">IF($AP343="","",IF((($AP343="Engineering and Technology")+($AP343="Science and Mathematics")+($AP343="Computer Science, IT and Allied Fields")+($AP343="Life Sciences /Medicine and Healthcare")+($AP343="Paramedical")+($AP343="Architecture")+($AP343="Environmental Service")+($AP343="Agriculture, Food Industry and Forestry"))&gt;0,"Science",IF((($AP343="Banking and Finance")+($AP343="Management and Administration")+($AP343="Marketing")+($AP343="Sales")+($AP343="Entrepreneurship")+($AP343="Hospitality and Tourism"))&gt;0,"Commerce",IF((($AP343="Social Sciences and Humanities")+($AP343="Law Studies")+($AP343="Education and Training")+($AP343="Art, Design")+($AP343="Entertainment and Mass Media")+($AP343="Community and Social Service")+($AP343="Personal Care and Services")+($AP343="Government and Public Administration")+($AP343="Defence/ Protective Service")+($AP343="Sports"))&gt;0,"Arts / Humanities",""))))</f>
        <v/>
      </c>
      <c r="BC343" s="5" t="str">
        <f aca="false">IF($AL343="","",IF((($AL343="Engineering and Technology")+($AL343="Science and Mathematics")+($AL343="Computer Science, IT and Allied Fields")+($AL343="Life Sciences /Medicine and Healthcare")+($AL343="Paramedical")+($AL343="Architecture")+($AL343="Environmental Service")+($AL343="Agriculture, Food Industry and Forestry"))&gt;0,"Science",IF((($AL343="Banking and Finance")+($AL343="Management and Administration")+($AL343="Marketing")+($AL343="Sales")+($AL343="Entrepreneurship")+($AL343="Hospitality and Tourism"))&gt;0,"Commerce",IF((($AL343="Social Sciences and Humanities")+($AL343="Law Studies")+($AL343="Education and Training")+($AL343="Art, Design")+($AL343="Entertainment and Mass Media")+($AL343="Community and Social Service")+($AL343="Personal Care and Services")+($AL343="Government and Public Administration")+($AL343="Defence/ Protective Service")+($AL343="Sports"))&gt;0,"Arts / Humanities",""))))</f>
        <v/>
      </c>
      <c r="BD343" s="5" t="str">
        <f aca="false">IF($B343="","",--(F343&gt;=10)+--(G343&gt;=10)+--(H343&gt;=10)+--(I343&gt;=10)+--(J343&gt;=10)+--(K343&gt;=10)+--(L343&gt;=10)+--(M343&gt;=10)+--(N343&gt;=10)+--(O343&gt;=10))</f>
        <v/>
      </c>
      <c r="BE343" s="5" t="str">
        <f aca="false">IF($B343="","",--(AND(F343&lt;&gt;"",F343&lt;=8))+--(AND(G343&lt;&gt;"",G343&lt;=8))+--(AND(H343&lt;&gt;"",H343&lt;=8))+--(AND(I343&lt;&gt;"",I343&lt;=8))+--(AND(J343&lt;&gt;"",J343&lt;=8))+--(AND(K343&lt;&gt;"",K343&lt;=8))+--(AND(L343&lt;&gt;"",L343&lt;=8))+--(AND(M343&lt;&gt;"",M343&lt;=8))+--(AND(N343&lt;&gt;"",N343&lt;=8))+--(AND(O343&lt;&gt;"",O343&lt;=8)))</f>
        <v/>
      </c>
    </row>
    <row r="344" customFormat="false" ht="15" hidden="false" customHeight="false" outlineLevel="0" collapsed="false">
      <c r="AZ344" s="5" t="str">
        <f aca="false">IF($B344="","",SUMPRODUCT(($AL344:$AO344&lt;&gt;"")*(COUNTIF($AP344:$AX344,$AL344:$AO344)&gt;0)))</f>
        <v/>
      </c>
      <c r="BA344" s="5" t="str">
        <f aca="false">IF($B344="","",IF(AZ344&gt;0,1,0))</f>
        <v/>
      </c>
      <c r="BB344" s="5" t="str">
        <f aca="false">IF($AP344="","",IF((($AP344="Engineering and Technology")+($AP344="Science and Mathematics")+($AP344="Computer Science, IT and Allied Fields")+($AP344="Life Sciences /Medicine and Healthcare")+($AP344="Paramedical")+($AP344="Architecture")+($AP344="Environmental Service")+($AP344="Agriculture, Food Industry and Forestry"))&gt;0,"Science",IF((($AP344="Banking and Finance")+($AP344="Management and Administration")+($AP344="Marketing")+($AP344="Sales")+($AP344="Entrepreneurship")+($AP344="Hospitality and Tourism"))&gt;0,"Commerce",IF((($AP344="Social Sciences and Humanities")+($AP344="Law Studies")+($AP344="Education and Training")+($AP344="Art, Design")+($AP344="Entertainment and Mass Media")+($AP344="Community and Social Service")+($AP344="Personal Care and Services")+($AP344="Government and Public Administration")+($AP344="Defence/ Protective Service")+($AP344="Sports"))&gt;0,"Arts / Humanities",""))))</f>
        <v/>
      </c>
      <c r="BC344" s="5" t="str">
        <f aca="false">IF($AL344="","",IF((($AL344="Engineering and Technology")+($AL344="Science and Mathematics")+($AL344="Computer Science, IT and Allied Fields")+($AL344="Life Sciences /Medicine and Healthcare")+($AL344="Paramedical")+($AL344="Architecture")+($AL344="Environmental Service")+($AL344="Agriculture, Food Industry and Forestry"))&gt;0,"Science",IF((($AL344="Banking and Finance")+($AL344="Management and Administration")+($AL344="Marketing")+($AL344="Sales")+($AL344="Entrepreneurship")+($AL344="Hospitality and Tourism"))&gt;0,"Commerce",IF((($AL344="Social Sciences and Humanities")+($AL344="Law Studies")+($AL344="Education and Training")+($AL344="Art, Design")+($AL344="Entertainment and Mass Media")+($AL344="Community and Social Service")+($AL344="Personal Care and Services")+($AL344="Government and Public Administration")+($AL344="Defence/ Protective Service")+($AL344="Sports"))&gt;0,"Arts / Humanities",""))))</f>
        <v/>
      </c>
      <c r="BD344" s="5" t="str">
        <f aca="false">IF($B344="","",--(F344&gt;=10)+--(G344&gt;=10)+--(H344&gt;=10)+--(I344&gt;=10)+--(J344&gt;=10)+--(K344&gt;=10)+--(L344&gt;=10)+--(M344&gt;=10)+--(N344&gt;=10)+--(O344&gt;=10))</f>
        <v/>
      </c>
      <c r="BE344" s="5" t="str">
        <f aca="false">IF($B344="","",--(AND(F344&lt;&gt;"",F344&lt;=8))+--(AND(G344&lt;&gt;"",G344&lt;=8))+--(AND(H344&lt;&gt;"",H344&lt;=8))+--(AND(I344&lt;&gt;"",I344&lt;=8))+--(AND(J344&lt;&gt;"",J344&lt;=8))+--(AND(K344&lt;&gt;"",K344&lt;=8))+--(AND(L344&lt;&gt;"",L344&lt;=8))+--(AND(M344&lt;&gt;"",M344&lt;=8))+--(AND(N344&lt;&gt;"",N344&lt;=8))+--(AND(O344&lt;&gt;"",O344&lt;=8)))</f>
        <v/>
      </c>
    </row>
    <row r="345" customFormat="false" ht="15" hidden="false" customHeight="false" outlineLevel="0" collapsed="false">
      <c r="AZ345" s="5" t="str">
        <f aca="false">IF($B345="","",SUMPRODUCT(($AL345:$AO345&lt;&gt;"")*(COUNTIF($AP345:$AX345,$AL345:$AO345)&gt;0)))</f>
        <v/>
      </c>
      <c r="BA345" s="5" t="str">
        <f aca="false">IF($B345="","",IF(AZ345&gt;0,1,0))</f>
        <v/>
      </c>
      <c r="BB345" s="5" t="str">
        <f aca="false">IF($AP345="","",IF((($AP345="Engineering and Technology")+($AP345="Science and Mathematics")+($AP345="Computer Science, IT and Allied Fields")+($AP345="Life Sciences /Medicine and Healthcare")+($AP345="Paramedical")+($AP345="Architecture")+($AP345="Environmental Service")+($AP345="Agriculture, Food Industry and Forestry"))&gt;0,"Science",IF((($AP345="Banking and Finance")+($AP345="Management and Administration")+($AP345="Marketing")+($AP345="Sales")+($AP345="Entrepreneurship")+($AP345="Hospitality and Tourism"))&gt;0,"Commerce",IF((($AP345="Social Sciences and Humanities")+($AP345="Law Studies")+($AP345="Education and Training")+($AP345="Art, Design")+($AP345="Entertainment and Mass Media")+($AP345="Community and Social Service")+($AP345="Personal Care and Services")+($AP345="Government and Public Administration")+($AP345="Defence/ Protective Service")+($AP345="Sports"))&gt;0,"Arts / Humanities",""))))</f>
        <v/>
      </c>
      <c r="BC345" s="5" t="str">
        <f aca="false">IF($AL345="","",IF((($AL345="Engineering and Technology")+($AL345="Science and Mathematics")+($AL345="Computer Science, IT and Allied Fields")+($AL345="Life Sciences /Medicine and Healthcare")+($AL345="Paramedical")+($AL345="Architecture")+($AL345="Environmental Service")+($AL345="Agriculture, Food Industry and Forestry"))&gt;0,"Science",IF((($AL345="Banking and Finance")+($AL345="Management and Administration")+($AL345="Marketing")+($AL345="Sales")+($AL345="Entrepreneurship")+($AL345="Hospitality and Tourism"))&gt;0,"Commerce",IF((($AL345="Social Sciences and Humanities")+($AL345="Law Studies")+($AL345="Education and Training")+($AL345="Art, Design")+($AL345="Entertainment and Mass Media")+($AL345="Community and Social Service")+($AL345="Personal Care and Services")+($AL345="Government and Public Administration")+($AL345="Defence/ Protective Service")+($AL345="Sports"))&gt;0,"Arts / Humanities",""))))</f>
        <v/>
      </c>
      <c r="BD345" s="5" t="str">
        <f aca="false">IF($B345="","",--(F345&gt;=10)+--(G345&gt;=10)+--(H345&gt;=10)+--(I345&gt;=10)+--(J345&gt;=10)+--(K345&gt;=10)+--(L345&gt;=10)+--(M345&gt;=10)+--(N345&gt;=10)+--(O345&gt;=10))</f>
        <v/>
      </c>
      <c r="BE345" s="5" t="str">
        <f aca="false">IF($B345="","",--(AND(F345&lt;&gt;"",F345&lt;=8))+--(AND(G345&lt;&gt;"",G345&lt;=8))+--(AND(H345&lt;&gt;"",H345&lt;=8))+--(AND(I345&lt;&gt;"",I345&lt;=8))+--(AND(J345&lt;&gt;"",J345&lt;=8))+--(AND(K345&lt;&gt;"",K345&lt;=8))+--(AND(L345&lt;&gt;"",L345&lt;=8))+--(AND(M345&lt;&gt;"",M345&lt;=8))+--(AND(N345&lt;&gt;"",N345&lt;=8))+--(AND(O345&lt;&gt;"",O345&lt;=8)))</f>
        <v/>
      </c>
    </row>
    <row r="346" customFormat="false" ht="15" hidden="false" customHeight="false" outlineLevel="0" collapsed="false">
      <c r="AZ346" s="5" t="str">
        <f aca="false">IF($B346="","",SUMPRODUCT(($AL346:$AO346&lt;&gt;"")*(COUNTIF($AP346:$AX346,$AL346:$AO346)&gt;0)))</f>
        <v/>
      </c>
      <c r="BA346" s="5" t="str">
        <f aca="false">IF($B346="","",IF(AZ346&gt;0,1,0))</f>
        <v/>
      </c>
      <c r="BB346" s="5" t="str">
        <f aca="false">IF($AP346="","",IF((($AP346="Engineering and Technology")+($AP346="Science and Mathematics")+($AP346="Computer Science, IT and Allied Fields")+($AP346="Life Sciences /Medicine and Healthcare")+($AP346="Paramedical")+($AP346="Architecture")+($AP346="Environmental Service")+($AP346="Agriculture, Food Industry and Forestry"))&gt;0,"Science",IF((($AP346="Banking and Finance")+($AP346="Management and Administration")+($AP346="Marketing")+($AP346="Sales")+($AP346="Entrepreneurship")+($AP346="Hospitality and Tourism"))&gt;0,"Commerce",IF((($AP346="Social Sciences and Humanities")+($AP346="Law Studies")+($AP346="Education and Training")+($AP346="Art, Design")+($AP346="Entertainment and Mass Media")+($AP346="Community and Social Service")+($AP346="Personal Care and Services")+($AP346="Government and Public Administration")+($AP346="Defence/ Protective Service")+($AP346="Sports"))&gt;0,"Arts / Humanities",""))))</f>
        <v/>
      </c>
      <c r="BC346" s="5" t="str">
        <f aca="false">IF($AL346="","",IF((($AL346="Engineering and Technology")+($AL346="Science and Mathematics")+($AL346="Computer Science, IT and Allied Fields")+($AL346="Life Sciences /Medicine and Healthcare")+($AL346="Paramedical")+($AL346="Architecture")+($AL346="Environmental Service")+($AL346="Agriculture, Food Industry and Forestry"))&gt;0,"Science",IF((($AL346="Banking and Finance")+($AL346="Management and Administration")+($AL346="Marketing")+($AL346="Sales")+($AL346="Entrepreneurship")+($AL346="Hospitality and Tourism"))&gt;0,"Commerce",IF((($AL346="Social Sciences and Humanities")+($AL346="Law Studies")+($AL346="Education and Training")+($AL346="Art, Design")+($AL346="Entertainment and Mass Media")+($AL346="Community and Social Service")+($AL346="Personal Care and Services")+($AL346="Government and Public Administration")+($AL346="Defence/ Protective Service")+($AL346="Sports"))&gt;0,"Arts / Humanities",""))))</f>
        <v/>
      </c>
      <c r="BD346" s="5" t="str">
        <f aca="false">IF($B346="","",--(F346&gt;=10)+--(G346&gt;=10)+--(H346&gt;=10)+--(I346&gt;=10)+--(J346&gt;=10)+--(K346&gt;=10)+--(L346&gt;=10)+--(M346&gt;=10)+--(N346&gt;=10)+--(O346&gt;=10))</f>
        <v/>
      </c>
      <c r="BE346" s="5" t="str">
        <f aca="false">IF($B346="","",--(AND(F346&lt;&gt;"",F346&lt;=8))+--(AND(G346&lt;&gt;"",G346&lt;=8))+--(AND(H346&lt;&gt;"",H346&lt;=8))+--(AND(I346&lt;&gt;"",I346&lt;=8))+--(AND(J346&lt;&gt;"",J346&lt;=8))+--(AND(K346&lt;&gt;"",K346&lt;=8))+--(AND(L346&lt;&gt;"",L346&lt;=8))+--(AND(M346&lt;&gt;"",M346&lt;=8))+--(AND(N346&lt;&gt;"",N346&lt;=8))+--(AND(O346&lt;&gt;"",O346&lt;=8)))</f>
        <v/>
      </c>
    </row>
    <row r="347" customFormat="false" ht="15" hidden="false" customHeight="false" outlineLevel="0" collapsed="false">
      <c r="AZ347" s="5" t="str">
        <f aca="false">IF($B347="","",SUMPRODUCT(($AL347:$AO347&lt;&gt;"")*(COUNTIF($AP347:$AX347,$AL347:$AO347)&gt;0)))</f>
        <v/>
      </c>
      <c r="BA347" s="5" t="str">
        <f aca="false">IF($B347="","",IF(AZ347&gt;0,1,0))</f>
        <v/>
      </c>
      <c r="BB347" s="5" t="str">
        <f aca="false">IF($AP347="","",IF((($AP347="Engineering and Technology")+($AP347="Science and Mathematics")+($AP347="Computer Science, IT and Allied Fields")+($AP347="Life Sciences /Medicine and Healthcare")+($AP347="Paramedical")+($AP347="Architecture")+($AP347="Environmental Service")+($AP347="Agriculture, Food Industry and Forestry"))&gt;0,"Science",IF((($AP347="Banking and Finance")+($AP347="Management and Administration")+($AP347="Marketing")+($AP347="Sales")+($AP347="Entrepreneurship")+($AP347="Hospitality and Tourism"))&gt;0,"Commerce",IF((($AP347="Social Sciences and Humanities")+($AP347="Law Studies")+($AP347="Education and Training")+($AP347="Art, Design")+($AP347="Entertainment and Mass Media")+($AP347="Community and Social Service")+($AP347="Personal Care and Services")+($AP347="Government and Public Administration")+($AP347="Defence/ Protective Service")+($AP347="Sports"))&gt;0,"Arts / Humanities",""))))</f>
        <v/>
      </c>
      <c r="BC347" s="5" t="str">
        <f aca="false">IF($AL347="","",IF((($AL347="Engineering and Technology")+($AL347="Science and Mathematics")+($AL347="Computer Science, IT and Allied Fields")+($AL347="Life Sciences /Medicine and Healthcare")+($AL347="Paramedical")+($AL347="Architecture")+($AL347="Environmental Service")+($AL347="Agriculture, Food Industry and Forestry"))&gt;0,"Science",IF((($AL347="Banking and Finance")+($AL347="Management and Administration")+($AL347="Marketing")+($AL347="Sales")+($AL347="Entrepreneurship")+($AL347="Hospitality and Tourism"))&gt;0,"Commerce",IF((($AL347="Social Sciences and Humanities")+($AL347="Law Studies")+($AL347="Education and Training")+($AL347="Art, Design")+($AL347="Entertainment and Mass Media")+($AL347="Community and Social Service")+($AL347="Personal Care and Services")+($AL347="Government and Public Administration")+($AL347="Defence/ Protective Service")+($AL347="Sports"))&gt;0,"Arts / Humanities",""))))</f>
        <v/>
      </c>
      <c r="BD347" s="5" t="str">
        <f aca="false">IF($B347="","",--(F347&gt;=10)+--(G347&gt;=10)+--(H347&gt;=10)+--(I347&gt;=10)+--(J347&gt;=10)+--(K347&gt;=10)+--(L347&gt;=10)+--(M347&gt;=10)+--(N347&gt;=10)+--(O347&gt;=10))</f>
        <v/>
      </c>
      <c r="BE347" s="5" t="str">
        <f aca="false">IF($B347="","",--(AND(F347&lt;&gt;"",F347&lt;=8))+--(AND(G347&lt;&gt;"",G347&lt;=8))+--(AND(H347&lt;&gt;"",H347&lt;=8))+--(AND(I347&lt;&gt;"",I347&lt;=8))+--(AND(J347&lt;&gt;"",J347&lt;=8))+--(AND(K347&lt;&gt;"",K347&lt;=8))+--(AND(L347&lt;&gt;"",L347&lt;=8))+--(AND(M347&lt;&gt;"",M347&lt;=8))+--(AND(N347&lt;&gt;"",N347&lt;=8))+--(AND(O347&lt;&gt;"",O347&lt;=8)))</f>
        <v/>
      </c>
    </row>
    <row r="348" customFormat="false" ht="15" hidden="false" customHeight="false" outlineLevel="0" collapsed="false">
      <c r="AZ348" s="5" t="str">
        <f aca="false">IF($B348="","",SUMPRODUCT(($AL348:$AO348&lt;&gt;"")*(COUNTIF($AP348:$AX348,$AL348:$AO348)&gt;0)))</f>
        <v/>
      </c>
      <c r="BA348" s="5" t="str">
        <f aca="false">IF($B348="","",IF(AZ348&gt;0,1,0))</f>
        <v/>
      </c>
      <c r="BB348" s="5" t="str">
        <f aca="false">IF($AP348="","",IF((($AP348="Engineering and Technology")+($AP348="Science and Mathematics")+($AP348="Computer Science, IT and Allied Fields")+($AP348="Life Sciences /Medicine and Healthcare")+($AP348="Paramedical")+($AP348="Architecture")+($AP348="Environmental Service")+($AP348="Agriculture, Food Industry and Forestry"))&gt;0,"Science",IF((($AP348="Banking and Finance")+($AP348="Management and Administration")+($AP348="Marketing")+($AP348="Sales")+($AP348="Entrepreneurship")+($AP348="Hospitality and Tourism"))&gt;0,"Commerce",IF((($AP348="Social Sciences and Humanities")+($AP348="Law Studies")+($AP348="Education and Training")+($AP348="Art, Design")+($AP348="Entertainment and Mass Media")+($AP348="Community and Social Service")+($AP348="Personal Care and Services")+($AP348="Government and Public Administration")+($AP348="Defence/ Protective Service")+($AP348="Sports"))&gt;0,"Arts / Humanities",""))))</f>
        <v/>
      </c>
      <c r="BC348" s="5" t="str">
        <f aca="false">IF($AL348="","",IF((($AL348="Engineering and Technology")+($AL348="Science and Mathematics")+($AL348="Computer Science, IT and Allied Fields")+($AL348="Life Sciences /Medicine and Healthcare")+($AL348="Paramedical")+($AL348="Architecture")+($AL348="Environmental Service")+($AL348="Agriculture, Food Industry and Forestry"))&gt;0,"Science",IF((($AL348="Banking and Finance")+($AL348="Management and Administration")+($AL348="Marketing")+($AL348="Sales")+($AL348="Entrepreneurship")+($AL348="Hospitality and Tourism"))&gt;0,"Commerce",IF((($AL348="Social Sciences and Humanities")+($AL348="Law Studies")+($AL348="Education and Training")+($AL348="Art, Design")+($AL348="Entertainment and Mass Media")+($AL348="Community and Social Service")+($AL348="Personal Care and Services")+($AL348="Government and Public Administration")+($AL348="Defence/ Protective Service")+($AL348="Sports"))&gt;0,"Arts / Humanities",""))))</f>
        <v/>
      </c>
      <c r="BD348" s="5" t="str">
        <f aca="false">IF($B348="","",--(F348&gt;=10)+--(G348&gt;=10)+--(H348&gt;=10)+--(I348&gt;=10)+--(J348&gt;=10)+--(K348&gt;=10)+--(L348&gt;=10)+--(M348&gt;=10)+--(N348&gt;=10)+--(O348&gt;=10))</f>
        <v/>
      </c>
      <c r="BE348" s="5" t="str">
        <f aca="false">IF($B348="","",--(AND(F348&lt;&gt;"",F348&lt;=8))+--(AND(G348&lt;&gt;"",G348&lt;=8))+--(AND(H348&lt;&gt;"",H348&lt;=8))+--(AND(I348&lt;&gt;"",I348&lt;=8))+--(AND(J348&lt;&gt;"",J348&lt;=8))+--(AND(K348&lt;&gt;"",K348&lt;=8))+--(AND(L348&lt;&gt;"",L348&lt;=8))+--(AND(M348&lt;&gt;"",M348&lt;=8))+--(AND(N348&lt;&gt;"",N348&lt;=8))+--(AND(O348&lt;&gt;"",O348&lt;=8)))</f>
        <v/>
      </c>
    </row>
    <row r="349" customFormat="false" ht="15" hidden="false" customHeight="false" outlineLevel="0" collapsed="false">
      <c r="AZ349" s="5" t="str">
        <f aca="false">IF($B349="","",SUMPRODUCT(($AL349:$AO349&lt;&gt;"")*(COUNTIF($AP349:$AX349,$AL349:$AO349)&gt;0)))</f>
        <v/>
      </c>
      <c r="BA349" s="5" t="str">
        <f aca="false">IF($B349="","",IF(AZ349&gt;0,1,0))</f>
        <v/>
      </c>
      <c r="BB349" s="5" t="str">
        <f aca="false">IF($AP349="","",IF((($AP349="Engineering and Technology")+($AP349="Science and Mathematics")+($AP349="Computer Science, IT and Allied Fields")+($AP349="Life Sciences /Medicine and Healthcare")+($AP349="Paramedical")+($AP349="Architecture")+($AP349="Environmental Service")+($AP349="Agriculture, Food Industry and Forestry"))&gt;0,"Science",IF((($AP349="Banking and Finance")+($AP349="Management and Administration")+($AP349="Marketing")+($AP349="Sales")+($AP349="Entrepreneurship")+($AP349="Hospitality and Tourism"))&gt;0,"Commerce",IF((($AP349="Social Sciences and Humanities")+($AP349="Law Studies")+($AP349="Education and Training")+($AP349="Art, Design")+($AP349="Entertainment and Mass Media")+($AP349="Community and Social Service")+($AP349="Personal Care and Services")+($AP349="Government and Public Administration")+($AP349="Defence/ Protective Service")+($AP349="Sports"))&gt;0,"Arts / Humanities",""))))</f>
        <v/>
      </c>
      <c r="BC349" s="5" t="str">
        <f aca="false">IF($AL349="","",IF((($AL349="Engineering and Technology")+($AL349="Science and Mathematics")+($AL349="Computer Science, IT and Allied Fields")+($AL349="Life Sciences /Medicine and Healthcare")+($AL349="Paramedical")+($AL349="Architecture")+($AL349="Environmental Service")+($AL349="Agriculture, Food Industry and Forestry"))&gt;0,"Science",IF((($AL349="Banking and Finance")+($AL349="Management and Administration")+($AL349="Marketing")+($AL349="Sales")+($AL349="Entrepreneurship")+($AL349="Hospitality and Tourism"))&gt;0,"Commerce",IF((($AL349="Social Sciences and Humanities")+($AL349="Law Studies")+($AL349="Education and Training")+($AL349="Art, Design")+($AL349="Entertainment and Mass Media")+($AL349="Community and Social Service")+($AL349="Personal Care and Services")+($AL349="Government and Public Administration")+($AL349="Defence/ Protective Service")+($AL349="Sports"))&gt;0,"Arts / Humanities",""))))</f>
        <v/>
      </c>
      <c r="BD349" s="5" t="str">
        <f aca="false">IF($B349="","",--(F349&gt;=10)+--(G349&gt;=10)+--(H349&gt;=10)+--(I349&gt;=10)+--(J349&gt;=10)+--(K349&gt;=10)+--(L349&gt;=10)+--(M349&gt;=10)+--(N349&gt;=10)+--(O349&gt;=10))</f>
        <v/>
      </c>
      <c r="BE349" s="5" t="str">
        <f aca="false">IF($B349="","",--(AND(F349&lt;&gt;"",F349&lt;=8))+--(AND(G349&lt;&gt;"",G349&lt;=8))+--(AND(H349&lt;&gt;"",H349&lt;=8))+--(AND(I349&lt;&gt;"",I349&lt;=8))+--(AND(J349&lt;&gt;"",J349&lt;=8))+--(AND(K349&lt;&gt;"",K349&lt;=8))+--(AND(L349&lt;&gt;"",L349&lt;=8))+--(AND(M349&lt;&gt;"",M349&lt;=8))+--(AND(N349&lt;&gt;"",N349&lt;=8))+--(AND(O349&lt;&gt;"",O349&lt;=8)))</f>
        <v/>
      </c>
    </row>
    <row r="350" customFormat="false" ht="15" hidden="false" customHeight="false" outlineLevel="0" collapsed="false">
      <c r="AZ350" s="5" t="str">
        <f aca="false">IF($B350="","",SUMPRODUCT(($AL350:$AO350&lt;&gt;"")*(COUNTIF($AP350:$AX350,$AL350:$AO350)&gt;0)))</f>
        <v/>
      </c>
      <c r="BA350" s="5" t="str">
        <f aca="false">IF($B350="","",IF(AZ350&gt;0,1,0))</f>
        <v/>
      </c>
      <c r="BB350" s="5" t="str">
        <f aca="false">IF($AP350="","",IF((($AP350="Engineering and Technology")+($AP350="Science and Mathematics")+($AP350="Computer Science, IT and Allied Fields")+($AP350="Life Sciences /Medicine and Healthcare")+($AP350="Paramedical")+($AP350="Architecture")+($AP350="Environmental Service")+($AP350="Agriculture, Food Industry and Forestry"))&gt;0,"Science",IF((($AP350="Banking and Finance")+($AP350="Management and Administration")+($AP350="Marketing")+($AP350="Sales")+($AP350="Entrepreneurship")+($AP350="Hospitality and Tourism"))&gt;0,"Commerce",IF((($AP350="Social Sciences and Humanities")+($AP350="Law Studies")+($AP350="Education and Training")+($AP350="Art, Design")+($AP350="Entertainment and Mass Media")+($AP350="Community and Social Service")+($AP350="Personal Care and Services")+($AP350="Government and Public Administration")+($AP350="Defence/ Protective Service")+($AP350="Sports"))&gt;0,"Arts / Humanities",""))))</f>
        <v/>
      </c>
      <c r="BC350" s="5" t="str">
        <f aca="false">IF($AL350="","",IF((($AL350="Engineering and Technology")+($AL350="Science and Mathematics")+($AL350="Computer Science, IT and Allied Fields")+($AL350="Life Sciences /Medicine and Healthcare")+($AL350="Paramedical")+($AL350="Architecture")+($AL350="Environmental Service")+($AL350="Agriculture, Food Industry and Forestry"))&gt;0,"Science",IF((($AL350="Banking and Finance")+($AL350="Management and Administration")+($AL350="Marketing")+($AL350="Sales")+($AL350="Entrepreneurship")+($AL350="Hospitality and Tourism"))&gt;0,"Commerce",IF((($AL350="Social Sciences and Humanities")+($AL350="Law Studies")+($AL350="Education and Training")+($AL350="Art, Design")+($AL350="Entertainment and Mass Media")+($AL350="Community and Social Service")+($AL350="Personal Care and Services")+($AL350="Government and Public Administration")+($AL350="Defence/ Protective Service")+($AL350="Sports"))&gt;0,"Arts / Humanities",""))))</f>
        <v/>
      </c>
      <c r="BD350" s="5" t="str">
        <f aca="false">IF($B350="","",--(F350&gt;=10)+--(G350&gt;=10)+--(H350&gt;=10)+--(I350&gt;=10)+--(J350&gt;=10)+--(K350&gt;=10)+--(L350&gt;=10)+--(M350&gt;=10)+--(N350&gt;=10)+--(O350&gt;=10))</f>
        <v/>
      </c>
      <c r="BE350" s="5" t="str">
        <f aca="false">IF($B350="","",--(AND(F350&lt;&gt;"",F350&lt;=8))+--(AND(G350&lt;&gt;"",G350&lt;=8))+--(AND(H350&lt;&gt;"",H350&lt;=8))+--(AND(I350&lt;&gt;"",I350&lt;=8))+--(AND(J350&lt;&gt;"",J350&lt;=8))+--(AND(K350&lt;&gt;"",K350&lt;=8))+--(AND(L350&lt;&gt;"",L350&lt;=8))+--(AND(M350&lt;&gt;"",M350&lt;=8))+--(AND(N350&lt;&gt;"",N350&lt;=8))+--(AND(O350&lt;&gt;"",O350&lt;=8)))</f>
        <v/>
      </c>
    </row>
    <row r="351" customFormat="false" ht="15" hidden="false" customHeight="false" outlineLevel="0" collapsed="false">
      <c r="AZ351" s="5" t="str">
        <f aca="false">IF($B351="","",SUMPRODUCT(($AL351:$AO351&lt;&gt;"")*(COUNTIF($AP351:$AX351,$AL351:$AO351)&gt;0)))</f>
        <v/>
      </c>
      <c r="BA351" s="5" t="str">
        <f aca="false">IF($B351="","",IF(AZ351&gt;0,1,0))</f>
        <v/>
      </c>
      <c r="BB351" s="5" t="str">
        <f aca="false">IF($AP351="","",IF((($AP351="Engineering and Technology")+($AP351="Science and Mathematics")+($AP351="Computer Science, IT and Allied Fields")+($AP351="Life Sciences /Medicine and Healthcare")+($AP351="Paramedical")+($AP351="Architecture")+($AP351="Environmental Service")+($AP351="Agriculture, Food Industry and Forestry"))&gt;0,"Science",IF((($AP351="Banking and Finance")+($AP351="Management and Administration")+($AP351="Marketing")+($AP351="Sales")+($AP351="Entrepreneurship")+($AP351="Hospitality and Tourism"))&gt;0,"Commerce",IF((($AP351="Social Sciences and Humanities")+($AP351="Law Studies")+($AP351="Education and Training")+($AP351="Art, Design")+($AP351="Entertainment and Mass Media")+($AP351="Community and Social Service")+($AP351="Personal Care and Services")+($AP351="Government and Public Administration")+($AP351="Defence/ Protective Service")+($AP351="Sports"))&gt;0,"Arts / Humanities",""))))</f>
        <v/>
      </c>
      <c r="BC351" s="5" t="str">
        <f aca="false">IF($AL351="","",IF((($AL351="Engineering and Technology")+($AL351="Science and Mathematics")+($AL351="Computer Science, IT and Allied Fields")+($AL351="Life Sciences /Medicine and Healthcare")+($AL351="Paramedical")+($AL351="Architecture")+($AL351="Environmental Service")+($AL351="Agriculture, Food Industry and Forestry"))&gt;0,"Science",IF((($AL351="Banking and Finance")+($AL351="Management and Administration")+($AL351="Marketing")+($AL351="Sales")+($AL351="Entrepreneurship")+($AL351="Hospitality and Tourism"))&gt;0,"Commerce",IF((($AL351="Social Sciences and Humanities")+($AL351="Law Studies")+($AL351="Education and Training")+($AL351="Art, Design")+($AL351="Entertainment and Mass Media")+($AL351="Community and Social Service")+($AL351="Personal Care and Services")+($AL351="Government and Public Administration")+($AL351="Defence/ Protective Service")+($AL351="Sports"))&gt;0,"Arts / Humanities",""))))</f>
        <v/>
      </c>
      <c r="BD351" s="5" t="str">
        <f aca="false">IF($B351="","",--(F351&gt;=10)+--(G351&gt;=10)+--(H351&gt;=10)+--(I351&gt;=10)+--(J351&gt;=10)+--(K351&gt;=10)+--(L351&gt;=10)+--(M351&gt;=10)+--(N351&gt;=10)+--(O351&gt;=10))</f>
        <v/>
      </c>
      <c r="BE351" s="5" t="str">
        <f aca="false">IF($B351="","",--(AND(F351&lt;&gt;"",F351&lt;=8))+--(AND(G351&lt;&gt;"",G351&lt;=8))+--(AND(H351&lt;&gt;"",H351&lt;=8))+--(AND(I351&lt;&gt;"",I351&lt;=8))+--(AND(J351&lt;&gt;"",J351&lt;=8))+--(AND(K351&lt;&gt;"",K351&lt;=8))+--(AND(L351&lt;&gt;"",L351&lt;=8))+--(AND(M351&lt;&gt;"",M351&lt;=8))+--(AND(N351&lt;&gt;"",N351&lt;=8))+--(AND(O351&lt;&gt;"",O351&lt;=8)))</f>
        <v/>
      </c>
    </row>
    <row r="352" customFormat="false" ht="15" hidden="false" customHeight="false" outlineLevel="0" collapsed="false">
      <c r="AZ352" s="5" t="str">
        <f aca="false">IF($B352="","",SUMPRODUCT(($AL352:$AO352&lt;&gt;"")*(COUNTIF($AP352:$AX352,$AL352:$AO352)&gt;0)))</f>
        <v/>
      </c>
      <c r="BA352" s="5" t="str">
        <f aca="false">IF($B352="","",IF(AZ352&gt;0,1,0))</f>
        <v/>
      </c>
      <c r="BB352" s="5" t="str">
        <f aca="false">IF($AP352="","",IF((($AP352="Engineering and Technology")+($AP352="Science and Mathematics")+($AP352="Computer Science, IT and Allied Fields")+($AP352="Life Sciences /Medicine and Healthcare")+($AP352="Paramedical")+($AP352="Architecture")+($AP352="Environmental Service")+($AP352="Agriculture, Food Industry and Forestry"))&gt;0,"Science",IF((($AP352="Banking and Finance")+($AP352="Management and Administration")+($AP352="Marketing")+($AP352="Sales")+($AP352="Entrepreneurship")+($AP352="Hospitality and Tourism"))&gt;0,"Commerce",IF((($AP352="Social Sciences and Humanities")+($AP352="Law Studies")+($AP352="Education and Training")+($AP352="Art, Design")+($AP352="Entertainment and Mass Media")+($AP352="Community and Social Service")+($AP352="Personal Care and Services")+($AP352="Government and Public Administration")+($AP352="Defence/ Protective Service")+($AP352="Sports"))&gt;0,"Arts / Humanities",""))))</f>
        <v/>
      </c>
      <c r="BC352" s="5" t="str">
        <f aca="false">IF($AL352="","",IF((($AL352="Engineering and Technology")+($AL352="Science and Mathematics")+($AL352="Computer Science, IT and Allied Fields")+($AL352="Life Sciences /Medicine and Healthcare")+($AL352="Paramedical")+($AL352="Architecture")+($AL352="Environmental Service")+($AL352="Agriculture, Food Industry and Forestry"))&gt;0,"Science",IF((($AL352="Banking and Finance")+($AL352="Management and Administration")+($AL352="Marketing")+($AL352="Sales")+($AL352="Entrepreneurship")+($AL352="Hospitality and Tourism"))&gt;0,"Commerce",IF((($AL352="Social Sciences and Humanities")+($AL352="Law Studies")+($AL352="Education and Training")+($AL352="Art, Design")+($AL352="Entertainment and Mass Media")+($AL352="Community and Social Service")+($AL352="Personal Care and Services")+($AL352="Government and Public Administration")+($AL352="Defence/ Protective Service")+($AL352="Sports"))&gt;0,"Arts / Humanities",""))))</f>
        <v/>
      </c>
      <c r="BD352" s="5" t="str">
        <f aca="false">IF($B352="","",--(F352&gt;=10)+--(G352&gt;=10)+--(H352&gt;=10)+--(I352&gt;=10)+--(J352&gt;=10)+--(K352&gt;=10)+--(L352&gt;=10)+--(M352&gt;=10)+--(N352&gt;=10)+--(O352&gt;=10))</f>
        <v/>
      </c>
      <c r="BE352" s="5" t="str">
        <f aca="false">IF($B352="","",--(AND(F352&lt;&gt;"",F352&lt;=8))+--(AND(G352&lt;&gt;"",G352&lt;=8))+--(AND(H352&lt;&gt;"",H352&lt;=8))+--(AND(I352&lt;&gt;"",I352&lt;=8))+--(AND(J352&lt;&gt;"",J352&lt;=8))+--(AND(K352&lt;&gt;"",K352&lt;=8))+--(AND(L352&lt;&gt;"",L352&lt;=8))+--(AND(M352&lt;&gt;"",M352&lt;=8))+--(AND(N352&lt;&gt;"",N352&lt;=8))+--(AND(O352&lt;&gt;"",O352&lt;=8)))</f>
        <v/>
      </c>
    </row>
    <row r="353" customFormat="false" ht="15" hidden="false" customHeight="false" outlineLevel="0" collapsed="false">
      <c r="AZ353" s="5" t="str">
        <f aca="false">IF($B353="","",SUMPRODUCT(($AL353:$AO353&lt;&gt;"")*(COUNTIF($AP353:$AX353,$AL353:$AO353)&gt;0)))</f>
        <v/>
      </c>
      <c r="BA353" s="5" t="str">
        <f aca="false">IF($B353="","",IF(AZ353&gt;0,1,0))</f>
        <v/>
      </c>
      <c r="BB353" s="5" t="str">
        <f aca="false">IF($AP353="","",IF((($AP353="Engineering and Technology")+($AP353="Science and Mathematics")+($AP353="Computer Science, IT and Allied Fields")+($AP353="Life Sciences /Medicine and Healthcare")+($AP353="Paramedical")+($AP353="Architecture")+($AP353="Environmental Service")+($AP353="Agriculture, Food Industry and Forestry"))&gt;0,"Science",IF((($AP353="Banking and Finance")+($AP353="Management and Administration")+($AP353="Marketing")+($AP353="Sales")+($AP353="Entrepreneurship")+($AP353="Hospitality and Tourism"))&gt;0,"Commerce",IF((($AP353="Social Sciences and Humanities")+($AP353="Law Studies")+($AP353="Education and Training")+($AP353="Art, Design")+($AP353="Entertainment and Mass Media")+($AP353="Community and Social Service")+($AP353="Personal Care and Services")+($AP353="Government and Public Administration")+($AP353="Defence/ Protective Service")+($AP353="Sports"))&gt;0,"Arts / Humanities",""))))</f>
        <v/>
      </c>
      <c r="BC353" s="5" t="str">
        <f aca="false">IF($AL353="","",IF((($AL353="Engineering and Technology")+($AL353="Science and Mathematics")+($AL353="Computer Science, IT and Allied Fields")+($AL353="Life Sciences /Medicine and Healthcare")+($AL353="Paramedical")+($AL353="Architecture")+($AL353="Environmental Service")+($AL353="Agriculture, Food Industry and Forestry"))&gt;0,"Science",IF((($AL353="Banking and Finance")+($AL353="Management and Administration")+($AL353="Marketing")+($AL353="Sales")+($AL353="Entrepreneurship")+($AL353="Hospitality and Tourism"))&gt;0,"Commerce",IF((($AL353="Social Sciences and Humanities")+($AL353="Law Studies")+($AL353="Education and Training")+($AL353="Art, Design")+($AL353="Entertainment and Mass Media")+($AL353="Community and Social Service")+($AL353="Personal Care and Services")+($AL353="Government and Public Administration")+($AL353="Defence/ Protective Service")+($AL353="Sports"))&gt;0,"Arts / Humanities",""))))</f>
        <v/>
      </c>
      <c r="BD353" s="5" t="str">
        <f aca="false">IF($B353="","",--(F353&gt;=10)+--(G353&gt;=10)+--(H353&gt;=10)+--(I353&gt;=10)+--(J353&gt;=10)+--(K353&gt;=10)+--(L353&gt;=10)+--(M353&gt;=10)+--(N353&gt;=10)+--(O353&gt;=10))</f>
        <v/>
      </c>
      <c r="BE353" s="5" t="str">
        <f aca="false">IF($B353="","",--(AND(F353&lt;&gt;"",F353&lt;=8))+--(AND(G353&lt;&gt;"",G353&lt;=8))+--(AND(H353&lt;&gt;"",H353&lt;=8))+--(AND(I353&lt;&gt;"",I353&lt;=8))+--(AND(J353&lt;&gt;"",J353&lt;=8))+--(AND(K353&lt;&gt;"",K353&lt;=8))+--(AND(L353&lt;&gt;"",L353&lt;=8))+--(AND(M353&lt;&gt;"",M353&lt;=8))+--(AND(N353&lt;&gt;"",N353&lt;=8))+--(AND(O353&lt;&gt;"",O353&lt;=8)))</f>
        <v/>
      </c>
    </row>
    <row r="354" customFormat="false" ht="15" hidden="false" customHeight="false" outlineLevel="0" collapsed="false">
      <c r="AZ354" s="5" t="str">
        <f aca="false">IF($B354="","",SUMPRODUCT(($AL354:$AO354&lt;&gt;"")*(COUNTIF($AP354:$AX354,$AL354:$AO354)&gt;0)))</f>
        <v/>
      </c>
      <c r="BA354" s="5" t="str">
        <f aca="false">IF($B354="","",IF(AZ354&gt;0,1,0))</f>
        <v/>
      </c>
      <c r="BB354" s="5" t="str">
        <f aca="false">IF($AP354="","",IF((($AP354="Engineering and Technology")+($AP354="Science and Mathematics")+($AP354="Computer Science, IT and Allied Fields")+($AP354="Life Sciences /Medicine and Healthcare")+($AP354="Paramedical")+($AP354="Architecture")+($AP354="Environmental Service")+($AP354="Agriculture, Food Industry and Forestry"))&gt;0,"Science",IF((($AP354="Banking and Finance")+($AP354="Management and Administration")+($AP354="Marketing")+($AP354="Sales")+($AP354="Entrepreneurship")+($AP354="Hospitality and Tourism"))&gt;0,"Commerce",IF((($AP354="Social Sciences and Humanities")+($AP354="Law Studies")+($AP354="Education and Training")+($AP354="Art, Design")+($AP354="Entertainment and Mass Media")+($AP354="Community and Social Service")+($AP354="Personal Care and Services")+($AP354="Government and Public Administration")+($AP354="Defence/ Protective Service")+($AP354="Sports"))&gt;0,"Arts / Humanities",""))))</f>
        <v/>
      </c>
      <c r="BC354" s="5" t="str">
        <f aca="false">IF($AL354="","",IF((($AL354="Engineering and Technology")+($AL354="Science and Mathematics")+($AL354="Computer Science, IT and Allied Fields")+($AL354="Life Sciences /Medicine and Healthcare")+($AL354="Paramedical")+($AL354="Architecture")+($AL354="Environmental Service")+($AL354="Agriculture, Food Industry and Forestry"))&gt;0,"Science",IF((($AL354="Banking and Finance")+($AL354="Management and Administration")+($AL354="Marketing")+($AL354="Sales")+($AL354="Entrepreneurship")+($AL354="Hospitality and Tourism"))&gt;0,"Commerce",IF((($AL354="Social Sciences and Humanities")+($AL354="Law Studies")+($AL354="Education and Training")+($AL354="Art, Design")+($AL354="Entertainment and Mass Media")+($AL354="Community and Social Service")+($AL354="Personal Care and Services")+($AL354="Government and Public Administration")+($AL354="Defence/ Protective Service")+($AL354="Sports"))&gt;0,"Arts / Humanities",""))))</f>
        <v/>
      </c>
      <c r="BD354" s="5" t="str">
        <f aca="false">IF($B354="","",--(F354&gt;=10)+--(G354&gt;=10)+--(H354&gt;=10)+--(I354&gt;=10)+--(J354&gt;=10)+--(K354&gt;=10)+--(L354&gt;=10)+--(M354&gt;=10)+--(N354&gt;=10)+--(O354&gt;=10))</f>
        <v/>
      </c>
      <c r="BE354" s="5" t="str">
        <f aca="false">IF($B354="","",--(AND(F354&lt;&gt;"",F354&lt;=8))+--(AND(G354&lt;&gt;"",G354&lt;=8))+--(AND(H354&lt;&gt;"",H354&lt;=8))+--(AND(I354&lt;&gt;"",I354&lt;=8))+--(AND(J354&lt;&gt;"",J354&lt;=8))+--(AND(K354&lt;&gt;"",K354&lt;=8))+--(AND(L354&lt;&gt;"",L354&lt;=8))+--(AND(M354&lt;&gt;"",M354&lt;=8))+--(AND(N354&lt;&gt;"",N354&lt;=8))+--(AND(O354&lt;&gt;"",O354&lt;=8)))</f>
        <v/>
      </c>
    </row>
    <row r="355" customFormat="false" ht="15" hidden="false" customHeight="false" outlineLevel="0" collapsed="false">
      <c r="AZ355" s="5" t="str">
        <f aca="false">IF($B355="","",SUMPRODUCT(($AL355:$AO355&lt;&gt;"")*(COUNTIF($AP355:$AX355,$AL355:$AO355)&gt;0)))</f>
        <v/>
      </c>
      <c r="BA355" s="5" t="str">
        <f aca="false">IF($B355="","",IF(AZ355&gt;0,1,0))</f>
        <v/>
      </c>
      <c r="BB355" s="5" t="str">
        <f aca="false">IF($AP355="","",IF((($AP355="Engineering and Technology")+($AP355="Science and Mathematics")+($AP355="Computer Science, IT and Allied Fields")+($AP355="Life Sciences /Medicine and Healthcare")+($AP355="Paramedical")+($AP355="Architecture")+($AP355="Environmental Service")+($AP355="Agriculture, Food Industry and Forestry"))&gt;0,"Science",IF((($AP355="Banking and Finance")+($AP355="Management and Administration")+($AP355="Marketing")+($AP355="Sales")+($AP355="Entrepreneurship")+($AP355="Hospitality and Tourism"))&gt;0,"Commerce",IF((($AP355="Social Sciences and Humanities")+($AP355="Law Studies")+($AP355="Education and Training")+($AP355="Art, Design")+($AP355="Entertainment and Mass Media")+($AP355="Community and Social Service")+($AP355="Personal Care and Services")+($AP355="Government and Public Administration")+($AP355="Defence/ Protective Service")+($AP355="Sports"))&gt;0,"Arts / Humanities",""))))</f>
        <v/>
      </c>
      <c r="BC355" s="5" t="str">
        <f aca="false">IF($AL355="","",IF((($AL355="Engineering and Technology")+($AL355="Science and Mathematics")+($AL355="Computer Science, IT and Allied Fields")+($AL355="Life Sciences /Medicine and Healthcare")+($AL355="Paramedical")+($AL355="Architecture")+($AL355="Environmental Service")+($AL355="Agriculture, Food Industry and Forestry"))&gt;0,"Science",IF((($AL355="Banking and Finance")+($AL355="Management and Administration")+($AL355="Marketing")+($AL355="Sales")+($AL355="Entrepreneurship")+($AL355="Hospitality and Tourism"))&gt;0,"Commerce",IF((($AL355="Social Sciences and Humanities")+($AL355="Law Studies")+($AL355="Education and Training")+($AL355="Art, Design")+($AL355="Entertainment and Mass Media")+($AL355="Community and Social Service")+($AL355="Personal Care and Services")+($AL355="Government and Public Administration")+($AL355="Defence/ Protective Service")+($AL355="Sports"))&gt;0,"Arts / Humanities",""))))</f>
        <v/>
      </c>
      <c r="BD355" s="5" t="str">
        <f aca="false">IF($B355="","",--(F355&gt;=10)+--(G355&gt;=10)+--(H355&gt;=10)+--(I355&gt;=10)+--(J355&gt;=10)+--(K355&gt;=10)+--(L355&gt;=10)+--(M355&gt;=10)+--(N355&gt;=10)+--(O355&gt;=10))</f>
        <v/>
      </c>
      <c r="BE355" s="5" t="str">
        <f aca="false">IF($B355="","",--(AND(F355&lt;&gt;"",F355&lt;=8))+--(AND(G355&lt;&gt;"",G355&lt;=8))+--(AND(H355&lt;&gt;"",H355&lt;=8))+--(AND(I355&lt;&gt;"",I355&lt;=8))+--(AND(J355&lt;&gt;"",J355&lt;=8))+--(AND(K355&lt;&gt;"",K355&lt;=8))+--(AND(L355&lt;&gt;"",L355&lt;=8))+--(AND(M355&lt;&gt;"",M355&lt;=8))+--(AND(N355&lt;&gt;"",N355&lt;=8))+--(AND(O355&lt;&gt;"",O355&lt;=8)))</f>
        <v/>
      </c>
    </row>
    <row r="356" customFormat="false" ht="15" hidden="false" customHeight="false" outlineLevel="0" collapsed="false">
      <c r="AZ356" s="5" t="str">
        <f aca="false">IF($B356="","",SUMPRODUCT(($AL356:$AO356&lt;&gt;"")*(COUNTIF($AP356:$AX356,$AL356:$AO356)&gt;0)))</f>
        <v/>
      </c>
      <c r="BA356" s="5" t="str">
        <f aca="false">IF($B356="","",IF(AZ356&gt;0,1,0))</f>
        <v/>
      </c>
      <c r="BB356" s="5" t="str">
        <f aca="false">IF($AP356="","",IF((($AP356="Engineering and Technology")+($AP356="Science and Mathematics")+($AP356="Computer Science, IT and Allied Fields")+($AP356="Life Sciences /Medicine and Healthcare")+($AP356="Paramedical")+($AP356="Architecture")+($AP356="Environmental Service")+($AP356="Agriculture, Food Industry and Forestry"))&gt;0,"Science",IF((($AP356="Banking and Finance")+($AP356="Management and Administration")+($AP356="Marketing")+($AP356="Sales")+($AP356="Entrepreneurship")+($AP356="Hospitality and Tourism"))&gt;0,"Commerce",IF((($AP356="Social Sciences and Humanities")+($AP356="Law Studies")+($AP356="Education and Training")+($AP356="Art, Design")+($AP356="Entertainment and Mass Media")+($AP356="Community and Social Service")+($AP356="Personal Care and Services")+($AP356="Government and Public Administration")+($AP356="Defence/ Protective Service")+($AP356="Sports"))&gt;0,"Arts / Humanities",""))))</f>
        <v/>
      </c>
      <c r="BC356" s="5" t="str">
        <f aca="false">IF($AL356="","",IF((($AL356="Engineering and Technology")+($AL356="Science and Mathematics")+($AL356="Computer Science, IT and Allied Fields")+($AL356="Life Sciences /Medicine and Healthcare")+($AL356="Paramedical")+($AL356="Architecture")+($AL356="Environmental Service")+($AL356="Agriculture, Food Industry and Forestry"))&gt;0,"Science",IF((($AL356="Banking and Finance")+($AL356="Management and Administration")+($AL356="Marketing")+($AL356="Sales")+($AL356="Entrepreneurship")+($AL356="Hospitality and Tourism"))&gt;0,"Commerce",IF((($AL356="Social Sciences and Humanities")+($AL356="Law Studies")+($AL356="Education and Training")+($AL356="Art, Design")+($AL356="Entertainment and Mass Media")+($AL356="Community and Social Service")+($AL356="Personal Care and Services")+($AL356="Government and Public Administration")+($AL356="Defence/ Protective Service")+($AL356="Sports"))&gt;0,"Arts / Humanities",""))))</f>
        <v/>
      </c>
      <c r="BD356" s="5" t="str">
        <f aca="false">IF($B356="","",--(F356&gt;=10)+--(G356&gt;=10)+--(H356&gt;=10)+--(I356&gt;=10)+--(J356&gt;=10)+--(K356&gt;=10)+--(L356&gt;=10)+--(M356&gt;=10)+--(N356&gt;=10)+--(O356&gt;=10))</f>
        <v/>
      </c>
      <c r="BE356" s="5" t="str">
        <f aca="false">IF($B356="","",--(AND(F356&lt;&gt;"",F356&lt;=8))+--(AND(G356&lt;&gt;"",G356&lt;=8))+--(AND(H356&lt;&gt;"",H356&lt;=8))+--(AND(I356&lt;&gt;"",I356&lt;=8))+--(AND(J356&lt;&gt;"",J356&lt;=8))+--(AND(K356&lt;&gt;"",K356&lt;=8))+--(AND(L356&lt;&gt;"",L356&lt;=8))+--(AND(M356&lt;&gt;"",M356&lt;=8))+--(AND(N356&lt;&gt;"",N356&lt;=8))+--(AND(O356&lt;&gt;"",O356&lt;=8)))</f>
        <v/>
      </c>
    </row>
    <row r="357" customFormat="false" ht="15" hidden="false" customHeight="false" outlineLevel="0" collapsed="false">
      <c r="AZ357" s="5" t="str">
        <f aca="false">IF($B357="","",SUMPRODUCT(($AL357:$AO357&lt;&gt;"")*(COUNTIF($AP357:$AX357,$AL357:$AO357)&gt;0)))</f>
        <v/>
      </c>
      <c r="BA357" s="5" t="str">
        <f aca="false">IF($B357="","",IF(AZ357&gt;0,1,0))</f>
        <v/>
      </c>
      <c r="BB357" s="5" t="str">
        <f aca="false">IF($AP357="","",IF((($AP357="Engineering and Technology")+($AP357="Science and Mathematics")+($AP357="Computer Science, IT and Allied Fields")+($AP357="Life Sciences /Medicine and Healthcare")+($AP357="Paramedical")+($AP357="Architecture")+($AP357="Environmental Service")+($AP357="Agriculture, Food Industry and Forestry"))&gt;0,"Science",IF((($AP357="Banking and Finance")+($AP357="Management and Administration")+($AP357="Marketing")+($AP357="Sales")+($AP357="Entrepreneurship")+($AP357="Hospitality and Tourism"))&gt;0,"Commerce",IF((($AP357="Social Sciences and Humanities")+($AP357="Law Studies")+($AP357="Education and Training")+($AP357="Art, Design")+($AP357="Entertainment and Mass Media")+($AP357="Community and Social Service")+($AP357="Personal Care and Services")+($AP357="Government and Public Administration")+($AP357="Defence/ Protective Service")+($AP357="Sports"))&gt;0,"Arts / Humanities",""))))</f>
        <v/>
      </c>
      <c r="BC357" s="5" t="str">
        <f aca="false">IF($AL357="","",IF((($AL357="Engineering and Technology")+($AL357="Science and Mathematics")+($AL357="Computer Science, IT and Allied Fields")+($AL357="Life Sciences /Medicine and Healthcare")+($AL357="Paramedical")+($AL357="Architecture")+($AL357="Environmental Service")+($AL357="Agriculture, Food Industry and Forestry"))&gt;0,"Science",IF((($AL357="Banking and Finance")+($AL357="Management and Administration")+($AL357="Marketing")+($AL357="Sales")+($AL357="Entrepreneurship")+($AL357="Hospitality and Tourism"))&gt;0,"Commerce",IF((($AL357="Social Sciences and Humanities")+($AL357="Law Studies")+($AL357="Education and Training")+($AL357="Art, Design")+($AL357="Entertainment and Mass Media")+($AL357="Community and Social Service")+($AL357="Personal Care and Services")+($AL357="Government and Public Administration")+($AL357="Defence/ Protective Service")+($AL357="Sports"))&gt;0,"Arts / Humanities",""))))</f>
        <v/>
      </c>
      <c r="BD357" s="5" t="str">
        <f aca="false">IF($B357="","",--(F357&gt;=10)+--(G357&gt;=10)+--(H357&gt;=10)+--(I357&gt;=10)+--(J357&gt;=10)+--(K357&gt;=10)+--(L357&gt;=10)+--(M357&gt;=10)+--(N357&gt;=10)+--(O357&gt;=10))</f>
        <v/>
      </c>
      <c r="BE357" s="5" t="str">
        <f aca="false">IF($B357="","",--(AND(F357&lt;&gt;"",F357&lt;=8))+--(AND(G357&lt;&gt;"",G357&lt;=8))+--(AND(H357&lt;&gt;"",H357&lt;=8))+--(AND(I357&lt;&gt;"",I357&lt;=8))+--(AND(J357&lt;&gt;"",J357&lt;=8))+--(AND(K357&lt;&gt;"",K357&lt;=8))+--(AND(L357&lt;&gt;"",L357&lt;=8))+--(AND(M357&lt;&gt;"",M357&lt;=8))+--(AND(N357&lt;&gt;"",N357&lt;=8))+--(AND(O357&lt;&gt;"",O357&lt;=8)))</f>
        <v/>
      </c>
    </row>
    <row r="358" customFormat="false" ht="15" hidden="false" customHeight="false" outlineLevel="0" collapsed="false">
      <c r="AZ358" s="5" t="str">
        <f aca="false">IF($B358="","",SUMPRODUCT(($AL358:$AO358&lt;&gt;"")*(COUNTIF($AP358:$AX358,$AL358:$AO358)&gt;0)))</f>
        <v/>
      </c>
      <c r="BA358" s="5" t="str">
        <f aca="false">IF($B358="","",IF(AZ358&gt;0,1,0))</f>
        <v/>
      </c>
      <c r="BB358" s="5" t="str">
        <f aca="false">IF($AP358="","",IF((($AP358="Engineering and Technology")+($AP358="Science and Mathematics")+($AP358="Computer Science, IT and Allied Fields")+($AP358="Life Sciences /Medicine and Healthcare")+($AP358="Paramedical")+($AP358="Architecture")+($AP358="Environmental Service")+($AP358="Agriculture, Food Industry and Forestry"))&gt;0,"Science",IF((($AP358="Banking and Finance")+($AP358="Management and Administration")+($AP358="Marketing")+($AP358="Sales")+($AP358="Entrepreneurship")+($AP358="Hospitality and Tourism"))&gt;0,"Commerce",IF((($AP358="Social Sciences and Humanities")+($AP358="Law Studies")+($AP358="Education and Training")+($AP358="Art, Design")+($AP358="Entertainment and Mass Media")+($AP358="Community and Social Service")+($AP358="Personal Care and Services")+($AP358="Government and Public Administration")+($AP358="Defence/ Protective Service")+($AP358="Sports"))&gt;0,"Arts / Humanities",""))))</f>
        <v/>
      </c>
      <c r="BC358" s="5" t="str">
        <f aca="false">IF($AL358="","",IF((($AL358="Engineering and Technology")+($AL358="Science and Mathematics")+($AL358="Computer Science, IT and Allied Fields")+($AL358="Life Sciences /Medicine and Healthcare")+($AL358="Paramedical")+($AL358="Architecture")+($AL358="Environmental Service")+($AL358="Agriculture, Food Industry and Forestry"))&gt;0,"Science",IF((($AL358="Banking and Finance")+($AL358="Management and Administration")+($AL358="Marketing")+($AL358="Sales")+($AL358="Entrepreneurship")+($AL358="Hospitality and Tourism"))&gt;0,"Commerce",IF((($AL358="Social Sciences and Humanities")+($AL358="Law Studies")+($AL358="Education and Training")+($AL358="Art, Design")+($AL358="Entertainment and Mass Media")+($AL358="Community and Social Service")+($AL358="Personal Care and Services")+($AL358="Government and Public Administration")+($AL358="Defence/ Protective Service")+($AL358="Sports"))&gt;0,"Arts / Humanities",""))))</f>
        <v/>
      </c>
      <c r="BD358" s="5" t="str">
        <f aca="false">IF($B358="","",--(F358&gt;=10)+--(G358&gt;=10)+--(H358&gt;=10)+--(I358&gt;=10)+--(J358&gt;=10)+--(K358&gt;=10)+--(L358&gt;=10)+--(M358&gt;=10)+--(N358&gt;=10)+--(O358&gt;=10))</f>
        <v/>
      </c>
      <c r="BE358" s="5" t="str">
        <f aca="false">IF($B358="","",--(AND(F358&lt;&gt;"",F358&lt;=8))+--(AND(G358&lt;&gt;"",G358&lt;=8))+--(AND(H358&lt;&gt;"",H358&lt;=8))+--(AND(I358&lt;&gt;"",I358&lt;=8))+--(AND(J358&lt;&gt;"",J358&lt;=8))+--(AND(K358&lt;&gt;"",K358&lt;=8))+--(AND(L358&lt;&gt;"",L358&lt;=8))+--(AND(M358&lt;&gt;"",M358&lt;=8))+--(AND(N358&lt;&gt;"",N358&lt;=8))+--(AND(O358&lt;&gt;"",O358&lt;=8)))</f>
        <v/>
      </c>
    </row>
    <row r="359" customFormat="false" ht="15" hidden="false" customHeight="false" outlineLevel="0" collapsed="false">
      <c r="AZ359" s="5" t="str">
        <f aca="false">IF($B359="","",SUMPRODUCT(($AL359:$AO359&lt;&gt;"")*(COUNTIF($AP359:$AX359,$AL359:$AO359)&gt;0)))</f>
        <v/>
      </c>
      <c r="BA359" s="5" t="str">
        <f aca="false">IF($B359="","",IF(AZ359&gt;0,1,0))</f>
        <v/>
      </c>
      <c r="BB359" s="5" t="str">
        <f aca="false">IF($AP359="","",IF((($AP359="Engineering and Technology")+($AP359="Science and Mathematics")+($AP359="Computer Science, IT and Allied Fields")+($AP359="Life Sciences /Medicine and Healthcare")+($AP359="Paramedical")+($AP359="Architecture")+($AP359="Environmental Service")+($AP359="Agriculture, Food Industry and Forestry"))&gt;0,"Science",IF((($AP359="Banking and Finance")+($AP359="Management and Administration")+($AP359="Marketing")+($AP359="Sales")+($AP359="Entrepreneurship")+($AP359="Hospitality and Tourism"))&gt;0,"Commerce",IF((($AP359="Social Sciences and Humanities")+($AP359="Law Studies")+($AP359="Education and Training")+($AP359="Art, Design")+($AP359="Entertainment and Mass Media")+($AP359="Community and Social Service")+($AP359="Personal Care and Services")+($AP359="Government and Public Administration")+($AP359="Defence/ Protective Service")+($AP359="Sports"))&gt;0,"Arts / Humanities",""))))</f>
        <v/>
      </c>
      <c r="BC359" s="5" t="str">
        <f aca="false">IF($AL359="","",IF((($AL359="Engineering and Technology")+($AL359="Science and Mathematics")+($AL359="Computer Science, IT and Allied Fields")+($AL359="Life Sciences /Medicine and Healthcare")+($AL359="Paramedical")+($AL359="Architecture")+($AL359="Environmental Service")+($AL359="Agriculture, Food Industry and Forestry"))&gt;0,"Science",IF((($AL359="Banking and Finance")+($AL359="Management and Administration")+($AL359="Marketing")+($AL359="Sales")+($AL359="Entrepreneurship")+($AL359="Hospitality and Tourism"))&gt;0,"Commerce",IF((($AL359="Social Sciences and Humanities")+($AL359="Law Studies")+($AL359="Education and Training")+($AL359="Art, Design")+($AL359="Entertainment and Mass Media")+($AL359="Community and Social Service")+($AL359="Personal Care and Services")+($AL359="Government and Public Administration")+($AL359="Defence/ Protective Service")+($AL359="Sports"))&gt;0,"Arts / Humanities",""))))</f>
        <v/>
      </c>
      <c r="BD359" s="5" t="str">
        <f aca="false">IF($B359="","",--(F359&gt;=10)+--(G359&gt;=10)+--(H359&gt;=10)+--(I359&gt;=10)+--(J359&gt;=10)+--(K359&gt;=10)+--(L359&gt;=10)+--(M359&gt;=10)+--(N359&gt;=10)+--(O359&gt;=10))</f>
        <v/>
      </c>
      <c r="BE359" s="5" t="str">
        <f aca="false">IF($B359="","",--(AND(F359&lt;&gt;"",F359&lt;=8))+--(AND(G359&lt;&gt;"",G359&lt;=8))+--(AND(H359&lt;&gt;"",H359&lt;=8))+--(AND(I359&lt;&gt;"",I359&lt;=8))+--(AND(J359&lt;&gt;"",J359&lt;=8))+--(AND(K359&lt;&gt;"",K359&lt;=8))+--(AND(L359&lt;&gt;"",L359&lt;=8))+--(AND(M359&lt;&gt;"",M359&lt;=8))+--(AND(N359&lt;&gt;"",N359&lt;=8))+--(AND(O359&lt;&gt;"",O359&lt;=8)))</f>
        <v/>
      </c>
    </row>
    <row r="360" customFormat="false" ht="15" hidden="false" customHeight="false" outlineLevel="0" collapsed="false">
      <c r="AZ360" s="5" t="str">
        <f aca="false">IF($B360="","",SUMPRODUCT(($AL360:$AO360&lt;&gt;"")*(COUNTIF($AP360:$AX360,$AL360:$AO360)&gt;0)))</f>
        <v/>
      </c>
      <c r="BA360" s="5" t="str">
        <f aca="false">IF($B360="","",IF(AZ360&gt;0,1,0))</f>
        <v/>
      </c>
      <c r="BB360" s="5" t="str">
        <f aca="false">IF($AP360="","",IF((($AP360="Engineering and Technology")+($AP360="Science and Mathematics")+($AP360="Computer Science, IT and Allied Fields")+($AP360="Life Sciences /Medicine and Healthcare")+($AP360="Paramedical")+($AP360="Architecture")+($AP360="Environmental Service")+($AP360="Agriculture, Food Industry and Forestry"))&gt;0,"Science",IF((($AP360="Banking and Finance")+($AP360="Management and Administration")+($AP360="Marketing")+($AP360="Sales")+($AP360="Entrepreneurship")+($AP360="Hospitality and Tourism"))&gt;0,"Commerce",IF((($AP360="Social Sciences and Humanities")+($AP360="Law Studies")+($AP360="Education and Training")+($AP360="Art, Design")+($AP360="Entertainment and Mass Media")+($AP360="Community and Social Service")+($AP360="Personal Care and Services")+($AP360="Government and Public Administration")+($AP360="Defence/ Protective Service")+($AP360="Sports"))&gt;0,"Arts / Humanities",""))))</f>
        <v/>
      </c>
      <c r="BC360" s="5" t="str">
        <f aca="false">IF($AL360="","",IF((($AL360="Engineering and Technology")+($AL360="Science and Mathematics")+($AL360="Computer Science, IT and Allied Fields")+($AL360="Life Sciences /Medicine and Healthcare")+($AL360="Paramedical")+($AL360="Architecture")+($AL360="Environmental Service")+($AL360="Agriculture, Food Industry and Forestry"))&gt;0,"Science",IF((($AL360="Banking and Finance")+($AL360="Management and Administration")+($AL360="Marketing")+($AL360="Sales")+($AL360="Entrepreneurship")+($AL360="Hospitality and Tourism"))&gt;0,"Commerce",IF((($AL360="Social Sciences and Humanities")+($AL360="Law Studies")+($AL360="Education and Training")+($AL360="Art, Design")+($AL360="Entertainment and Mass Media")+($AL360="Community and Social Service")+($AL360="Personal Care and Services")+($AL360="Government and Public Administration")+($AL360="Defence/ Protective Service")+($AL360="Sports"))&gt;0,"Arts / Humanities",""))))</f>
        <v/>
      </c>
      <c r="BD360" s="5" t="str">
        <f aca="false">IF($B360="","",--(F360&gt;=10)+--(G360&gt;=10)+--(H360&gt;=10)+--(I360&gt;=10)+--(J360&gt;=10)+--(K360&gt;=10)+--(L360&gt;=10)+--(M360&gt;=10)+--(N360&gt;=10)+--(O360&gt;=10))</f>
        <v/>
      </c>
      <c r="BE360" s="5" t="str">
        <f aca="false">IF($B360="","",--(AND(F360&lt;&gt;"",F360&lt;=8))+--(AND(G360&lt;&gt;"",G360&lt;=8))+--(AND(H360&lt;&gt;"",H360&lt;=8))+--(AND(I360&lt;&gt;"",I360&lt;=8))+--(AND(J360&lt;&gt;"",J360&lt;=8))+--(AND(K360&lt;&gt;"",K360&lt;=8))+--(AND(L360&lt;&gt;"",L360&lt;=8))+--(AND(M360&lt;&gt;"",M360&lt;=8))+--(AND(N360&lt;&gt;"",N360&lt;=8))+--(AND(O360&lt;&gt;"",O360&lt;=8)))</f>
        <v/>
      </c>
    </row>
    <row r="361" customFormat="false" ht="15" hidden="false" customHeight="false" outlineLevel="0" collapsed="false">
      <c r="AZ361" s="5" t="str">
        <f aca="false">IF($B361="","",SUMPRODUCT(($AL361:$AO361&lt;&gt;"")*(COUNTIF($AP361:$AX361,$AL361:$AO361)&gt;0)))</f>
        <v/>
      </c>
      <c r="BA361" s="5" t="str">
        <f aca="false">IF($B361="","",IF(AZ361&gt;0,1,0))</f>
        <v/>
      </c>
      <c r="BB361" s="5" t="str">
        <f aca="false">IF($AP361="","",IF((($AP361="Engineering and Technology")+($AP361="Science and Mathematics")+($AP361="Computer Science, IT and Allied Fields")+($AP361="Life Sciences /Medicine and Healthcare")+($AP361="Paramedical")+($AP361="Architecture")+($AP361="Environmental Service")+($AP361="Agriculture, Food Industry and Forestry"))&gt;0,"Science",IF((($AP361="Banking and Finance")+($AP361="Management and Administration")+($AP361="Marketing")+($AP361="Sales")+($AP361="Entrepreneurship")+($AP361="Hospitality and Tourism"))&gt;0,"Commerce",IF((($AP361="Social Sciences and Humanities")+($AP361="Law Studies")+($AP361="Education and Training")+($AP361="Art, Design")+($AP361="Entertainment and Mass Media")+($AP361="Community and Social Service")+($AP361="Personal Care and Services")+($AP361="Government and Public Administration")+($AP361="Defence/ Protective Service")+($AP361="Sports"))&gt;0,"Arts / Humanities",""))))</f>
        <v/>
      </c>
      <c r="BC361" s="5" t="str">
        <f aca="false">IF($AL361="","",IF((($AL361="Engineering and Technology")+($AL361="Science and Mathematics")+($AL361="Computer Science, IT and Allied Fields")+($AL361="Life Sciences /Medicine and Healthcare")+($AL361="Paramedical")+($AL361="Architecture")+($AL361="Environmental Service")+($AL361="Agriculture, Food Industry and Forestry"))&gt;0,"Science",IF((($AL361="Banking and Finance")+($AL361="Management and Administration")+($AL361="Marketing")+($AL361="Sales")+($AL361="Entrepreneurship")+($AL361="Hospitality and Tourism"))&gt;0,"Commerce",IF((($AL361="Social Sciences and Humanities")+($AL361="Law Studies")+($AL361="Education and Training")+($AL361="Art, Design")+($AL361="Entertainment and Mass Media")+($AL361="Community and Social Service")+($AL361="Personal Care and Services")+($AL361="Government and Public Administration")+($AL361="Defence/ Protective Service")+($AL361="Sports"))&gt;0,"Arts / Humanities",""))))</f>
        <v/>
      </c>
      <c r="BD361" s="5" t="str">
        <f aca="false">IF($B361="","",--(F361&gt;=10)+--(G361&gt;=10)+--(H361&gt;=10)+--(I361&gt;=10)+--(J361&gt;=10)+--(K361&gt;=10)+--(L361&gt;=10)+--(M361&gt;=10)+--(N361&gt;=10)+--(O361&gt;=10))</f>
        <v/>
      </c>
      <c r="BE361" s="5" t="str">
        <f aca="false">IF($B361="","",--(AND(F361&lt;&gt;"",F361&lt;=8))+--(AND(G361&lt;&gt;"",G361&lt;=8))+--(AND(H361&lt;&gt;"",H361&lt;=8))+--(AND(I361&lt;&gt;"",I361&lt;=8))+--(AND(J361&lt;&gt;"",J361&lt;=8))+--(AND(K361&lt;&gt;"",K361&lt;=8))+--(AND(L361&lt;&gt;"",L361&lt;=8))+--(AND(M361&lt;&gt;"",M361&lt;=8))+--(AND(N361&lt;&gt;"",N361&lt;=8))+--(AND(O361&lt;&gt;"",O361&lt;=8)))</f>
        <v/>
      </c>
    </row>
    <row r="362" customFormat="false" ht="15" hidden="false" customHeight="false" outlineLevel="0" collapsed="false">
      <c r="AZ362" s="5" t="str">
        <f aca="false">IF($B362="","",SUMPRODUCT(($AL362:$AO362&lt;&gt;"")*(COUNTIF($AP362:$AX362,$AL362:$AO362)&gt;0)))</f>
        <v/>
      </c>
      <c r="BA362" s="5" t="str">
        <f aca="false">IF($B362="","",IF(AZ362&gt;0,1,0))</f>
        <v/>
      </c>
      <c r="BB362" s="5" t="str">
        <f aca="false">IF($AP362="","",IF((($AP362="Engineering and Technology")+($AP362="Science and Mathematics")+($AP362="Computer Science, IT and Allied Fields")+($AP362="Life Sciences /Medicine and Healthcare")+($AP362="Paramedical")+($AP362="Architecture")+($AP362="Environmental Service")+($AP362="Agriculture, Food Industry and Forestry"))&gt;0,"Science",IF((($AP362="Banking and Finance")+($AP362="Management and Administration")+($AP362="Marketing")+($AP362="Sales")+($AP362="Entrepreneurship")+($AP362="Hospitality and Tourism"))&gt;0,"Commerce",IF((($AP362="Social Sciences and Humanities")+($AP362="Law Studies")+($AP362="Education and Training")+($AP362="Art, Design")+($AP362="Entertainment and Mass Media")+($AP362="Community and Social Service")+($AP362="Personal Care and Services")+($AP362="Government and Public Administration")+($AP362="Defence/ Protective Service")+($AP362="Sports"))&gt;0,"Arts / Humanities",""))))</f>
        <v/>
      </c>
      <c r="BC362" s="5" t="str">
        <f aca="false">IF($AL362="","",IF((($AL362="Engineering and Technology")+($AL362="Science and Mathematics")+($AL362="Computer Science, IT and Allied Fields")+($AL362="Life Sciences /Medicine and Healthcare")+($AL362="Paramedical")+($AL362="Architecture")+($AL362="Environmental Service")+($AL362="Agriculture, Food Industry and Forestry"))&gt;0,"Science",IF((($AL362="Banking and Finance")+($AL362="Management and Administration")+($AL362="Marketing")+($AL362="Sales")+($AL362="Entrepreneurship")+($AL362="Hospitality and Tourism"))&gt;0,"Commerce",IF((($AL362="Social Sciences and Humanities")+($AL362="Law Studies")+($AL362="Education and Training")+($AL362="Art, Design")+($AL362="Entertainment and Mass Media")+($AL362="Community and Social Service")+($AL362="Personal Care and Services")+($AL362="Government and Public Administration")+($AL362="Defence/ Protective Service")+($AL362="Sports"))&gt;0,"Arts / Humanities",""))))</f>
        <v/>
      </c>
      <c r="BD362" s="5" t="str">
        <f aca="false">IF($B362="","",--(F362&gt;=10)+--(G362&gt;=10)+--(H362&gt;=10)+--(I362&gt;=10)+--(J362&gt;=10)+--(K362&gt;=10)+--(L362&gt;=10)+--(M362&gt;=10)+--(N362&gt;=10)+--(O362&gt;=10))</f>
        <v/>
      </c>
      <c r="BE362" s="5" t="str">
        <f aca="false">IF($B362="","",--(AND(F362&lt;&gt;"",F362&lt;=8))+--(AND(G362&lt;&gt;"",G362&lt;=8))+--(AND(H362&lt;&gt;"",H362&lt;=8))+--(AND(I362&lt;&gt;"",I362&lt;=8))+--(AND(J362&lt;&gt;"",J362&lt;=8))+--(AND(K362&lt;&gt;"",K362&lt;=8))+--(AND(L362&lt;&gt;"",L362&lt;=8))+--(AND(M362&lt;&gt;"",M362&lt;=8))+--(AND(N362&lt;&gt;"",N362&lt;=8))+--(AND(O362&lt;&gt;"",O362&lt;=8)))</f>
        <v/>
      </c>
    </row>
    <row r="363" customFormat="false" ht="15" hidden="false" customHeight="false" outlineLevel="0" collapsed="false">
      <c r="AZ363" s="5" t="str">
        <f aca="false">IF($B363="","",SUMPRODUCT(($AL363:$AO363&lt;&gt;"")*(COUNTIF($AP363:$AX363,$AL363:$AO363)&gt;0)))</f>
        <v/>
      </c>
      <c r="BA363" s="5" t="str">
        <f aca="false">IF($B363="","",IF(AZ363&gt;0,1,0))</f>
        <v/>
      </c>
      <c r="BB363" s="5" t="str">
        <f aca="false">IF($AP363="","",IF((($AP363="Engineering and Technology")+($AP363="Science and Mathematics")+($AP363="Computer Science, IT and Allied Fields")+($AP363="Life Sciences /Medicine and Healthcare")+($AP363="Paramedical")+($AP363="Architecture")+($AP363="Environmental Service")+($AP363="Agriculture, Food Industry and Forestry"))&gt;0,"Science",IF((($AP363="Banking and Finance")+($AP363="Management and Administration")+($AP363="Marketing")+($AP363="Sales")+($AP363="Entrepreneurship")+($AP363="Hospitality and Tourism"))&gt;0,"Commerce",IF((($AP363="Social Sciences and Humanities")+($AP363="Law Studies")+($AP363="Education and Training")+($AP363="Art, Design")+($AP363="Entertainment and Mass Media")+($AP363="Community and Social Service")+($AP363="Personal Care and Services")+($AP363="Government and Public Administration")+($AP363="Defence/ Protective Service")+($AP363="Sports"))&gt;0,"Arts / Humanities",""))))</f>
        <v/>
      </c>
      <c r="BC363" s="5" t="str">
        <f aca="false">IF($AL363="","",IF((($AL363="Engineering and Technology")+($AL363="Science and Mathematics")+($AL363="Computer Science, IT and Allied Fields")+($AL363="Life Sciences /Medicine and Healthcare")+($AL363="Paramedical")+($AL363="Architecture")+($AL363="Environmental Service")+($AL363="Agriculture, Food Industry and Forestry"))&gt;0,"Science",IF((($AL363="Banking and Finance")+($AL363="Management and Administration")+($AL363="Marketing")+($AL363="Sales")+($AL363="Entrepreneurship")+($AL363="Hospitality and Tourism"))&gt;0,"Commerce",IF((($AL363="Social Sciences and Humanities")+($AL363="Law Studies")+($AL363="Education and Training")+($AL363="Art, Design")+($AL363="Entertainment and Mass Media")+($AL363="Community and Social Service")+($AL363="Personal Care and Services")+($AL363="Government and Public Administration")+($AL363="Defence/ Protective Service")+($AL363="Sports"))&gt;0,"Arts / Humanities",""))))</f>
        <v/>
      </c>
      <c r="BD363" s="5" t="str">
        <f aca="false">IF($B363="","",--(F363&gt;=10)+--(G363&gt;=10)+--(H363&gt;=10)+--(I363&gt;=10)+--(J363&gt;=10)+--(K363&gt;=10)+--(L363&gt;=10)+--(M363&gt;=10)+--(N363&gt;=10)+--(O363&gt;=10))</f>
        <v/>
      </c>
      <c r="BE363" s="5" t="str">
        <f aca="false">IF($B363="","",--(AND(F363&lt;&gt;"",F363&lt;=8))+--(AND(G363&lt;&gt;"",G363&lt;=8))+--(AND(H363&lt;&gt;"",H363&lt;=8))+--(AND(I363&lt;&gt;"",I363&lt;=8))+--(AND(J363&lt;&gt;"",J363&lt;=8))+--(AND(K363&lt;&gt;"",K363&lt;=8))+--(AND(L363&lt;&gt;"",L363&lt;=8))+--(AND(M363&lt;&gt;"",M363&lt;=8))+--(AND(N363&lt;&gt;"",N363&lt;=8))+--(AND(O363&lt;&gt;"",O363&lt;=8)))</f>
        <v/>
      </c>
    </row>
    <row r="364" customFormat="false" ht="15" hidden="false" customHeight="false" outlineLevel="0" collapsed="false">
      <c r="AZ364" s="5" t="str">
        <f aca="false">IF($B364="","",SUMPRODUCT(($AL364:$AO364&lt;&gt;"")*(COUNTIF($AP364:$AX364,$AL364:$AO364)&gt;0)))</f>
        <v/>
      </c>
      <c r="BA364" s="5" t="str">
        <f aca="false">IF($B364="","",IF(AZ364&gt;0,1,0))</f>
        <v/>
      </c>
      <c r="BB364" s="5" t="str">
        <f aca="false">IF($AP364="","",IF((($AP364="Engineering and Technology")+($AP364="Science and Mathematics")+($AP364="Computer Science, IT and Allied Fields")+($AP364="Life Sciences /Medicine and Healthcare")+($AP364="Paramedical")+($AP364="Architecture")+($AP364="Environmental Service")+($AP364="Agriculture, Food Industry and Forestry"))&gt;0,"Science",IF((($AP364="Banking and Finance")+($AP364="Management and Administration")+($AP364="Marketing")+($AP364="Sales")+($AP364="Entrepreneurship")+($AP364="Hospitality and Tourism"))&gt;0,"Commerce",IF((($AP364="Social Sciences and Humanities")+($AP364="Law Studies")+($AP364="Education and Training")+($AP364="Art, Design")+($AP364="Entertainment and Mass Media")+($AP364="Community and Social Service")+($AP364="Personal Care and Services")+($AP364="Government and Public Administration")+($AP364="Defence/ Protective Service")+($AP364="Sports"))&gt;0,"Arts / Humanities",""))))</f>
        <v/>
      </c>
      <c r="BC364" s="5" t="str">
        <f aca="false">IF($AL364="","",IF((($AL364="Engineering and Technology")+($AL364="Science and Mathematics")+($AL364="Computer Science, IT and Allied Fields")+($AL364="Life Sciences /Medicine and Healthcare")+($AL364="Paramedical")+($AL364="Architecture")+($AL364="Environmental Service")+($AL364="Agriculture, Food Industry and Forestry"))&gt;0,"Science",IF((($AL364="Banking and Finance")+($AL364="Management and Administration")+($AL364="Marketing")+($AL364="Sales")+($AL364="Entrepreneurship")+($AL364="Hospitality and Tourism"))&gt;0,"Commerce",IF((($AL364="Social Sciences and Humanities")+($AL364="Law Studies")+($AL364="Education and Training")+($AL364="Art, Design")+($AL364="Entertainment and Mass Media")+($AL364="Community and Social Service")+($AL364="Personal Care and Services")+($AL364="Government and Public Administration")+($AL364="Defence/ Protective Service")+($AL364="Sports"))&gt;0,"Arts / Humanities",""))))</f>
        <v/>
      </c>
      <c r="BD364" s="5" t="str">
        <f aca="false">IF($B364="","",--(F364&gt;=10)+--(G364&gt;=10)+--(H364&gt;=10)+--(I364&gt;=10)+--(J364&gt;=10)+--(K364&gt;=10)+--(L364&gt;=10)+--(M364&gt;=10)+--(N364&gt;=10)+--(O364&gt;=10))</f>
        <v/>
      </c>
      <c r="BE364" s="5" t="str">
        <f aca="false">IF($B364="","",--(AND(F364&lt;&gt;"",F364&lt;=8))+--(AND(G364&lt;&gt;"",G364&lt;=8))+--(AND(H364&lt;&gt;"",H364&lt;=8))+--(AND(I364&lt;&gt;"",I364&lt;=8))+--(AND(J364&lt;&gt;"",J364&lt;=8))+--(AND(K364&lt;&gt;"",K364&lt;=8))+--(AND(L364&lt;&gt;"",L364&lt;=8))+--(AND(M364&lt;&gt;"",M364&lt;=8))+--(AND(N364&lt;&gt;"",N364&lt;=8))+--(AND(O364&lt;&gt;"",O364&lt;=8)))</f>
        <v/>
      </c>
    </row>
    <row r="365" customFormat="false" ht="15" hidden="false" customHeight="false" outlineLevel="0" collapsed="false">
      <c r="AZ365" s="5" t="str">
        <f aca="false">IF($B365="","",SUMPRODUCT(($AL365:$AO365&lt;&gt;"")*(COUNTIF($AP365:$AX365,$AL365:$AO365)&gt;0)))</f>
        <v/>
      </c>
      <c r="BA365" s="5" t="str">
        <f aca="false">IF($B365="","",IF(AZ365&gt;0,1,0))</f>
        <v/>
      </c>
      <c r="BB365" s="5" t="str">
        <f aca="false">IF($AP365="","",IF((($AP365="Engineering and Technology")+($AP365="Science and Mathematics")+($AP365="Computer Science, IT and Allied Fields")+($AP365="Life Sciences /Medicine and Healthcare")+($AP365="Paramedical")+($AP365="Architecture")+($AP365="Environmental Service")+($AP365="Agriculture, Food Industry and Forestry"))&gt;0,"Science",IF((($AP365="Banking and Finance")+($AP365="Management and Administration")+($AP365="Marketing")+($AP365="Sales")+($AP365="Entrepreneurship")+($AP365="Hospitality and Tourism"))&gt;0,"Commerce",IF((($AP365="Social Sciences and Humanities")+($AP365="Law Studies")+($AP365="Education and Training")+($AP365="Art, Design")+($AP365="Entertainment and Mass Media")+($AP365="Community and Social Service")+($AP365="Personal Care and Services")+($AP365="Government and Public Administration")+($AP365="Defence/ Protective Service")+($AP365="Sports"))&gt;0,"Arts / Humanities",""))))</f>
        <v/>
      </c>
      <c r="BC365" s="5" t="str">
        <f aca="false">IF($AL365="","",IF((($AL365="Engineering and Technology")+($AL365="Science and Mathematics")+($AL365="Computer Science, IT and Allied Fields")+($AL365="Life Sciences /Medicine and Healthcare")+($AL365="Paramedical")+($AL365="Architecture")+($AL365="Environmental Service")+($AL365="Agriculture, Food Industry and Forestry"))&gt;0,"Science",IF((($AL365="Banking and Finance")+($AL365="Management and Administration")+($AL365="Marketing")+($AL365="Sales")+($AL365="Entrepreneurship")+($AL365="Hospitality and Tourism"))&gt;0,"Commerce",IF((($AL365="Social Sciences and Humanities")+($AL365="Law Studies")+($AL365="Education and Training")+($AL365="Art, Design")+($AL365="Entertainment and Mass Media")+($AL365="Community and Social Service")+($AL365="Personal Care and Services")+($AL365="Government and Public Administration")+($AL365="Defence/ Protective Service")+($AL365="Sports"))&gt;0,"Arts / Humanities",""))))</f>
        <v/>
      </c>
      <c r="BD365" s="5" t="str">
        <f aca="false">IF($B365="","",--(F365&gt;=10)+--(G365&gt;=10)+--(H365&gt;=10)+--(I365&gt;=10)+--(J365&gt;=10)+--(K365&gt;=10)+--(L365&gt;=10)+--(M365&gt;=10)+--(N365&gt;=10)+--(O365&gt;=10))</f>
        <v/>
      </c>
      <c r="BE365" s="5" t="str">
        <f aca="false">IF($B365="","",--(AND(F365&lt;&gt;"",F365&lt;=8))+--(AND(G365&lt;&gt;"",G365&lt;=8))+--(AND(H365&lt;&gt;"",H365&lt;=8))+--(AND(I365&lt;&gt;"",I365&lt;=8))+--(AND(J365&lt;&gt;"",J365&lt;=8))+--(AND(K365&lt;&gt;"",K365&lt;=8))+--(AND(L365&lt;&gt;"",L365&lt;=8))+--(AND(M365&lt;&gt;"",M365&lt;=8))+--(AND(N365&lt;&gt;"",N365&lt;=8))+--(AND(O365&lt;&gt;"",O365&lt;=8)))</f>
        <v/>
      </c>
    </row>
    <row r="366" customFormat="false" ht="15" hidden="false" customHeight="false" outlineLevel="0" collapsed="false">
      <c r="AZ366" s="5" t="str">
        <f aca="false">IF($B366="","",SUMPRODUCT(($AL366:$AO366&lt;&gt;"")*(COUNTIF($AP366:$AX366,$AL366:$AO366)&gt;0)))</f>
        <v/>
      </c>
      <c r="BA366" s="5" t="str">
        <f aca="false">IF($B366="","",IF(AZ366&gt;0,1,0))</f>
        <v/>
      </c>
      <c r="BB366" s="5" t="str">
        <f aca="false">IF($AP366="","",IF((($AP366="Engineering and Technology")+($AP366="Science and Mathematics")+($AP366="Computer Science, IT and Allied Fields")+($AP366="Life Sciences /Medicine and Healthcare")+($AP366="Paramedical")+($AP366="Architecture")+($AP366="Environmental Service")+($AP366="Agriculture, Food Industry and Forestry"))&gt;0,"Science",IF((($AP366="Banking and Finance")+($AP366="Management and Administration")+($AP366="Marketing")+($AP366="Sales")+($AP366="Entrepreneurship")+($AP366="Hospitality and Tourism"))&gt;0,"Commerce",IF((($AP366="Social Sciences and Humanities")+($AP366="Law Studies")+($AP366="Education and Training")+($AP366="Art, Design")+($AP366="Entertainment and Mass Media")+($AP366="Community and Social Service")+($AP366="Personal Care and Services")+($AP366="Government and Public Administration")+($AP366="Defence/ Protective Service")+($AP366="Sports"))&gt;0,"Arts / Humanities",""))))</f>
        <v/>
      </c>
      <c r="BC366" s="5" t="str">
        <f aca="false">IF($AL366="","",IF((($AL366="Engineering and Technology")+($AL366="Science and Mathematics")+($AL366="Computer Science, IT and Allied Fields")+($AL366="Life Sciences /Medicine and Healthcare")+($AL366="Paramedical")+($AL366="Architecture")+($AL366="Environmental Service")+($AL366="Agriculture, Food Industry and Forestry"))&gt;0,"Science",IF((($AL366="Banking and Finance")+($AL366="Management and Administration")+($AL366="Marketing")+($AL366="Sales")+($AL366="Entrepreneurship")+($AL366="Hospitality and Tourism"))&gt;0,"Commerce",IF((($AL366="Social Sciences and Humanities")+($AL366="Law Studies")+($AL366="Education and Training")+($AL366="Art, Design")+($AL366="Entertainment and Mass Media")+($AL366="Community and Social Service")+($AL366="Personal Care and Services")+($AL366="Government and Public Administration")+($AL366="Defence/ Protective Service")+($AL366="Sports"))&gt;0,"Arts / Humanities",""))))</f>
        <v/>
      </c>
      <c r="BD366" s="5" t="str">
        <f aca="false">IF($B366="","",--(F366&gt;=10)+--(G366&gt;=10)+--(H366&gt;=10)+--(I366&gt;=10)+--(J366&gt;=10)+--(K366&gt;=10)+--(L366&gt;=10)+--(M366&gt;=10)+--(N366&gt;=10)+--(O366&gt;=10))</f>
        <v/>
      </c>
      <c r="BE366" s="5" t="str">
        <f aca="false">IF($B366="","",--(AND(F366&lt;&gt;"",F366&lt;=8))+--(AND(G366&lt;&gt;"",G366&lt;=8))+--(AND(H366&lt;&gt;"",H366&lt;=8))+--(AND(I366&lt;&gt;"",I366&lt;=8))+--(AND(J366&lt;&gt;"",J366&lt;=8))+--(AND(K366&lt;&gt;"",K366&lt;=8))+--(AND(L366&lt;&gt;"",L366&lt;=8))+--(AND(M366&lt;&gt;"",M366&lt;=8))+--(AND(N366&lt;&gt;"",N366&lt;=8))+--(AND(O366&lt;&gt;"",O366&lt;=8)))</f>
        <v/>
      </c>
    </row>
    <row r="367" customFormat="false" ht="15" hidden="false" customHeight="false" outlineLevel="0" collapsed="false">
      <c r="AZ367" s="5" t="str">
        <f aca="false">IF($B367="","",SUMPRODUCT(($AL367:$AO367&lt;&gt;"")*(COUNTIF($AP367:$AX367,$AL367:$AO367)&gt;0)))</f>
        <v/>
      </c>
      <c r="BA367" s="5" t="str">
        <f aca="false">IF($B367="","",IF(AZ367&gt;0,1,0))</f>
        <v/>
      </c>
      <c r="BB367" s="5" t="str">
        <f aca="false">IF($AP367="","",IF((($AP367="Engineering and Technology")+($AP367="Science and Mathematics")+($AP367="Computer Science, IT and Allied Fields")+($AP367="Life Sciences /Medicine and Healthcare")+($AP367="Paramedical")+($AP367="Architecture")+($AP367="Environmental Service")+($AP367="Agriculture, Food Industry and Forestry"))&gt;0,"Science",IF((($AP367="Banking and Finance")+($AP367="Management and Administration")+($AP367="Marketing")+($AP367="Sales")+($AP367="Entrepreneurship")+($AP367="Hospitality and Tourism"))&gt;0,"Commerce",IF((($AP367="Social Sciences and Humanities")+($AP367="Law Studies")+($AP367="Education and Training")+($AP367="Art, Design")+($AP367="Entertainment and Mass Media")+($AP367="Community and Social Service")+($AP367="Personal Care and Services")+($AP367="Government and Public Administration")+($AP367="Defence/ Protective Service")+($AP367="Sports"))&gt;0,"Arts / Humanities",""))))</f>
        <v/>
      </c>
      <c r="BC367" s="5" t="str">
        <f aca="false">IF($AL367="","",IF((($AL367="Engineering and Technology")+($AL367="Science and Mathematics")+($AL367="Computer Science, IT and Allied Fields")+($AL367="Life Sciences /Medicine and Healthcare")+($AL367="Paramedical")+($AL367="Architecture")+($AL367="Environmental Service")+($AL367="Agriculture, Food Industry and Forestry"))&gt;0,"Science",IF((($AL367="Banking and Finance")+($AL367="Management and Administration")+($AL367="Marketing")+($AL367="Sales")+($AL367="Entrepreneurship")+($AL367="Hospitality and Tourism"))&gt;0,"Commerce",IF((($AL367="Social Sciences and Humanities")+($AL367="Law Studies")+($AL367="Education and Training")+($AL367="Art, Design")+($AL367="Entertainment and Mass Media")+($AL367="Community and Social Service")+($AL367="Personal Care and Services")+($AL367="Government and Public Administration")+($AL367="Defence/ Protective Service")+($AL367="Sports"))&gt;0,"Arts / Humanities",""))))</f>
        <v/>
      </c>
      <c r="BD367" s="5" t="str">
        <f aca="false">IF($B367="","",--(F367&gt;=10)+--(G367&gt;=10)+--(H367&gt;=10)+--(I367&gt;=10)+--(J367&gt;=10)+--(K367&gt;=10)+--(L367&gt;=10)+--(M367&gt;=10)+--(N367&gt;=10)+--(O367&gt;=10))</f>
        <v/>
      </c>
      <c r="BE367" s="5" t="str">
        <f aca="false">IF($B367="","",--(AND(F367&lt;&gt;"",F367&lt;=8))+--(AND(G367&lt;&gt;"",G367&lt;=8))+--(AND(H367&lt;&gt;"",H367&lt;=8))+--(AND(I367&lt;&gt;"",I367&lt;=8))+--(AND(J367&lt;&gt;"",J367&lt;=8))+--(AND(K367&lt;&gt;"",K367&lt;=8))+--(AND(L367&lt;&gt;"",L367&lt;=8))+--(AND(M367&lt;&gt;"",M367&lt;=8))+--(AND(N367&lt;&gt;"",N367&lt;=8))+--(AND(O367&lt;&gt;"",O367&lt;=8)))</f>
        <v/>
      </c>
    </row>
    <row r="368" customFormat="false" ht="15" hidden="false" customHeight="false" outlineLevel="0" collapsed="false">
      <c r="AZ368" s="5" t="str">
        <f aca="false">IF($B368="","",SUMPRODUCT(($AL368:$AO368&lt;&gt;"")*(COUNTIF($AP368:$AX368,$AL368:$AO368)&gt;0)))</f>
        <v/>
      </c>
      <c r="BA368" s="5" t="str">
        <f aca="false">IF($B368="","",IF(AZ368&gt;0,1,0))</f>
        <v/>
      </c>
      <c r="BB368" s="5" t="str">
        <f aca="false">IF($AP368="","",IF((($AP368="Engineering and Technology")+($AP368="Science and Mathematics")+($AP368="Computer Science, IT and Allied Fields")+($AP368="Life Sciences /Medicine and Healthcare")+($AP368="Paramedical")+($AP368="Architecture")+($AP368="Environmental Service")+($AP368="Agriculture, Food Industry and Forestry"))&gt;0,"Science",IF((($AP368="Banking and Finance")+($AP368="Management and Administration")+($AP368="Marketing")+($AP368="Sales")+($AP368="Entrepreneurship")+($AP368="Hospitality and Tourism"))&gt;0,"Commerce",IF((($AP368="Social Sciences and Humanities")+($AP368="Law Studies")+($AP368="Education and Training")+($AP368="Art, Design")+($AP368="Entertainment and Mass Media")+($AP368="Community and Social Service")+($AP368="Personal Care and Services")+($AP368="Government and Public Administration")+($AP368="Defence/ Protective Service")+($AP368="Sports"))&gt;0,"Arts / Humanities",""))))</f>
        <v/>
      </c>
      <c r="BC368" s="5" t="str">
        <f aca="false">IF($AL368="","",IF((($AL368="Engineering and Technology")+($AL368="Science and Mathematics")+($AL368="Computer Science, IT and Allied Fields")+($AL368="Life Sciences /Medicine and Healthcare")+($AL368="Paramedical")+($AL368="Architecture")+($AL368="Environmental Service")+($AL368="Agriculture, Food Industry and Forestry"))&gt;0,"Science",IF((($AL368="Banking and Finance")+($AL368="Management and Administration")+($AL368="Marketing")+($AL368="Sales")+($AL368="Entrepreneurship")+($AL368="Hospitality and Tourism"))&gt;0,"Commerce",IF((($AL368="Social Sciences and Humanities")+($AL368="Law Studies")+($AL368="Education and Training")+($AL368="Art, Design")+($AL368="Entertainment and Mass Media")+($AL368="Community and Social Service")+($AL368="Personal Care and Services")+($AL368="Government and Public Administration")+($AL368="Defence/ Protective Service")+($AL368="Sports"))&gt;0,"Arts / Humanities",""))))</f>
        <v/>
      </c>
      <c r="BD368" s="5" t="str">
        <f aca="false">IF($B368="","",--(F368&gt;=10)+--(G368&gt;=10)+--(H368&gt;=10)+--(I368&gt;=10)+--(J368&gt;=10)+--(K368&gt;=10)+--(L368&gt;=10)+--(M368&gt;=10)+--(N368&gt;=10)+--(O368&gt;=10))</f>
        <v/>
      </c>
      <c r="BE368" s="5" t="str">
        <f aca="false">IF($B368="","",--(AND(F368&lt;&gt;"",F368&lt;=8))+--(AND(G368&lt;&gt;"",G368&lt;=8))+--(AND(H368&lt;&gt;"",H368&lt;=8))+--(AND(I368&lt;&gt;"",I368&lt;=8))+--(AND(J368&lt;&gt;"",J368&lt;=8))+--(AND(K368&lt;&gt;"",K368&lt;=8))+--(AND(L368&lt;&gt;"",L368&lt;=8))+--(AND(M368&lt;&gt;"",M368&lt;=8))+--(AND(N368&lt;&gt;"",N368&lt;=8))+--(AND(O368&lt;&gt;"",O368&lt;=8)))</f>
        <v/>
      </c>
    </row>
    <row r="369" customFormat="false" ht="15" hidden="false" customHeight="false" outlineLevel="0" collapsed="false">
      <c r="AZ369" s="5" t="str">
        <f aca="false">IF($B369="","",SUMPRODUCT(($AL369:$AO369&lt;&gt;"")*(COUNTIF($AP369:$AX369,$AL369:$AO369)&gt;0)))</f>
        <v/>
      </c>
      <c r="BA369" s="5" t="str">
        <f aca="false">IF($B369="","",IF(AZ369&gt;0,1,0))</f>
        <v/>
      </c>
      <c r="BB369" s="5" t="str">
        <f aca="false">IF($AP369="","",IF((($AP369="Engineering and Technology")+($AP369="Science and Mathematics")+($AP369="Computer Science, IT and Allied Fields")+($AP369="Life Sciences /Medicine and Healthcare")+($AP369="Paramedical")+($AP369="Architecture")+($AP369="Environmental Service")+($AP369="Agriculture, Food Industry and Forestry"))&gt;0,"Science",IF((($AP369="Banking and Finance")+($AP369="Management and Administration")+($AP369="Marketing")+($AP369="Sales")+($AP369="Entrepreneurship")+($AP369="Hospitality and Tourism"))&gt;0,"Commerce",IF((($AP369="Social Sciences and Humanities")+($AP369="Law Studies")+($AP369="Education and Training")+($AP369="Art, Design")+($AP369="Entertainment and Mass Media")+($AP369="Community and Social Service")+($AP369="Personal Care and Services")+($AP369="Government and Public Administration")+($AP369="Defence/ Protective Service")+($AP369="Sports"))&gt;0,"Arts / Humanities",""))))</f>
        <v/>
      </c>
      <c r="BC369" s="5" t="str">
        <f aca="false">IF($AL369="","",IF((($AL369="Engineering and Technology")+($AL369="Science and Mathematics")+($AL369="Computer Science, IT and Allied Fields")+($AL369="Life Sciences /Medicine and Healthcare")+($AL369="Paramedical")+($AL369="Architecture")+($AL369="Environmental Service")+($AL369="Agriculture, Food Industry and Forestry"))&gt;0,"Science",IF((($AL369="Banking and Finance")+($AL369="Management and Administration")+($AL369="Marketing")+($AL369="Sales")+($AL369="Entrepreneurship")+($AL369="Hospitality and Tourism"))&gt;0,"Commerce",IF((($AL369="Social Sciences and Humanities")+($AL369="Law Studies")+($AL369="Education and Training")+($AL369="Art, Design")+($AL369="Entertainment and Mass Media")+($AL369="Community and Social Service")+($AL369="Personal Care and Services")+($AL369="Government and Public Administration")+($AL369="Defence/ Protective Service")+($AL369="Sports"))&gt;0,"Arts / Humanities",""))))</f>
        <v/>
      </c>
      <c r="BD369" s="5" t="str">
        <f aca="false">IF($B369="","",--(F369&gt;=10)+--(G369&gt;=10)+--(H369&gt;=10)+--(I369&gt;=10)+--(J369&gt;=10)+--(K369&gt;=10)+--(L369&gt;=10)+--(M369&gt;=10)+--(N369&gt;=10)+--(O369&gt;=10))</f>
        <v/>
      </c>
      <c r="BE369" s="5" t="str">
        <f aca="false">IF($B369="","",--(AND(F369&lt;&gt;"",F369&lt;=8))+--(AND(G369&lt;&gt;"",G369&lt;=8))+--(AND(H369&lt;&gt;"",H369&lt;=8))+--(AND(I369&lt;&gt;"",I369&lt;=8))+--(AND(J369&lt;&gt;"",J369&lt;=8))+--(AND(K369&lt;&gt;"",K369&lt;=8))+--(AND(L369&lt;&gt;"",L369&lt;=8))+--(AND(M369&lt;&gt;"",M369&lt;=8))+--(AND(N369&lt;&gt;"",N369&lt;=8))+--(AND(O369&lt;&gt;"",O369&lt;=8)))</f>
        <v/>
      </c>
    </row>
    <row r="370" customFormat="false" ht="15" hidden="false" customHeight="false" outlineLevel="0" collapsed="false">
      <c r="AZ370" s="5" t="str">
        <f aca="false">IF($B370="","",SUMPRODUCT(($AL370:$AO370&lt;&gt;"")*(COUNTIF($AP370:$AX370,$AL370:$AO370)&gt;0)))</f>
        <v/>
      </c>
      <c r="BA370" s="5" t="str">
        <f aca="false">IF($B370="","",IF(AZ370&gt;0,1,0))</f>
        <v/>
      </c>
      <c r="BB370" s="5" t="str">
        <f aca="false">IF($AP370="","",IF((($AP370="Engineering and Technology")+($AP370="Science and Mathematics")+($AP370="Computer Science, IT and Allied Fields")+($AP370="Life Sciences /Medicine and Healthcare")+($AP370="Paramedical")+($AP370="Architecture")+($AP370="Environmental Service")+($AP370="Agriculture, Food Industry and Forestry"))&gt;0,"Science",IF((($AP370="Banking and Finance")+($AP370="Management and Administration")+($AP370="Marketing")+($AP370="Sales")+($AP370="Entrepreneurship")+($AP370="Hospitality and Tourism"))&gt;0,"Commerce",IF((($AP370="Social Sciences and Humanities")+($AP370="Law Studies")+($AP370="Education and Training")+($AP370="Art, Design")+($AP370="Entertainment and Mass Media")+($AP370="Community and Social Service")+($AP370="Personal Care and Services")+($AP370="Government and Public Administration")+($AP370="Defence/ Protective Service")+($AP370="Sports"))&gt;0,"Arts / Humanities",""))))</f>
        <v/>
      </c>
      <c r="BC370" s="5" t="str">
        <f aca="false">IF($AL370="","",IF((($AL370="Engineering and Technology")+($AL370="Science and Mathematics")+($AL370="Computer Science, IT and Allied Fields")+($AL370="Life Sciences /Medicine and Healthcare")+($AL370="Paramedical")+($AL370="Architecture")+($AL370="Environmental Service")+($AL370="Agriculture, Food Industry and Forestry"))&gt;0,"Science",IF((($AL370="Banking and Finance")+($AL370="Management and Administration")+($AL370="Marketing")+($AL370="Sales")+($AL370="Entrepreneurship")+($AL370="Hospitality and Tourism"))&gt;0,"Commerce",IF((($AL370="Social Sciences and Humanities")+($AL370="Law Studies")+($AL370="Education and Training")+($AL370="Art, Design")+($AL370="Entertainment and Mass Media")+($AL370="Community and Social Service")+($AL370="Personal Care and Services")+($AL370="Government and Public Administration")+($AL370="Defence/ Protective Service")+($AL370="Sports"))&gt;0,"Arts / Humanities",""))))</f>
        <v/>
      </c>
      <c r="BD370" s="5" t="str">
        <f aca="false">IF($B370="","",--(F370&gt;=10)+--(G370&gt;=10)+--(H370&gt;=10)+--(I370&gt;=10)+--(J370&gt;=10)+--(K370&gt;=10)+--(L370&gt;=10)+--(M370&gt;=10)+--(N370&gt;=10)+--(O370&gt;=10))</f>
        <v/>
      </c>
      <c r="BE370" s="5" t="str">
        <f aca="false">IF($B370="","",--(AND(F370&lt;&gt;"",F370&lt;=8))+--(AND(G370&lt;&gt;"",G370&lt;=8))+--(AND(H370&lt;&gt;"",H370&lt;=8))+--(AND(I370&lt;&gt;"",I370&lt;=8))+--(AND(J370&lt;&gt;"",J370&lt;=8))+--(AND(K370&lt;&gt;"",K370&lt;=8))+--(AND(L370&lt;&gt;"",L370&lt;=8))+--(AND(M370&lt;&gt;"",M370&lt;=8))+--(AND(N370&lt;&gt;"",N370&lt;=8))+--(AND(O370&lt;&gt;"",O370&lt;=8)))</f>
        <v/>
      </c>
    </row>
    <row r="371" customFormat="false" ht="15" hidden="false" customHeight="false" outlineLevel="0" collapsed="false">
      <c r="AZ371" s="5" t="str">
        <f aca="false">IF($B371="","",SUMPRODUCT(($AL371:$AO371&lt;&gt;"")*(COUNTIF($AP371:$AX371,$AL371:$AO371)&gt;0)))</f>
        <v/>
      </c>
      <c r="BA371" s="5" t="str">
        <f aca="false">IF($B371="","",IF(AZ371&gt;0,1,0))</f>
        <v/>
      </c>
      <c r="BB371" s="5" t="str">
        <f aca="false">IF($AP371="","",IF((($AP371="Engineering and Technology")+($AP371="Science and Mathematics")+($AP371="Computer Science, IT and Allied Fields")+($AP371="Life Sciences /Medicine and Healthcare")+($AP371="Paramedical")+($AP371="Architecture")+($AP371="Environmental Service")+($AP371="Agriculture, Food Industry and Forestry"))&gt;0,"Science",IF((($AP371="Banking and Finance")+($AP371="Management and Administration")+($AP371="Marketing")+($AP371="Sales")+($AP371="Entrepreneurship")+($AP371="Hospitality and Tourism"))&gt;0,"Commerce",IF((($AP371="Social Sciences and Humanities")+($AP371="Law Studies")+($AP371="Education and Training")+($AP371="Art, Design")+($AP371="Entertainment and Mass Media")+($AP371="Community and Social Service")+($AP371="Personal Care and Services")+($AP371="Government and Public Administration")+($AP371="Defence/ Protective Service")+($AP371="Sports"))&gt;0,"Arts / Humanities",""))))</f>
        <v/>
      </c>
      <c r="BC371" s="5" t="str">
        <f aca="false">IF($AL371="","",IF((($AL371="Engineering and Technology")+($AL371="Science and Mathematics")+($AL371="Computer Science, IT and Allied Fields")+($AL371="Life Sciences /Medicine and Healthcare")+($AL371="Paramedical")+($AL371="Architecture")+($AL371="Environmental Service")+($AL371="Agriculture, Food Industry and Forestry"))&gt;0,"Science",IF((($AL371="Banking and Finance")+($AL371="Management and Administration")+($AL371="Marketing")+($AL371="Sales")+($AL371="Entrepreneurship")+($AL371="Hospitality and Tourism"))&gt;0,"Commerce",IF((($AL371="Social Sciences and Humanities")+($AL371="Law Studies")+($AL371="Education and Training")+($AL371="Art, Design")+($AL371="Entertainment and Mass Media")+($AL371="Community and Social Service")+($AL371="Personal Care and Services")+($AL371="Government and Public Administration")+($AL371="Defence/ Protective Service")+($AL371="Sports"))&gt;0,"Arts / Humanities",""))))</f>
        <v/>
      </c>
      <c r="BD371" s="5" t="str">
        <f aca="false">IF($B371="","",--(F371&gt;=10)+--(G371&gt;=10)+--(H371&gt;=10)+--(I371&gt;=10)+--(J371&gt;=10)+--(K371&gt;=10)+--(L371&gt;=10)+--(M371&gt;=10)+--(N371&gt;=10)+--(O371&gt;=10))</f>
        <v/>
      </c>
      <c r="BE371" s="5" t="str">
        <f aca="false">IF($B371="","",--(AND(F371&lt;&gt;"",F371&lt;=8))+--(AND(G371&lt;&gt;"",G371&lt;=8))+--(AND(H371&lt;&gt;"",H371&lt;=8))+--(AND(I371&lt;&gt;"",I371&lt;=8))+--(AND(J371&lt;&gt;"",J371&lt;=8))+--(AND(K371&lt;&gt;"",K371&lt;=8))+--(AND(L371&lt;&gt;"",L371&lt;=8))+--(AND(M371&lt;&gt;"",M371&lt;=8))+--(AND(N371&lt;&gt;"",N371&lt;=8))+--(AND(O371&lt;&gt;"",O371&lt;=8)))</f>
        <v/>
      </c>
    </row>
    <row r="372" customFormat="false" ht="15" hidden="false" customHeight="false" outlineLevel="0" collapsed="false">
      <c r="AZ372" s="5" t="str">
        <f aca="false">IF($B372="","",SUMPRODUCT(($AL372:$AO372&lt;&gt;"")*(COUNTIF($AP372:$AX372,$AL372:$AO372)&gt;0)))</f>
        <v/>
      </c>
      <c r="BA372" s="5" t="str">
        <f aca="false">IF($B372="","",IF(AZ372&gt;0,1,0))</f>
        <v/>
      </c>
      <c r="BB372" s="5" t="str">
        <f aca="false">IF($AP372="","",IF((($AP372="Engineering and Technology")+($AP372="Science and Mathematics")+($AP372="Computer Science, IT and Allied Fields")+($AP372="Life Sciences /Medicine and Healthcare")+($AP372="Paramedical")+($AP372="Architecture")+($AP372="Environmental Service")+($AP372="Agriculture, Food Industry and Forestry"))&gt;0,"Science",IF((($AP372="Banking and Finance")+($AP372="Management and Administration")+($AP372="Marketing")+($AP372="Sales")+($AP372="Entrepreneurship")+($AP372="Hospitality and Tourism"))&gt;0,"Commerce",IF((($AP372="Social Sciences and Humanities")+($AP372="Law Studies")+($AP372="Education and Training")+($AP372="Art, Design")+($AP372="Entertainment and Mass Media")+($AP372="Community and Social Service")+($AP372="Personal Care and Services")+($AP372="Government and Public Administration")+($AP372="Defence/ Protective Service")+($AP372="Sports"))&gt;0,"Arts / Humanities",""))))</f>
        <v/>
      </c>
      <c r="BC372" s="5" t="str">
        <f aca="false">IF($AL372="","",IF((($AL372="Engineering and Technology")+($AL372="Science and Mathematics")+($AL372="Computer Science, IT and Allied Fields")+($AL372="Life Sciences /Medicine and Healthcare")+($AL372="Paramedical")+($AL372="Architecture")+($AL372="Environmental Service")+($AL372="Agriculture, Food Industry and Forestry"))&gt;0,"Science",IF((($AL372="Banking and Finance")+($AL372="Management and Administration")+($AL372="Marketing")+($AL372="Sales")+($AL372="Entrepreneurship")+($AL372="Hospitality and Tourism"))&gt;0,"Commerce",IF((($AL372="Social Sciences and Humanities")+($AL372="Law Studies")+($AL372="Education and Training")+($AL372="Art, Design")+($AL372="Entertainment and Mass Media")+($AL372="Community and Social Service")+($AL372="Personal Care and Services")+($AL372="Government and Public Administration")+($AL372="Defence/ Protective Service")+($AL372="Sports"))&gt;0,"Arts / Humanities",""))))</f>
        <v/>
      </c>
      <c r="BD372" s="5" t="str">
        <f aca="false">IF($B372="","",--(F372&gt;=10)+--(G372&gt;=10)+--(H372&gt;=10)+--(I372&gt;=10)+--(J372&gt;=10)+--(K372&gt;=10)+--(L372&gt;=10)+--(M372&gt;=10)+--(N372&gt;=10)+--(O372&gt;=10))</f>
        <v/>
      </c>
      <c r="BE372" s="5" t="str">
        <f aca="false">IF($B372="","",--(AND(F372&lt;&gt;"",F372&lt;=8))+--(AND(G372&lt;&gt;"",G372&lt;=8))+--(AND(H372&lt;&gt;"",H372&lt;=8))+--(AND(I372&lt;&gt;"",I372&lt;=8))+--(AND(J372&lt;&gt;"",J372&lt;=8))+--(AND(K372&lt;&gt;"",K372&lt;=8))+--(AND(L372&lt;&gt;"",L372&lt;=8))+--(AND(M372&lt;&gt;"",M372&lt;=8))+--(AND(N372&lt;&gt;"",N372&lt;=8))+--(AND(O372&lt;&gt;"",O372&lt;=8)))</f>
        <v/>
      </c>
    </row>
    <row r="373" customFormat="false" ht="15" hidden="false" customHeight="false" outlineLevel="0" collapsed="false">
      <c r="AZ373" s="5" t="str">
        <f aca="false">IF($B373="","",SUMPRODUCT(($AL373:$AO373&lt;&gt;"")*(COUNTIF($AP373:$AX373,$AL373:$AO373)&gt;0)))</f>
        <v/>
      </c>
      <c r="BA373" s="5" t="str">
        <f aca="false">IF($B373="","",IF(AZ373&gt;0,1,0))</f>
        <v/>
      </c>
      <c r="BB373" s="5" t="str">
        <f aca="false">IF($AP373="","",IF((($AP373="Engineering and Technology")+($AP373="Science and Mathematics")+($AP373="Computer Science, IT and Allied Fields")+($AP373="Life Sciences /Medicine and Healthcare")+($AP373="Paramedical")+($AP373="Architecture")+($AP373="Environmental Service")+($AP373="Agriculture, Food Industry and Forestry"))&gt;0,"Science",IF((($AP373="Banking and Finance")+($AP373="Management and Administration")+($AP373="Marketing")+($AP373="Sales")+($AP373="Entrepreneurship")+($AP373="Hospitality and Tourism"))&gt;0,"Commerce",IF((($AP373="Social Sciences and Humanities")+($AP373="Law Studies")+($AP373="Education and Training")+($AP373="Art, Design")+($AP373="Entertainment and Mass Media")+($AP373="Community and Social Service")+($AP373="Personal Care and Services")+($AP373="Government and Public Administration")+($AP373="Defence/ Protective Service")+($AP373="Sports"))&gt;0,"Arts / Humanities",""))))</f>
        <v/>
      </c>
      <c r="BC373" s="5" t="str">
        <f aca="false">IF($AL373="","",IF((($AL373="Engineering and Technology")+($AL373="Science and Mathematics")+($AL373="Computer Science, IT and Allied Fields")+($AL373="Life Sciences /Medicine and Healthcare")+($AL373="Paramedical")+($AL373="Architecture")+($AL373="Environmental Service")+($AL373="Agriculture, Food Industry and Forestry"))&gt;0,"Science",IF((($AL373="Banking and Finance")+($AL373="Management and Administration")+($AL373="Marketing")+($AL373="Sales")+($AL373="Entrepreneurship")+($AL373="Hospitality and Tourism"))&gt;0,"Commerce",IF((($AL373="Social Sciences and Humanities")+($AL373="Law Studies")+($AL373="Education and Training")+($AL373="Art, Design")+($AL373="Entertainment and Mass Media")+($AL373="Community and Social Service")+($AL373="Personal Care and Services")+($AL373="Government and Public Administration")+($AL373="Defence/ Protective Service")+($AL373="Sports"))&gt;0,"Arts / Humanities",""))))</f>
        <v/>
      </c>
      <c r="BD373" s="5" t="str">
        <f aca="false">IF($B373="","",--(F373&gt;=10)+--(G373&gt;=10)+--(H373&gt;=10)+--(I373&gt;=10)+--(J373&gt;=10)+--(K373&gt;=10)+--(L373&gt;=10)+--(M373&gt;=10)+--(N373&gt;=10)+--(O373&gt;=10))</f>
        <v/>
      </c>
      <c r="BE373" s="5" t="str">
        <f aca="false">IF($B373="","",--(AND(F373&lt;&gt;"",F373&lt;=8))+--(AND(G373&lt;&gt;"",G373&lt;=8))+--(AND(H373&lt;&gt;"",H373&lt;=8))+--(AND(I373&lt;&gt;"",I373&lt;=8))+--(AND(J373&lt;&gt;"",J373&lt;=8))+--(AND(K373&lt;&gt;"",K373&lt;=8))+--(AND(L373&lt;&gt;"",L373&lt;=8))+--(AND(M373&lt;&gt;"",M373&lt;=8))+--(AND(N373&lt;&gt;"",N373&lt;=8))+--(AND(O373&lt;&gt;"",O373&lt;=8)))</f>
        <v/>
      </c>
    </row>
    <row r="374" customFormat="false" ht="15" hidden="false" customHeight="false" outlineLevel="0" collapsed="false">
      <c r="AZ374" s="5" t="str">
        <f aca="false">IF($B374="","",SUMPRODUCT(($AL374:$AO374&lt;&gt;"")*(COUNTIF($AP374:$AX374,$AL374:$AO374)&gt;0)))</f>
        <v/>
      </c>
      <c r="BA374" s="5" t="str">
        <f aca="false">IF($B374="","",IF(AZ374&gt;0,1,0))</f>
        <v/>
      </c>
      <c r="BB374" s="5" t="str">
        <f aca="false">IF($AP374="","",IF((($AP374="Engineering and Technology")+($AP374="Science and Mathematics")+($AP374="Computer Science, IT and Allied Fields")+($AP374="Life Sciences /Medicine and Healthcare")+($AP374="Paramedical")+($AP374="Architecture")+($AP374="Environmental Service")+($AP374="Agriculture, Food Industry and Forestry"))&gt;0,"Science",IF((($AP374="Banking and Finance")+($AP374="Management and Administration")+($AP374="Marketing")+($AP374="Sales")+($AP374="Entrepreneurship")+($AP374="Hospitality and Tourism"))&gt;0,"Commerce",IF((($AP374="Social Sciences and Humanities")+($AP374="Law Studies")+($AP374="Education and Training")+($AP374="Art, Design")+($AP374="Entertainment and Mass Media")+($AP374="Community and Social Service")+($AP374="Personal Care and Services")+($AP374="Government and Public Administration")+($AP374="Defence/ Protective Service")+($AP374="Sports"))&gt;0,"Arts / Humanities",""))))</f>
        <v/>
      </c>
      <c r="BC374" s="5" t="str">
        <f aca="false">IF($AL374="","",IF((($AL374="Engineering and Technology")+($AL374="Science and Mathematics")+($AL374="Computer Science, IT and Allied Fields")+($AL374="Life Sciences /Medicine and Healthcare")+($AL374="Paramedical")+($AL374="Architecture")+($AL374="Environmental Service")+($AL374="Agriculture, Food Industry and Forestry"))&gt;0,"Science",IF((($AL374="Banking and Finance")+($AL374="Management and Administration")+($AL374="Marketing")+($AL374="Sales")+($AL374="Entrepreneurship")+($AL374="Hospitality and Tourism"))&gt;0,"Commerce",IF((($AL374="Social Sciences and Humanities")+($AL374="Law Studies")+($AL374="Education and Training")+($AL374="Art, Design")+($AL374="Entertainment and Mass Media")+($AL374="Community and Social Service")+($AL374="Personal Care and Services")+($AL374="Government and Public Administration")+($AL374="Defence/ Protective Service")+($AL374="Sports"))&gt;0,"Arts / Humanities",""))))</f>
        <v/>
      </c>
      <c r="BD374" s="5" t="str">
        <f aca="false">IF($B374="","",--(F374&gt;=10)+--(G374&gt;=10)+--(H374&gt;=10)+--(I374&gt;=10)+--(J374&gt;=10)+--(K374&gt;=10)+--(L374&gt;=10)+--(M374&gt;=10)+--(N374&gt;=10)+--(O374&gt;=10))</f>
        <v/>
      </c>
      <c r="BE374" s="5" t="str">
        <f aca="false">IF($B374="","",--(AND(F374&lt;&gt;"",F374&lt;=8))+--(AND(G374&lt;&gt;"",G374&lt;=8))+--(AND(H374&lt;&gt;"",H374&lt;=8))+--(AND(I374&lt;&gt;"",I374&lt;=8))+--(AND(J374&lt;&gt;"",J374&lt;=8))+--(AND(K374&lt;&gt;"",K374&lt;=8))+--(AND(L374&lt;&gt;"",L374&lt;=8))+--(AND(M374&lt;&gt;"",M374&lt;=8))+--(AND(N374&lt;&gt;"",N374&lt;=8))+--(AND(O374&lt;&gt;"",O374&lt;=8)))</f>
        <v/>
      </c>
    </row>
    <row r="375" customFormat="false" ht="15" hidden="false" customHeight="false" outlineLevel="0" collapsed="false">
      <c r="AZ375" s="5" t="str">
        <f aca="false">IF($B375="","",SUMPRODUCT(($AL375:$AO375&lt;&gt;"")*(COUNTIF($AP375:$AX375,$AL375:$AO375)&gt;0)))</f>
        <v/>
      </c>
      <c r="BA375" s="5" t="str">
        <f aca="false">IF($B375="","",IF(AZ375&gt;0,1,0))</f>
        <v/>
      </c>
      <c r="BB375" s="5" t="str">
        <f aca="false">IF($AP375="","",IF((($AP375="Engineering and Technology")+($AP375="Science and Mathematics")+($AP375="Computer Science, IT and Allied Fields")+($AP375="Life Sciences /Medicine and Healthcare")+($AP375="Paramedical")+($AP375="Architecture")+($AP375="Environmental Service")+($AP375="Agriculture, Food Industry and Forestry"))&gt;0,"Science",IF((($AP375="Banking and Finance")+($AP375="Management and Administration")+($AP375="Marketing")+($AP375="Sales")+($AP375="Entrepreneurship")+($AP375="Hospitality and Tourism"))&gt;0,"Commerce",IF((($AP375="Social Sciences and Humanities")+($AP375="Law Studies")+($AP375="Education and Training")+($AP375="Art, Design")+($AP375="Entertainment and Mass Media")+($AP375="Community and Social Service")+($AP375="Personal Care and Services")+($AP375="Government and Public Administration")+($AP375="Defence/ Protective Service")+($AP375="Sports"))&gt;0,"Arts / Humanities",""))))</f>
        <v/>
      </c>
      <c r="BC375" s="5" t="str">
        <f aca="false">IF($AL375="","",IF((($AL375="Engineering and Technology")+($AL375="Science and Mathematics")+($AL375="Computer Science, IT and Allied Fields")+($AL375="Life Sciences /Medicine and Healthcare")+($AL375="Paramedical")+($AL375="Architecture")+($AL375="Environmental Service")+($AL375="Agriculture, Food Industry and Forestry"))&gt;0,"Science",IF((($AL375="Banking and Finance")+($AL375="Management and Administration")+($AL375="Marketing")+($AL375="Sales")+($AL375="Entrepreneurship")+($AL375="Hospitality and Tourism"))&gt;0,"Commerce",IF((($AL375="Social Sciences and Humanities")+($AL375="Law Studies")+($AL375="Education and Training")+($AL375="Art, Design")+($AL375="Entertainment and Mass Media")+($AL375="Community and Social Service")+($AL375="Personal Care and Services")+($AL375="Government and Public Administration")+($AL375="Defence/ Protective Service")+($AL375="Sports"))&gt;0,"Arts / Humanities",""))))</f>
        <v/>
      </c>
      <c r="BD375" s="5" t="str">
        <f aca="false">IF($B375="","",--(F375&gt;=10)+--(G375&gt;=10)+--(H375&gt;=10)+--(I375&gt;=10)+--(J375&gt;=10)+--(K375&gt;=10)+--(L375&gt;=10)+--(M375&gt;=10)+--(N375&gt;=10)+--(O375&gt;=10))</f>
        <v/>
      </c>
      <c r="BE375" s="5" t="str">
        <f aca="false">IF($B375="","",--(AND(F375&lt;&gt;"",F375&lt;=8))+--(AND(G375&lt;&gt;"",G375&lt;=8))+--(AND(H375&lt;&gt;"",H375&lt;=8))+--(AND(I375&lt;&gt;"",I375&lt;=8))+--(AND(J375&lt;&gt;"",J375&lt;=8))+--(AND(K375&lt;&gt;"",K375&lt;=8))+--(AND(L375&lt;&gt;"",L375&lt;=8))+--(AND(M375&lt;&gt;"",M375&lt;=8))+--(AND(N375&lt;&gt;"",N375&lt;=8))+--(AND(O375&lt;&gt;"",O375&lt;=8)))</f>
        <v/>
      </c>
    </row>
    <row r="376" customFormat="false" ht="15" hidden="false" customHeight="false" outlineLevel="0" collapsed="false">
      <c r="AZ376" s="5" t="str">
        <f aca="false">IF($B376="","",SUMPRODUCT(($AL376:$AO376&lt;&gt;"")*(COUNTIF($AP376:$AX376,$AL376:$AO376)&gt;0)))</f>
        <v/>
      </c>
      <c r="BA376" s="5" t="str">
        <f aca="false">IF($B376="","",IF(AZ376&gt;0,1,0))</f>
        <v/>
      </c>
      <c r="BB376" s="5" t="str">
        <f aca="false">IF($AP376="","",IF((($AP376="Engineering and Technology")+($AP376="Science and Mathematics")+($AP376="Computer Science, IT and Allied Fields")+($AP376="Life Sciences /Medicine and Healthcare")+($AP376="Paramedical")+($AP376="Architecture")+($AP376="Environmental Service")+($AP376="Agriculture, Food Industry and Forestry"))&gt;0,"Science",IF((($AP376="Banking and Finance")+($AP376="Management and Administration")+($AP376="Marketing")+($AP376="Sales")+($AP376="Entrepreneurship")+($AP376="Hospitality and Tourism"))&gt;0,"Commerce",IF((($AP376="Social Sciences and Humanities")+($AP376="Law Studies")+($AP376="Education and Training")+($AP376="Art, Design")+($AP376="Entertainment and Mass Media")+($AP376="Community and Social Service")+($AP376="Personal Care and Services")+($AP376="Government and Public Administration")+($AP376="Defence/ Protective Service")+($AP376="Sports"))&gt;0,"Arts / Humanities",""))))</f>
        <v/>
      </c>
      <c r="BC376" s="5" t="str">
        <f aca="false">IF($AL376="","",IF((($AL376="Engineering and Technology")+($AL376="Science and Mathematics")+($AL376="Computer Science, IT and Allied Fields")+($AL376="Life Sciences /Medicine and Healthcare")+($AL376="Paramedical")+($AL376="Architecture")+($AL376="Environmental Service")+($AL376="Agriculture, Food Industry and Forestry"))&gt;0,"Science",IF((($AL376="Banking and Finance")+($AL376="Management and Administration")+($AL376="Marketing")+($AL376="Sales")+($AL376="Entrepreneurship")+($AL376="Hospitality and Tourism"))&gt;0,"Commerce",IF((($AL376="Social Sciences and Humanities")+($AL376="Law Studies")+($AL376="Education and Training")+($AL376="Art, Design")+($AL376="Entertainment and Mass Media")+($AL376="Community and Social Service")+($AL376="Personal Care and Services")+($AL376="Government and Public Administration")+($AL376="Defence/ Protective Service")+($AL376="Sports"))&gt;0,"Arts / Humanities",""))))</f>
        <v/>
      </c>
      <c r="BD376" s="5" t="str">
        <f aca="false">IF($B376="","",--(F376&gt;=10)+--(G376&gt;=10)+--(H376&gt;=10)+--(I376&gt;=10)+--(J376&gt;=10)+--(K376&gt;=10)+--(L376&gt;=10)+--(M376&gt;=10)+--(N376&gt;=10)+--(O376&gt;=10))</f>
        <v/>
      </c>
      <c r="BE376" s="5" t="str">
        <f aca="false">IF($B376="","",--(AND(F376&lt;&gt;"",F376&lt;=8))+--(AND(G376&lt;&gt;"",G376&lt;=8))+--(AND(H376&lt;&gt;"",H376&lt;=8))+--(AND(I376&lt;&gt;"",I376&lt;=8))+--(AND(J376&lt;&gt;"",J376&lt;=8))+--(AND(K376&lt;&gt;"",K376&lt;=8))+--(AND(L376&lt;&gt;"",L376&lt;=8))+--(AND(M376&lt;&gt;"",M376&lt;=8))+--(AND(N376&lt;&gt;"",N376&lt;=8))+--(AND(O376&lt;&gt;"",O376&lt;=8)))</f>
        <v/>
      </c>
    </row>
    <row r="377" customFormat="false" ht="15" hidden="false" customHeight="false" outlineLevel="0" collapsed="false">
      <c r="AZ377" s="5" t="str">
        <f aca="false">IF($B377="","",SUMPRODUCT(($AL377:$AO377&lt;&gt;"")*(COUNTIF($AP377:$AX377,$AL377:$AO377)&gt;0)))</f>
        <v/>
      </c>
      <c r="BA377" s="5" t="str">
        <f aca="false">IF($B377="","",IF(AZ377&gt;0,1,0))</f>
        <v/>
      </c>
      <c r="BB377" s="5" t="str">
        <f aca="false">IF($AP377="","",IF((($AP377="Engineering and Technology")+($AP377="Science and Mathematics")+($AP377="Computer Science, IT and Allied Fields")+($AP377="Life Sciences /Medicine and Healthcare")+($AP377="Paramedical")+($AP377="Architecture")+($AP377="Environmental Service")+($AP377="Agriculture, Food Industry and Forestry"))&gt;0,"Science",IF((($AP377="Banking and Finance")+($AP377="Management and Administration")+($AP377="Marketing")+($AP377="Sales")+($AP377="Entrepreneurship")+($AP377="Hospitality and Tourism"))&gt;0,"Commerce",IF((($AP377="Social Sciences and Humanities")+($AP377="Law Studies")+($AP377="Education and Training")+($AP377="Art, Design")+($AP377="Entertainment and Mass Media")+($AP377="Community and Social Service")+($AP377="Personal Care and Services")+($AP377="Government and Public Administration")+($AP377="Defence/ Protective Service")+($AP377="Sports"))&gt;0,"Arts / Humanities",""))))</f>
        <v/>
      </c>
      <c r="BC377" s="5" t="str">
        <f aca="false">IF($AL377="","",IF((($AL377="Engineering and Technology")+($AL377="Science and Mathematics")+($AL377="Computer Science, IT and Allied Fields")+($AL377="Life Sciences /Medicine and Healthcare")+($AL377="Paramedical")+($AL377="Architecture")+($AL377="Environmental Service")+($AL377="Agriculture, Food Industry and Forestry"))&gt;0,"Science",IF((($AL377="Banking and Finance")+($AL377="Management and Administration")+($AL377="Marketing")+($AL377="Sales")+($AL377="Entrepreneurship")+($AL377="Hospitality and Tourism"))&gt;0,"Commerce",IF((($AL377="Social Sciences and Humanities")+($AL377="Law Studies")+($AL377="Education and Training")+($AL377="Art, Design")+($AL377="Entertainment and Mass Media")+($AL377="Community and Social Service")+($AL377="Personal Care and Services")+($AL377="Government and Public Administration")+($AL377="Defence/ Protective Service")+($AL377="Sports"))&gt;0,"Arts / Humanities",""))))</f>
        <v/>
      </c>
      <c r="BD377" s="5" t="str">
        <f aca="false">IF($B377="","",--(F377&gt;=10)+--(G377&gt;=10)+--(H377&gt;=10)+--(I377&gt;=10)+--(J377&gt;=10)+--(K377&gt;=10)+--(L377&gt;=10)+--(M377&gt;=10)+--(N377&gt;=10)+--(O377&gt;=10))</f>
        <v/>
      </c>
      <c r="BE377" s="5" t="str">
        <f aca="false">IF($B377="","",--(AND(F377&lt;&gt;"",F377&lt;=8))+--(AND(G377&lt;&gt;"",G377&lt;=8))+--(AND(H377&lt;&gt;"",H377&lt;=8))+--(AND(I377&lt;&gt;"",I377&lt;=8))+--(AND(J377&lt;&gt;"",J377&lt;=8))+--(AND(K377&lt;&gt;"",K377&lt;=8))+--(AND(L377&lt;&gt;"",L377&lt;=8))+--(AND(M377&lt;&gt;"",M377&lt;=8))+--(AND(N377&lt;&gt;"",N377&lt;=8))+--(AND(O377&lt;&gt;"",O377&lt;=8)))</f>
        <v/>
      </c>
    </row>
    <row r="378" customFormat="false" ht="15" hidden="false" customHeight="false" outlineLevel="0" collapsed="false">
      <c r="AZ378" s="5" t="str">
        <f aca="false">IF($B378="","",SUMPRODUCT(($AL378:$AO378&lt;&gt;"")*(COUNTIF($AP378:$AX378,$AL378:$AO378)&gt;0)))</f>
        <v/>
      </c>
      <c r="BA378" s="5" t="str">
        <f aca="false">IF($B378="","",IF(AZ378&gt;0,1,0))</f>
        <v/>
      </c>
      <c r="BB378" s="5" t="str">
        <f aca="false">IF($AP378="","",IF((($AP378="Engineering and Technology")+($AP378="Science and Mathematics")+($AP378="Computer Science, IT and Allied Fields")+($AP378="Life Sciences /Medicine and Healthcare")+($AP378="Paramedical")+($AP378="Architecture")+($AP378="Environmental Service")+($AP378="Agriculture, Food Industry and Forestry"))&gt;0,"Science",IF((($AP378="Banking and Finance")+($AP378="Management and Administration")+($AP378="Marketing")+($AP378="Sales")+($AP378="Entrepreneurship")+($AP378="Hospitality and Tourism"))&gt;0,"Commerce",IF((($AP378="Social Sciences and Humanities")+($AP378="Law Studies")+($AP378="Education and Training")+($AP378="Art, Design")+($AP378="Entertainment and Mass Media")+($AP378="Community and Social Service")+($AP378="Personal Care and Services")+($AP378="Government and Public Administration")+($AP378="Defence/ Protective Service")+($AP378="Sports"))&gt;0,"Arts / Humanities",""))))</f>
        <v/>
      </c>
      <c r="BC378" s="5" t="str">
        <f aca="false">IF($AL378="","",IF((($AL378="Engineering and Technology")+($AL378="Science and Mathematics")+($AL378="Computer Science, IT and Allied Fields")+($AL378="Life Sciences /Medicine and Healthcare")+($AL378="Paramedical")+($AL378="Architecture")+($AL378="Environmental Service")+($AL378="Agriculture, Food Industry and Forestry"))&gt;0,"Science",IF((($AL378="Banking and Finance")+($AL378="Management and Administration")+($AL378="Marketing")+($AL378="Sales")+($AL378="Entrepreneurship")+($AL378="Hospitality and Tourism"))&gt;0,"Commerce",IF((($AL378="Social Sciences and Humanities")+($AL378="Law Studies")+($AL378="Education and Training")+($AL378="Art, Design")+($AL378="Entertainment and Mass Media")+($AL378="Community and Social Service")+($AL378="Personal Care and Services")+($AL378="Government and Public Administration")+($AL378="Defence/ Protective Service")+($AL378="Sports"))&gt;0,"Arts / Humanities",""))))</f>
        <v/>
      </c>
      <c r="BD378" s="5" t="str">
        <f aca="false">IF($B378="","",--(F378&gt;=10)+--(G378&gt;=10)+--(H378&gt;=10)+--(I378&gt;=10)+--(J378&gt;=10)+--(K378&gt;=10)+--(L378&gt;=10)+--(M378&gt;=10)+--(N378&gt;=10)+--(O378&gt;=10))</f>
        <v/>
      </c>
      <c r="BE378" s="5" t="str">
        <f aca="false">IF($B378="","",--(AND(F378&lt;&gt;"",F378&lt;=8))+--(AND(G378&lt;&gt;"",G378&lt;=8))+--(AND(H378&lt;&gt;"",H378&lt;=8))+--(AND(I378&lt;&gt;"",I378&lt;=8))+--(AND(J378&lt;&gt;"",J378&lt;=8))+--(AND(K378&lt;&gt;"",K378&lt;=8))+--(AND(L378&lt;&gt;"",L378&lt;=8))+--(AND(M378&lt;&gt;"",M378&lt;=8))+--(AND(N378&lt;&gt;"",N378&lt;=8))+--(AND(O378&lt;&gt;"",O378&lt;=8)))</f>
        <v/>
      </c>
    </row>
    <row r="379" customFormat="false" ht="15" hidden="false" customHeight="false" outlineLevel="0" collapsed="false">
      <c r="AZ379" s="5" t="str">
        <f aca="false">IF($B379="","",SUMPRODUCT(($AL379:$AO379&lt;&gt;"")*(COUNTIF($AP379:$AX379,$AL379:$AO379)&gt;0)))</f>
        <v/>
      </c>
      <c r="BA379" s="5" t="str">
        <f aca="false">IF($B379="","",IF(AZ379&gt;0,1,0))</f>
        <v/>
      </c>
      <c r="BB379" s="5" t="str">
        <f aca="false">IF($AP379="","",IF((($AP379="Engineering and Technology")+($AP379="Science and Mathematics")+($AP379="Computer Science, IT and Allied Fields")+($AP379="Life Sciences /Medicine and Healthcare")+($AP379="Paramedical")+($AP379="Architecture")+($AP379="Environmental Service")+($AP379="Agriculture, Food Industry and Forestry"))&gt;0,"Science",IF((($AP379="Banking and Finance")+($AP379="Management and Administration")+($AP379="Marketing")+($AP379="Sales")+($AP379="Entrepreneurship")+($AP379="Hospitality and Tourism"))&gt;0,"Commerce",IF((($AP379="Social Sciences and Humanities")+($AP379="Law Studies")+($AP379="Education and Training")+($AP379="Art, Design")+($AP379="Entertainment and Mass Media")+($AP379="Community and Social Service")+($AP379="Personal Care and Services")+($AP379="Government and Public Administration")+($AP379="Defence/ Protective Service")+($AP379="Sports"))&gt;0,"Arts / Humanities",""))))</f>
        <v/>
      </c>
      <c r="BC379" s="5" t="str">
        <f aca="false">IF($AL379="","",IF((($AL379="Engineering and Technology")+($AL379="Science and Mathematics")+($AL379="Computer Science, IT and Allied Fields")+($AL379="Life Sciences /Medicine and Healthcare")+($AL379="Paramedical")+($AL379="Architecture")+($AL379="Environmental Service")+($AL379="Agriculture, Food Industry and Forestry"))&gt;0,"Science",IF((($AL379="Banking and Finance")+($AL379="Management and Administration")+($AL379="Marketing")+($AL379="Sales")+($AL379="Entrepreneurship")+($AL379="Hospitality and Tourism"))&gt;0,"Commerce",IF((($AL379="Social Sciences and Humanities")+($AL379="Law Studies")+($AL379="Education and Training")+($AL379="Art, Design")+($AL379="Entertainment and Mass Media")+($AL379="Community and Social Service")+($AL379="Personal Care and Services")+($AL379="Government and Public Administration")+($AL379="Defence/ Protective Service")+($AL379="Sports"))&gt;0,"Arts / Humanities",""))))</f>
        <v/>
      </c>
      <c r="BD379" s="5" t="str">
        <f aca="false">IF($B379="","",--(F379&gt;=10)+--(G379&gt;=10)+--(H379&gt;=10)+--(I379&gt;=10)+--(J379&gt;=10)+--(K379&gt;=10)+--(L379&gt;=10)+--(M379&gt;=10)+--(N379&gt;=10)+--(O379&gt;=10))</f>
        <v/>
      </c>
      <c r="BE379" s="5" t="str">
        <f aca="false">IF($B379="","",--(AND(F379&lt;&gt;"",F379&lt;=8))+--(AND(G379&lt;&gt;"",G379&lt;=8))+--(AND(H379&lt;&gt;"",H379&lt;=8))+--(AND(I379&lt;&gt;"",I379&lt;=8))+--(AND(J379&lt;&gt;"",J379&lt;=8))+--(AND(K379&lt;&gt;"",K379&lt;=8))+--(AND(L379&lt;&gt;"",L379&lt;=8))+--(AND(M379&lt;&gt;"",M379&lt;=8))+--(AND(N379&lt;&gt;"",N379&lt;=8))+--(AND(O379&lt;&gt;"",O379&lt;=8)))</f>
        <v/>
      </c>
    </row>
    <row r="380" customFormat="false" ht="15" hidden="false" customHeight="false" outlineLevel="0" collapsed="false">
      <c r="AZ380" s="5" t="str">
        <f aca="false">IF($B380="","",SUMPRODUCT(($AL380:$AO380&lt;&gt;"")*(COUNTIF($AP380:$AX380,$AL380:$AO380)&gt;0)))</f>
        <v/>
      </c>
      <c r="BA380" s="5" t="str">
        <f aca="false">IF($B380="","",IF(AZ380&gt;0,1,0))</f>
        <v/>
      </c>
      <c r="BB380" s="5" t="str">
        <f aca="false">IF($AP380="","",IF((($AP380="Engineering and Technology")+($AP380="Science and Mathematics")+($AP380="Computer Science, IT and Allied Fields")+($AP380="Life Sciences /Medicine and Healthcare")+($AP380="Paramedical")+($AP380="Architecture")+($AP380="Environmental Service")+($AP380="Agriculture, Food Industry and Forestry"))&gt;0,"Science",IF((($AP380="Banking and Finance")+($AP380="Management and Administration")+($AP380="Marketing")+($AP380="Sales")+($AP380="Entrepreneurship")+($AP380="Hospitality and Tourism"))&gt;0,"Commerce",IF((($AP380="Social Sciences and Humanities")+($AP380="Law Studies")+($AP380="Education and Training")+($AP380="Art, Design")+($AP380="Entertainment and Mass Media")+($AP380="Community and Social Service")+($AP380="Personal Care and Services")+($AP380="Government and Public Administration")+($AP380="Defence/ Protective Service")+($AP380="Sports"))&gt;0,"Arts / Humanities",""))))</f>
        <v/>
      </c>
      <c r="BC380" s="5" t="str">
        <f aca="false">IF($AL380="","",IF((($AL380="Engineering and Technology")+($AL380="Science and Mathematics")+($AL380="Computer Science, IT and Allied Fields")+($AL380="Life Sciences /Medicine and Healthcare")+($AL380="Paramedical")+($AL380="Architecture")+($AL380="Environmental Service")+($AL380="Agriculture, Food Industry and Forestry"))&gt;0,"Science",IF((($AL380="Banking and Finance")+($AL380="Management and Administration")+($AL380="Marketing")+($AL380="Sales")+($AL380="Entrepreneurship")+($AL380="Hospitality and Tourism"))&gt;0,"Commerce",IF((($AL380="Social Sciences and Humanities")+($AL380="Law Studies")+($AL380="Education and Training")+($AL380="Art, Design")+($AL380="Entertainment and Mass Media")+($AL380="Community and Social Service")+($AL380="Personal Care and Services")+($AL380="Government and Public Administration")+($AL380="Defence/ Protective Service")+($AL380="Sports"))&gt;0,"Arts / Humanities",""))))</f>
        <v/>
      </c>
      <c r="BD380" s="5" t="str">
        <f aca="false">IF($B380="","",--(F380&gt;=10)+--(G380&gt;=10)+--(H380&gt;=10)+--(I380&gt;=10)+--(J380&gt;=10)+--(K380&gt;=10)+--(L380&gt;=10)+--(M380&gt;=10)+--(N380&gt;=10)+--(O380&gt;=10))</f>
        <v/>
      </c>
      <c r="BE380" s="5" t="str">
        <f aca="false">IF($B380="","",--(AND(F380&lt;&gt;"",F380&lt;=8))+--(AND(G380&lt;&gt;"",G380&lt;=8))+--(AND(H380&lt;&gt;"",H380&lt;=8))+--(AND(I380&lt;&gt;"",I380&lt;=8))+--(AND(J380&lt;&gt;"",J380&lt;=8))+--(AND(K380&lt;&gt;"",K380&lt;=8))+--(AND(L380&lt;&gt;"",L380&lt;=8))+--(AND(M380&lt;&gt;"",M380&lt;=8))+--(AND(N380&lt;&gt;"",N380&lt;=8))+--(AND(O380&lt;&gt;"",O380&lt;=8)))</f>
        <v/>
      </c>
    </row>
    <row r="381" customFormat="false" ht="15" hidden="false" customHeight="false" outlineLevel="0" collapsed="false">
      <c r="AZ381" s="5" t="str">
        <f aca="false">IF($B381="","",SUMPRODUCT(($AL381:$AO381&lt;&gt;"")*(COUNTIF($AP381:$AX381,$AL381:$AO381)&gt;0)))</f>
        <v/>
      </c>
      <c r="BA381" s="5" t="str">
        <f aca="false">IF($B381="","",IF(AZ381&gt;0,1,0))</f>
        <v/>
      </c>
      <c r="BB381" s="5" t="str">
        <f aca="false">IF($AP381="","",IF((($AP381="Engineering and Technology")+($AP381="Science and Mathematics")+($AP381="Computer Science, IT and Allied Fields")+($AP381="Life Sciences /Medicine and Healthcare")+($AP381="Paramedical")+($AP381="Architecture")+($AP381="Environmental Service")+($AP381="Agriculture, Food Industry and Forestry"))&gt;0,"Science",IF((($AP381="Banking and Finance")+($AP381="Management and Administration")+($AP381="Marketing")+($AP381="Sales")+($AP381="Entrepreneurship")+($AP381="Hospitality and Tourism"))&gt;0,"Commerce",IF((($AP381="Social Sciences and Humanities")+($AP381="Law Studies")+($AP381="Education and Training")+($AP381="Art, Design")+($AP381="Entertainment and Mass Media")+($AP381="Community and Social Service")+($AP381="Personal Care and Services")+($AP381="Government and Public Administration")+($AP381="Defence/ Protective Service")+($AP381="Sports"))&gt;0,"Arts / Humanities",""))))</f>
        <v/>
      </c>
      <c r="BC381" s="5" t="str">
        <f aca="false">IF($AL381="","",IF((($AL381="Engineering and Technology")+($AL381="Science and Mathematics")+($AL381="Computer Science, IT and Allied Fields")+($AL381="Life Sciences /Medicine and Healthcare")+($AL381="Paramedical")+($AL381="Architecture")+($AL381="Environmental Service")+($AL381="Agriculture, Food Industry and Forestry"))&gt;0,"Science",IF((($AL381="Banking and Finance")+($AL381="Management and Administration")+($AL381="Marketing")+($AL381="Sales")+($AL381="Entrepreneurship")+($AL381="Hospitality and Tourism"))&gt;0,"Commerce",IF((($AL381="Social Sciences and Humanities")+($AL381="Law Studies")+($AL381="Education and Training")+($AL381="Art, Design")+($AL381="Entertainment and Mass Media")+($AL381="Community and Social Service")+($AL381="Personal Care and Services")+($AL381="Government and Public Administration")+($AL381="Defence/ Protective Service")+($AL381="Sports"))&gt;0,"Arts / Humanities",""))))</f>
        <v/>
      </c>
      <c r="BD381" s="5" t="str">
        <f aca="false">IF($B381="","",--(F381&gt;=10)+--(G381&gt;=10)+--(H381&gt;=10)+--(I381&gt;=10)+--(J381&gt;=10)+--(K381&gt;=10)+--(L381&gt;=10)+--(M381&gt;=10)+--(N381&gt;=10)+--(O381&gt;=10))</f>
        <v/>
      </c>
      <c r="BE381" s="5" t="str">
        <f aca="false">IF($B381="","",--(AND(F381&lt;&gt;"",F381&lt;=8))+--(AND(G381&lt;&gt;"",G381&lt;=8))+--(AND(H381&lt;&gt;"",H381&lt;=8))+--(AND(I381&lt;&gt;"",I381&lt;=8))+--(AND(J381&lt;&gt;"",J381&lt;=8))+--(AND(K381&lt;&gt;"",K381&lt;=8))+--(AND(L381&lt;&gt;"",L381&lt;=8))+--(AND(M381&lt;&gt;"",M381&lt;=8))+--(AND(N381&lt;&gt;"",N381&lt;=8))+--(AND(O381&lt;&gt;"",O381&lt;=8)))</f>
        <v/>
      </c>
    </row>
    <row r="382" customFormat="false" ht="15" hidden="false" customHeight="false" outlineLevel="0" collapsed="false">
      <c r="AZ382" s="5" t="str">
        <f aca="false">IF($B382="","",SUMPRODUCT(($AL382:$AO382&lt;&gt;"")*(COUNTIF($AP382:$AX382,$AL382:$AO382)&gt;0)))</f>
        <v/>
      </c>
      <c r="BA382" s="5" t="str">
        <f aca="false">IF($B382="","",IF(AZ382&gt;0,1,0))</f>
        <v/>
      </c>
      <c r="BB382" s="5" t="str">
        <f aca="false">IF($AP382="","",IF((($AP382="Engineering and Technology")+($AP382="Science and Mathematics")+($AP382="Computer Science, IT and Allied Fields")+($AP382="Life Sciences /Medicine and Healthcare")+($AP382="Paramedical")+($AP382="Architecture")+($AP382="Environmental Service")+($AP382="Agriculture, Food Industry and Forestry"))&gt;0,"Science",IF((($AP382="Banking and Finance")+($AP382="Management and Administration")+($AP382="Marketing")+($AP382="Sales")+($AP382="Entrepreneurship")+($AP382="Hospitality and Tourism"))&gt;0,"Commerce",IF((($AP382="Social Sciences and Humanities")+($AP382="Law Studies")+($AP382="Education and Training")+($AP382="Art, Design")+($AP382="Entertainment and Mass Media")+($AP382="Community and Social Service")+($AP382="Personal Care and Services")+($AP382="Government and Public Administration")+($AP382="Defence/ Protective Service")+($AP382="Sports"))&gt;0,"Arts / Humanities",""))))</f>
        <v/>
      </c>
      <c r="BC382" s="5" t="str">
        <f aca="false">IF($AL382="","",IF((($AL382="Engineering and Technology")+($AL382="Science and Mathematics")+($AL382="Computer Science, IT and Allied Fields")+($AL382="Life Sciences /Medicine and Healthcare")+($AL382="Paramedical")+($AL382="Architecture")+($AL382="Environmental Service")+($AL382="Agriculture, Food Industry and Forestry"))&gt;0,"Science",IF((($AL382="Banking and Finance")+($AL382="Management and Administration")+($AL382="Marketing")+($AL382="Sales")+($AL382="Entrepreneurship")+($AL382="Hospitality and Tourism"))&gt;0,"Commerce",IF((($AL382="Social Sciences and Humanities")+($AL382="Law Studies")+($AL382="Education and Training")+($AL382="Art, Design")+($AL382="Entertainment and Mass Media")+($AL382="Community and Social Service")+($AL382="Personal Care and Services")+($AL382="Government and Public Administration")+($AL382="Defence/ Protective Service")+($AL382="Sports"))&gt;0,"Arts / Humanities",""))))</f>
        <v/>
      </c>
      <c r="BD382" s="5" t="str">
        <f aca="false">IF($B382="","",--(F382&gt;=10)+--(G382&gt;=10)+--(H382&gt;=10)+--(I382&gt;=10)+--(J382&gt;=10)+--(K382&gt;=10)+--(L382&gt;=10)+--(M382&gt;=10)+--(N382&gt;=10)+--(O382&gt;=10))</f>
        <v/>
      </c>
      <c r="BE382" s="5" t="str">
        <f aca="false">IF($B382="","",--(AND(F382&lt;&gt;"",F382&lt;=8))+--(AND(G382&lt;&gt;"",G382&lt;=8))+--(AND(H382&lt;&gt;"",H382&lt;=8))+--(AND(I382&lt;&gt;"",I382&lt;=8))+--(AND(J382&lt;&gt;"",J382&lt;=8))+--(AND(K382&lt;&gt;"",K382&lt;=8))+--(AND(L382&lt;&gt;"",L382&lt;=8))+--(AND(M382&lt;&gt;"",M382&lt;=8))+--(AND(N382&lt;&gt;"",N382&lt;=8))+--(AND(O382&lt;&gt;"",O382&lt;=8)))</f>
        <v/>
      </c>
    </row>
    <row r="383" customFormat="false" ht="15" hidden="false" customHeight="false" outlineLevel="0" collapsed="false">
      <c r="AZ383" s="5" t="str">
        <f aca="false">IF($B383="","",SUMPRODUCT(($AL383:$AO383&lt;&gt;"")*(COUNTIF($AP383:$AX383,$AL383:$AO383)&gt;0)))</f>
        <v/>
      </c>
      <c r="BA383" s="5" t="str">
        <f aca="false">IF($B383="","",IF(AZ383&gt;0,1,0))</f>
        <v/>
      </c>
      <c r="BB383" s="5" t="str">
        <f aca="false">IF($AP383="","",IF((($AP383="Engineering and Technology")+($AP383="Science and Mathematics")+($AP383="Computer Science, IT and Allied Fields")+($AP383="Life Sciences /Medicine and Healthcare")+($AP383="Paramedical")+($AP383="Architecture")+($AP383="Environmental Service")+($AP383="Agriculture, Food Industry and Forestry"))&gt;0,"Science",IF((($AP383="Banking and Finance")+($AP383="Management and Administration")+($AP383="Marketing")+($AP383="Sales")+($AP383="Entrepreneurship")+($AP383="Hospitality and Tourism"))&gt;0,"Commerce",IF((($AP383="Social Sciences and Humanities")+($AP383="Law Studies")+($AP383="Education and Training")+($AP383="Art, Design")+($AP383="Entertainment and Mass Media")+($AP383="Community and Social Service")+($AP383="Personal Care and Services")+($AP383="Government and Public Administration")+($AP383="Defence/ Protective Service")+($AP383="Sports"))&gt;0,"Arts / Humanities",""))))</f>
        <v/>
      </c>
      <c r="BC383" s="5" t="str">
        <f aca="false">IF($AL383="","",IF((($AL383="Engineering and Technology")+($AL383="Science and Mathematics")+($AL383="Computer Science, IT and Allied Fields")+($AL383="Life Sciences /Medicine and Healthcare")+($AL383="Paramedical")+($AL383="Architecture")+($AL383="Environmental Service")+($AL383="Agriculture, Food Industry and Forestry"))&gt;0,"Science",IF((($AL383="Banking and Finance")+($AL383="Management and Administration")+($AL383="Marketing")+($AL383="Sales")+($AL383="Entrepreneurship")+($AL383="Hospitality and Tourism"))&gt;0,"Commerce",IF((($AL383="Social Sciences and Humanities")+($AL383="Law Studies")+($AL383="Education and Training")+($AL383="Art, Design")+($AL383="Entertainment and Mass Media")+($AL383="Community and Social Service")+($AL383="Personal Care and Services")+($AL383="Government and Public Administration")+($AL383="Defence/ Protective Service")+($AL383="Sports"))&gt;0,"Arts / Humanities",""))))</f>
        <v/>
      </c>
      <c r="BD383" s="5" t="str">
        <f aca="false">IF($B383="","",--(F383&gt;=10)+--(G383&gt;=10)+--(H383&gt;=10)+--(I383&gt;=10)+--(J383&gt;=10)+--(K383&gt;=10)+--(L383&gt;=10)+--(M383&gt;=10)+--(N383&gt;=10)+--(O383&gt;=10))</f>
        <v/>
      </c>
      <c r="BE383" s="5" t="str">
        <f aca="false">IF($B383="","",--(AND(F383&lt;&gt;"",F383&lt;=8))+--(AND(G383&lt;&gt;"",G383&lt;=8))+--(AND(H383&lt;&gt;"",H383&lt;=8))+--(AND(I383&lt;&gt;"",I383&lt;=8))+--(AND(J383&lt;&gt;"",J383&lt;=8))+--(AND(K383&lt;&gt;"",K383&lt;=8))+--(AND(L383&lt;&gt;"",L383&lt;=8))+--(AND(M383&lt;&gt;"",M383&lt;=8))+--(AND(N383&lt;&gt;"",N383&lt;=8))+--(AND(O383&lt;&gt;"",O383&lt;=8)))</f>
        <v/>
      </c>
    </row>
    <row r="384" customFormat="false" ht="15" hidden="false" customHeight="false" outlineLevel="0" collapsed="false">
      <c r="AZ384" s="5" t="str">
        <f aca="false">IF($B384="","",SUMPRODUCT(($AL384:$AO384&lt;&gt;"")*(COUNTIF($AP384:$AX384,$AL384:$AO384)&gt;0)))</f>
        <v/>
      </c>
      <c r="BA384" s="5" t="str">
        <f aca="false">IF($B384="","",IF(AZ384&gt;0,1,0))</f>
        <v/>
      </c>
      <c r="BB384" s="5" t="str">
        <f aca="false">IF($AP384="","",IF((($AP384="Engineering and Technology")+($AP384="Science and Mathematics")+($AP384="Computer Science, IT and Allied Fields")+($AP384="Life Sciences /Medicine and Healthcare")+($AP384="Paramedical")+($AP384="Architecture")+($AP384="Environmental Service")+($AP384="Agriculture, Food Industry and Forestry"))&gt;0,"Science",IF((($AP384="Banking and Finance")+($AP384="Management and Administration")+($AP384="Marketing")+($AP384="Sales")+($AP384="Entrepreneurship")+($AP384="Hospitality and Tourism"))&gt;0,"Commerce",IF((($AP384="Social Sciences and Humanities")+($AP384="Law Studies")+($AP384="Education and Training")+($AP384="Art, Design")+($AP384="Entertainment and Mass Media")+($AP384="Community and Social Service")+($AP384="Personal Care and Services")+($AP384="Government and Public Administration")+($AP384="Defence/ Protective Service")+($AP384="Sports"))&gt;0,"Arts / Humanities",""))))</f>
        <v/>
      </c>
      <c r="BC384" s="5" t="str">
        <f aca="false">IF($AL384="","",IF((($AL384="Engineering and Technology")+($AL384="Science and Mathematics")+($AL384="Computer Science, IT and Allied Fields")+($AL384="Life Sciences /Medicine and Healthcare")+($AL384="Paramedical")+($AL384="Architecture")+($AL384="Environmental Service")+($AL384="Agriculture, Food Industry and Forestry"))&gt;0,"Science",IF((($AL384="Banking and Finance")+($AL384="Management and Administration")+($AL384="Marketing")+($AL384="Sales")+($AL384="Entrepreneurship")+($AL384="Hospitality and Tourism"))&gt;0,"Commerce",IF((($AL384="Social Sciences and Humanities")+($AL384="Law Studies")+($AL384="Education and Training")+($AL384="Art, Design")+($AL384="Entertainment and Mass Media")+($AL384="Community and Social Service")+($AL384="Personal Care and Services")+($AL384="Government and Public Administration")+($AL384="Defence/ Protective Service")+($AL384="Sports"))&gt;0,"Arts / Humanities",""))))</f>
        <v/>
      </c>
      <c r="BD384" s="5" t="str">
        <f aca="false">IF($B384="","",--(F384&gt;=10)+--(G384&gt;=10)+--(H384&gt;=10)+--(I384&gt;=10)+--(J384&gt;=10)+--(K384&gt;=10)+--(L384&gt;=10)+--(M384&gt;=10)+--(N384&gt;=10)+--(O384&gt;=10))</f>
        <v/>
      </c>
      <c r="BE384" s="5" t="str">
        <f aca="false">IF($B384="","",--(AND(F384&lt;&gt;"",F384&lt;=8))+--(AND(G384&lt;&gt;"",G384&lt;=8))+--(AND(H384&lt;&gt;"",H384&lt;=8))+--(AND(I384&lt;&gt;"",I384&lt;=8))+--(AND(J384&lt;&gt;"",J384&lt;=8))+--(AND(K384&lt;&gt;"",K384&lt;=8))+--(AND(L384&lt;&gt;"",L384&lt;=8))+--(AND(M384&lt;&gt;"",M384&lt;=8))+--(AND(N384&lt;&gt;"",N384&lt;=8))+--(AND(O384&lt;&gt;"",O384&lt;=8)))</f>
        <v/>
      </c>
    </row>
    <row r="385" customFormat="false" ht="15" hidden="false" customHeight="false" outlineLevel="0" collapsed="false">
      <c r="AZ385" s="5" t="str">
        <f aca="false">IF($B385="","",SUMPRODUCT(($AL385:$AO385&lt;&gt;"")*(COUNTIF($AP385:$AX385,$AL385:$AO385)&gt;0)))</f>
        <v/>
      </c>
      <c r="BA385" s="5" t="str">
        <f aca="false">IF($B385="","",IF(AZ385&gt;0,1,0))</f>
        <v/>
      </c>
      <c r="BB385" s="5" t="str">
        <f aca="false">IF($AP385="","",IF((($AP385="Engineering and Technology")+($AP385="Science and Mathematics")+($AP385="Computer Science, IT and Allied Fields")+($AP385="Life Sciences /Medicine and Healthcare")+($AP385="Paramedical")+($AP385="Architecture")+($AP385="Environmental Service")+($AP385="Agriculture, Food Industry and Forestry"))&gt;0,"Science",IF((($AP385="Banking and Finance")+($AP385="Management and Administration")+($AP385="Marketing")+($AP385="Sales")+($AP385="Entrepreneurship")+($AP385="Hospitality and Tourism"))&gt;0,"Commerce",IF((($AP385="Social Sciences and Humanities")+($AP385="Law Studies")+($AP385="Education and Training")+($AP385="Art, Design")+($AP385="Entertainment and Mass Media")+($AP385="Community and Social Service")+($AP385="Personal Care and Services")+($AP385="Government and Public Administration")+($AP385="Defence/ Protective Service")+($AP385="Sports"))&gt;0,"Arts / Humanities",""))))</f>
        <v/>
      </c>
      <c r="BC385" s="5" t="str">
        <f aca="false">IF($AL385="","",IF((($AL385="Engineering and Technology")+($AL385="Science and Mathematics")+($AL385="Computer Science, IT and Allied Fields")+($AL385="Life Sciences /Medicine and Healthcare")+($AL385="Paramedical")+($AL385="Architecture")+($AL385="Environmental Service")+($AL385="Agriculture, Food Industry and Forestry"))&gt;0,"Science",IF((($AL385="Banking and Finance")+($AL385="Management and Administration")+($AL385="Marketing")+($AL385="Sales")+($AL385="Entrepreneurship")+($AL385="Hospitality and Tourism"))&gt;0,"Commerce",IF((($AL385="Social Sciences and Humanities")+($AL385="Law Studies")+($AL385="Education and Training")+($AL385="Art, Design")+($AL385="Entertainment and Mass Media")+($AL385="Community and Social Service")+($AL385="Personal Care and Services")+($AL385="Government and Public Administration")+($AL385="Defence/ Protective Service")+($AL385="Sports"))&gt;0,"Arts / Humanities",""))))</f>
        <v/>
      </c>
      <c r="BD385" s="5" t="str">
        <f aca="false">IF($B385="","",--(F385&gt;=10)+--(G385&gt;=10)+--(H385&gt;=10)+--(I385&gt;=10)+--(J385&gt;=10)+--(K385&gt;=10)+--(L385&gt;=10)+--(M385&gt;=10)+--(N385&gt;=10)+--(O385&gt;=10))</f>
        <v/>
      </c>
      <c r="BE385" s="5" t="str">
        <f aca="false">IF($B385="","",--(AND(F385&lt;&gt;"",F385&lt;=8))+--(AND(G385&lt;&gt;"",G385&lt;=8))+--(AND(H385&lt;&gt;"",H385&lt;=8))+--(AND(I385&lt;&gt;"",I385&lt;=8))+--(AND(J385&lt;&gt;"",J385&lt;=8))+--(AND(K385&lt;&gt;"",K385&lt;=8))+--(AND(L385&lt;&gt;"",L385&lt;=8))+--(AND(M385&lt;&gt;"",M385&lt;=8))+--(AND(N385&lt;&gt;"",N385&lt;=8))+--(AND(O385&lt;&gt;"",O385&lt;=8)))</f>
        <v/>
      </c>
    </row>
    <row r="386" customFormat="false" ht="15" hidden="false" customHeight="false" outlineLevel="0" collapsed="false">
      <c r="AZ386" s="5" t="str">
        <f aca="false">IF($B386="","",SUMPRODUCT(($AL386:$AO386&lt;&gt;"")*(COUNTIF($AP386:$AX386,$AL386:$AO386)&gt;0)))</f>
        <v/>
      </c>
      <c r="BA386" s="5" t="str">
        <f aca="false">IF($B386="","",IF(AZ386&gt;0,1,0))</f>
        <v/>
      </c>
      <c r="BB386" s="5" t="str">
        <f aca="false">IF($AP386="","",IF((($AP386="Engineering and Technology")+($AP386="Science and Mathematics")+($AP386="Computer Science, IT and Allied Fields")+($AP386="Life Sciences /Medicine and Healthcare")+($AP386="Paramedical")+($AP386="Architecture")+($AP386="Environmental Service")+($AP386="Agriculture, Food Industry and Forestry"))&gt;0,"Science",IF((($AP386="Banking and Finance")+($AP386="Management and Administration")+($AP386="Marketing")+($AP386="Sales")+($AP386="Entrepreneurship")+($AP386="Hospitality and Tourism"))&gt;0,"Commerce",IF((($AP386="Social Sciences and Humanities")+($AP386="Law Studies")+($AP386="Education and Training")+($AP386="Art, Design")+($AP386="Entertainment and Mass Media")+($AP386="Community and Social Service")+($AP386="Personal Care and Services")+($AP386="Government and Public Administration")+($AP386="Defence/ Protective Service")+($AP386="Sports"))&gt;0,"Arts / Humanities",""))))</f>
        <v/>
      </c>
      <c r="BC386" s="5" t="str">
        <f aca="false">IF($AL386="","",IF((($AL386="Engineering and Technology")+($AL386="Science and Mathematics")+($AL386="Computer Science, IT and Allied Fields")+($AL386="Life Sciences /Medicine and Healthcare")+($AL386="Paramedical")+($AL386="Architecture")+($AL386="Environmental Service")+($AL386="Agriculture, Food Industry and Forestry"))&gt;0,"Science",IF((($AL386="Banking and Finance")+($AL386="Management and Administration")+($AL386="Marketing")+($AL386="Sales")+($AL386="Entrepreneurship")+($AL386="Hospitality and Tourism"))&gt;0,"Commerce",IF((($AL386="Social Sciences and Humanities")+($AL386="Law Studies")+($AL386="Education and Training")+($AL386="Art, Design")+($AL386="Entertainment and Mass Media")+($AL386="Community and Social Service")+($AL386="Personal Care and Services")+($AL386="Government and Public Administration")+($AL386="Defence/ Protective Service")+($AL386="Sports"))&gt;0,"Arts / Humanities",""))))</f>
        <v/>
      </c>
      <c r="BD386" s="5" t="str">
        <f aca="false">IF($B386="","",--(F386&gt;=10)+--(G386&gt;=10)+--(H386&gt;=10)+--(I386&gt;=10)+--(J386&gt;=10)+--(K386&gt;=10)+--(L386&gt;=10)+--(M386&gt;=10)+--(N386&gt;=10)+--(O386&gt;=10))</f>
        <v/>
      </c>
      <c r="BE386" s="5" t="str">
        <f aca="false">IF($B386="","",--(AND(F386&lt;&gt;"",F386&lt;=8))+--(AND(G386&lt;&gt;"",G386&lt;=8))+--(AND(H386&lt;&gt;"",H386&lt;=8))+--(AND(I386&lt;&gt;"",I386&lt;=8))+--(AND(J386&lt;&gt;"",J386&lt;=8))+--(AND(K386&lt;&gt;"",K386&lt;=8))+--(AND(L386&lt;&gt;"",L386&lt;=8))+--(AND(M386&lt;&gt;"",M386&lt;=8))+--(AND(N386&lt;&gt;"",N386&lt;=8))+--(AND(O386&lt;&gt;"",O386&lt;=8)))</f>
        <v/>
      </c>
    </row>
    <row r="387" customFormat="false" ht="15" hidden="false" customHeight="false" outlineLevel="0" collapsed="false">
      <c r="AZ387" s="5" t="str">
        <f aca="false">IF($B387="","",SUMPRODUCT(($AL387:$AO387&lt;&gt;"")*(COUNTIF($AP387:$AX387,$AL387:$AO387)&gt;0)))</f>
        <v/>
      </c>
      <c r="BA387" s="5" t="str">
        <f aca="false">IF($B387="","",IF(AZ387&gt;0,1,0))</f>
        <v/>
      </c>
      <c r="BB387" s="5" t="str">
        <f aca="false">IF($AP387="","",IF((($AP387="Engineering and Technology")+($AP387="Science and Mathematics")+($AP387="Computer Science, IT and Allied Fields")+($AP387="Life Sciences /Medicine and Healthcare")+($AP387="Paramedical")+($AP387="Architecture")+($AP387="Environmental Service")+($AP387="Agriculture, Food Industry and Forestry"))&gt;0,"Science",IF((($AP387="Banking and Finance")+($AP387="Management and Administration")+($AP387="Marketing")+($AP387="Sales")+($AP387="Entrepreneurship")+($AP387="Hospitality and Tourism"))&gt;0,"Commerce",IF((($AP387="Social Sciences and Humanities")+($AP387="Law Studies")+($AP387="Education and Training")+($AP387="Art, Design")+($AP387="Entertainment and Mass Media")+($AP387="Community and Social Service")+($AP387="Personal Care and Services")+($AP387="Government and Public Administration")+($AP387="Defence/ Protective Service")+($AP387="Sports"))&gt;0,"Arts / Humanities",""))))</f>
        <v/>
      </c>
      <c r="BC387" s="5" t="str">
        <f aca="false">IF($AL387="","",IF((($AL387="Engineering and Technology")+($AL387="Science and Mathematics")+($AL387="Computer Science, IT and Allied Fields")+($AL387="Life Sciences /Medicine and Healthcare")+($AL387="Paramedical")+($AL387="Architecture")+($AL387="Environmental Service")+($AL387="Agriculture, Food Industry and Forestry"))&gt;0,"Science",IF((($AL387="Banking and Finance")+($AL387="Management and Administration")+($AL387="Marketing")+($AL387="Sales")+($AL387="Entrepreneurship")+($AL387="Hospitality and Tourism"))&gt;0,"Commerce",IF((($AL387="Social Sciences and Humanities")+($AL387="Law Studies")+($AL387="Education and Training")+($AL387="Art, Design")+($AL387="Entertainment and Mass Media")+($AL387="Community and Social Service")+($AL387="Personal Care and Services")+($AL387="Government and Public Administration")+($AL387="Defence/ Protective Service")+($AL387="Sports"))&gt;0,"Arts / Humanities",""))))</f>
        <v/>
      </c>
      <c r="BD387" s="5" t="str">
        <f aca="false">IF($B387="","",--(F387&gt;=10)+--(G387&gt;=10)+--(H387&gt;=10)+--(I387&gt;=10)+--(J387&gt;=10)+--(K387&gt;=10)+--(L387&gt;=10)+--(M387&gt;=10)+--(N387&gt;=10)+--(O387&gt;=10))</f>
        <v/>
      </c>
      <c r="BE387" s="5" t="str">
        <f aca="false">IF($B387="","",--(AND(F387&lt;&gt;"",F387&lt;=8))+--(AND(G387&lt;&gt;"",G387&lt;=8))+--(AND(H387&lt;&gt;"",H387&lt;=8))+--(AND(I387&lt;&gt;"",I387&lt;=8))+--(AND(J387&lt;&gt;"",J387&lt;=8))+--(AND(K387&lt;&gt;"",K387&lt;=8))+--(AND(L387&lt;&gt;"",L387&lt;=8))+--(AND(M387&lt;&gt;"",M387&lt;=8))+--(AND(N387&lt;&gt;"",N387&lt;=8))+--(AND(O387&lt;&gt;"",O387&lt;=8)))</f>
        <v/>
      </c>
    </row>
    <row r="388" customFormat="false" ht="15" hidden="false" customHeight="false" outlineLevel="0" collapsed="false">
      <c r="AZ388" s="5" t="str">
        <f aca="false">IF($B388="","",SUMPRODUCT(($AL388:$AO388&lt;&gt;"")*(COUNTIF($AP388:$AX388,$AL388:$AO388)&gt;0)))</f>
        <v/>
      </c>
      <c r="BA388" s="5" t="str">
        <f aca="false">IF($B388="","",IF(AZ388&gt;0,1,0))</f>
        <v/>
      </c>
      <c r="BB388" s="5" t="str">
        <f aca="false">IF($AP388="","",IF((($AP388="Engineering and Technology")+($AP388="Science and Mathematics")+($AP388="Computer Science, IT and Allied Fields")+($AP388="Life Sciences /Medicine and Healthcare")+($AP388="Paramedical")+($AP388="Architecture")+($AP388="Environmental Service")+($AP388="Agriculture, Food Industry and Forestry"))&gt;0,"Science",IF((($AP388="Banking and Finance")+($AP388="Management and Administration")+($AP388="Marketing")+($AP388="Sales")+($AP388="Entrepreneurship")+($AP388="Hospitality and Tourism"))&gt;0,"Commerce",IF((($AP388="Social Sciences and Humanities")+($AP388="Law Studies")+($AP388="Education and Training")+($AP388="Art, Design")+($AP388="Entertainment and Mass Media")+($AP388="Community and Social Service")+($AP388="Personal Care and Services")+($AP388="Government and Public Administration")+($AP388="Defence/ Protective Service")+($AP388="Sports"))&gt;0,"Arts / Humanities",""))))</f>
        <v/>
      </c>
      <c r="BC388" s="5" t="str">
        <f aca="false">IF($AL388="","",IF((($AL388="Engineering and Technology")+($AL388="Science and Mathematics")+($AL388="Computer Science, IT and Allied Fields")+($AL388="Life Sciences /Medicine and Healthcare")+($AL388="Paramedical")+($AL388="Architecture")+($AL388="Environmental Service")+($AL388="Agriculture, Food Industry and Forestry"))&gt;0,"Science",IF((($AL388="Banking and Finance")+($AL388="Management and Administration")+($AL388="Marketing")+($AL388="Sales")+($AL388="Entrepreneurship")+($AL388="Hospitality and Tourism"))&gt;0,"Commerce",IF((($AL388="Social Sciences and Humanities")+($AL388="Law Studies")+($AL388="Education and Training")+($AL388="Art, Design")+($AL388="Entertainment and Mass Media")+($AL388="Community and Social Service")+($AL388="Personal Care and Services")+($AL388="Government and Public Administration")+($AL388="Defence/ Protective Service")+($AL388="Sports"))&gt;0,"Arts / Humanities",""))))</f>
        <v/>
      </c>
      <c r="BD388" s="5" t="str">
        <f aca="false">IF($B388="","",--(F388&gt;=10)+--(G388&gt;=10)+--(H388&gt;=10)+--(I388&gt;=10)+--(J388&gt;=10)+--(K388&gt;=10)+--(L388&gt;=10)+--(M388&gt;=10)+--(N388&gt;=10)+--(O388&gt;=10))</f>
        <v/>
      </c>
      <c r="BE388" s="5" t="str">
        <f aca="false">IF($B388="","",--(AND(F388&lt;&gt;"",F388&lt;=8))+--(AND(G388&lt;&gt;"",G388&lt;=8))+--(AND(H388&lt;&gt;"",H388&lt;=8))+--(AND(I388&lt;&gt;"",I388&lt;=8))+--(AND(J388&lt;&gt;"",J388&lt;=8))+--(AND(K388&lt;&gt;"",K388&lt;=8))+--(AND(L388&lt;&gt;"",L388&lt;=8))+--(AND(M388&lt;&gt;"",M388&lt;=8))+--(AND(N388&lt;&gt;"",N388&lt;=8))+--(AND(O388&lt;&gt;"",O388&lt;=8)))</f>
        <v/>
      </c>
    </row>
    <row r="389" customFormat="false" ht="15" hidden="false" customHeight="false" outlineLevel="0" collapsed="false">
      <c r="AZ389" s="5" t="str">
        <f aca="false">IF($B389="","",SUMPRODUCT(($AL389:$AO389&lt;&gt;"")*(COUNTIF($AP389:$AX389,$AL389:$AO389)&gt;0)))</f>
        <v/>
      </c>
      <c r="BA389" s="5" t="str">
        <f aca="false">IF($B389="","",IF(AZ389&gt;0,1,0))</f>
        <v/>
      </c>
      <c r="BB389" s="5" t="str">
        <f aca="false">IF($AP389="","",IF((($AP389="Engineering and Technology")+($AP389="Science and Mathematics")+($AP389="Computer Science, IT and Allied Fields")+($AP389="Life Sciences /Medicine and Healthcare")+($AP389="Paramedical")+($AP389="Architecture")+($AP389="Environmental Service")+($AP389="Agriculture, Food Industry and Forestry"))&gt;0,"Science",IF((($AP389="Banking and Finance")+($AP389="Management and Administration")+($AP389="Marketing")+($AP389="Sales")+($AP389="Entrepreneurship")+($AP389="Hospitality and Tourism"))&gt;0,"Commerce",IF((($AP389="Social Sciences and Humanities")+($AP389="Law Studies")+($AP389="Education and Training")+($AP389="Art, Design")+($AP389="Entertainment and Mass Media")+($AP389="Community and Social Service")+($AP389="Personal Care and Services")+($AP389="Government and Public Administration")+($AP389="Defence/ Protective Service")+($AP389="Sports"))&gt;0,"Arts / Humanities",""))))</f>
        <v/>
      </c>
      <c r="BC389" s="5" t="str">
        <f aca="false">IF($AL389="","",IF((($AL389="Engineering and Technology")+($AL389="Science and Mathematics")+($AL389="Computer Science, IT and Allied Fields")+($AL389="Life Sciences /Medicine and Healthcare")+($AL389="Paramedical")+($AL389="Architecture")+($AL389="Environmental Service")+($AL389="Agriculture, Food Industry and Forestry"))&gt;0,"Science",IF((($AL389="Banking and Finance")+($AL389="Management and Administration")+($AL389="Marketing")+($AL389="Sales")+($AL389="Entrepreneurship")+($AL389="Hospitality and Tourism"))&gt;0,"Commerce",IF((($AL389="Social Sciences and Humanities")+($AL389="Law Studies")+($AL389="Education and Training")+($AL389="Art, Design")+($AL389="Entertainment and Mass Media")+($AL389="Community and Social Service")+($AL389="Personal Care and Services")+($AL389="Government and Public Administration")+($AL389="Defence/ Protective Service")+($AL389="Sports"))&gt;0,"Arts / Humanities",""))))</f>
        <v/>
      </c>
      <c r="BD389" s="5" t="str">
        <f aca="false">IF($B389="","",--(F389&gt;=10)+--(G389&gt;=10)+--(H389&gt;=10)+--(I389&gt;=10)+--(J389&gt;=10)+--(K389&gt;=10)+--(L389&gt;=10)+--(M389&gt;=10)+--(N389&gt;=10)+--(O389&gt;=10))</f>
        <v/>
      </c>
      <c r="BE389" s="5" t="str">
        <f aca="false">IF($B389="","",--(AND(F389&lt;&gt;"",F389&lt;=8))+--(AND(G389&lt;&gt;"",G389&lt;=8))+--(AND(H389&lt;&gt;"",H389&lt;=8))+--(AND(I389&lt;&gt;"",I389&lt;=8))+--(AND(J389&lt;&gt;"",J389&lt;=8))+--(AND(K389&lt;&gt;"",K389&lt;=8))+--(AND(L389&lt;&gt;"",L389&lt;=8))+--(AND(M389&lt;&gt;"",M389&lt;=8))+--(AND(N389&lt;&gt;"",N389&lt;=8))+--(AND(O389&lt;&gt;"",O389&lt;=8)))</f>
        <v/>
      </c>
    </row>
    <row r="390" customFormat="false" ht="15" hidden="false" customHeight="false" outlineLevel="0" collapsed="false">
      <c r="AZ390" s="5" t="str">
        <f aca="false">IF($B390="","",SUMPRODUCT(($AL390:$AO390&lt;&gt;"")*(COUNTIF($AP390:$AX390,$AL390:$AO390)&gt;0)))</f>
        <v/>
      </c>
      <c r="BA390" s="5" t="str">
        <f aca="false">IF($B390="","",IF(AZ390&gt;0,1,0))</f>
        <v/>
      </c>
      <c r="BB390" s="5" t="str">
        <f aca="false">IF($AP390="","",IF((($AP390="Engineering and Technology")+($AP390="Science and Mathematics")+($AP390="Computer Science, IT and Allied Fields")+($AP390="Life Sciences /Medicine and Healthcare")+($AP390="Paramedical")+($AP390="Architecture")+($AP390="Environmental Service")+($AP390="Agriculture, Food Industry and Forestry"))&gt;0,"Science",IF((($AP390="Banking and Finance")+($AP390="Management and Administration")+($AP390="Marketing")+($AP390="Sales")+($AP390="Entrepreneurship")+($AP390="Hospitality and Tourism"))&gt;0,"Commerce",IF((($AP390="Social Sciences and Humanities")+($AP390="Law Studies")+($AP390="Education and Training")+($AP390="Art, Design")+($AP390="Entertainment and Mass Media")+($AP390="Community and Social Service")+($AP390="Personal Care and Services")+($AP390="Government and Public Administration")+($AP390="Defence/ Protective Service")+($AP390="Sports"))&gt;0,"Arts / Humanities",""))))</f>
        <v/>
      </c>
      <c r="BC390" s="5" t="str">
        <f aca="false">IF($AL390="","",IF((($AL390="Engineering and Technology")+($AL390="Science and Mathematics")+($AL390="Computer Science, IT and Allied Fields")+($AL390="Life Sciences /Medicine and Healthcare")+($AL390="Paramedical")+($AL390="Architecture")+($AL390="Environmental Service")+($AL390="Agriculture, Food Industry and Forestry"))&gt;0,"Science",IF((($AL390="Banking and Finance")+($AL390="Management and Administration")+($AL390="Marketing")+($AL390="Sales")+($AL390="Entrepreneurship")+($AL390="Hospitality and Tourism"))&gt;0,"Commerce",IF((($AL390="Social Sciences and Humanities")+($AL390="Law Studies")+($AL390="Education and Training")+($AL390="Art, Design")+($AL390="Entertainment and Mass Media")+($AL390="Community and Social Service")+($AL390="Personal Care and Services")+($AL390="Government and Public Administration")+($AL390="Defence/ Protective Service")+($AL390="Sports"))&gt;0,"Arts / Humanities",""))))</f>
        <v/>
      </c>
      <c r="BD390" s="5" t="str">
        <f aca="false">IF($B390="","",--(F390&gt;=10)+--(G390&gt;=10)+--(H390&gt;=10)+--(I390&gt;=10)+--(J390&gt;=10)+--(K390&gt;=10)+--(L390&gt;=10)+--(M390&gt;=10)+--(N390&gt;=10)+--(O390&gt;=10))</f>
        <v/>
      </c>
      <c r="BE390" s="5" t="str">
        <f aca="false">IF($B390="","",--(AND(F390&lt;&gt;"",F390&lt;=8))+--(AND(G390&lt;&gt;"",G390&lt;=8))+--(AND(H390&lt;&gt;"",H390&lt;=8))+--(AND(I390&lt;&gt;"",I390&lt;=8))+--(AND(J390&lt;&gt;"",J390&lt;=8))+--(AND(K390&lt;&gt;"",K390&lt;=8))+--(AND(L390&lt;&gt;"",L390&lt;=8))+--(AND(M390&lt;&gt;"",M390&lt;=8))+--(AND(N390&lt;&gt;"",N390&lt;=8))+--(AND(O390&lt;&gt;"",O390&lt;=8)))</f>
        <v/>
      </c>
    </row>
    <row r="391" customFormat="false" ht="15" hidden="false" customHeight="false" outlineLevel="0" collapsed="false">
      <c r="AZ391" s="5" t="str">
        <f aca="false">IF($B391="","",SUMPRODUCT(($AL391:$AO391&lt;&gt;"")*(COUNTIF($AP391:$AX391,$AL391:$AO391)&gt;0)))</f>
        <v/>
      </c>
      <c r="BA391" s="5" t="str">
        <f aca="false">IF($B391="","",IF(AZ391&gt;0,1,0))</f>
        <v/>
      </c>
      <c r="BB391" s="5" t="str">
        <f aca="false">IF($AP391="","",IF((($AP391="Engineering and Technology")+($AP391="Science and Mathematics")+($AP391="Computer Science, IT and Allied Fields")+($AP391="Life Sciences /Medicine and Healthcare")+($AP391="Paramedical")+($AP391="Architecture")+($AP391="Environmental Service")+($AP391="Agriculture, Food Industry and Forestry"))&gt;0,"Science",IF((($AP391="Banking and Finance")+($AP391="Management and Administration")+($AP391="Marketing")+($AP391="Sales")+($AP391="Entrepreneurship")+($AP391="Hospitality and Tourism"))&gt;0,"Commerce",IF((($AP391="Social Sciences and Humanities")+($AP391="Law Studies")+($AP391="Education and Training")+($AP391="Art, Design")+($AP391="Entertainment and Mass Media")+($AP391="Community and Social Service")+($AP391="Personal Care and Services")+($AP391="Government and Public Administration")+($AP391="Defence/ Protective Service")+($AP391="Sports"))&gt;0,"Arts / Humanities",""))))</f>
        <v/>
      </c>
      <c r="BC391" s="5" t="str">
        <f aca="false">IF($AL391="","",IF((($AL391="Engineering and Technology")+($AL391="Science and Mathematics")+($AL391="Computer Science, IT and Allied Fields")+($AL391="Life Sciences /Medicine and Healthcare")+($AL391="Paramedical")+($AL391="Architecture")+($AL391="Environmental Service")+($AL391="Agriculture, Food Industry and Forestry"))&gt;0,"Science",IF((($AL391="Banking and Finance")+($AL391="Management and Administration")+($AL391="Marketing")+($AL391="Sales")+($AL391="Entrepreneurship")+($AL391="Hospitality and Tourism"))&gt;0,"Commerce",IF((($AL391="Social Sciences and Humanities")+($AL391="Law Studies")+($AL391="Education and Training")+($AL391="Art, Design")+($AL391="Entertainment and Mass Media")+($AL391="Community and Social Service")+($AL391="Personal Care and Services")+($AL391="Government and Public Administration")+($AL391="Defence/ Protective Service")+($AL391="Sports"))&gt;0,"Arts / Humanities",""))))</f>
        <v/>
      </c>
      <c r="BD391" s="5" t="str">
        <f aca="false">IF($B391="","",--(F391&gt;=10)+--(G391&gt;=10)+--(H391&gt;=10)+--(I391&gt;=10)+--(J391&gt;=10)+--(K391&gt;=10)+--(L391&gt;=10)+--(M391&gt;=10)+--(N391&gt;=10)+--(O391&gt;=10))</f>
        <v/>
      </c>
      <c r="BE391" s="5" t="str">
        <f aca="false">IF($B391="","",--(AND(F391&lt;&gt;"",F391&lt;=8))+--(AND(G391&lt;&gt;"",G391&lt;=8))+--(AND(H391&lt;&gt;"",H391&lt;=8))+--(AND(I391&lt;&gt;"",I391&lt;=8))+--(AND(J391&lt;&gt;"",J391&lt;=8))+--(AND(K391&lt;&gt;"",K391&lt;=8))+--(AND(L391&lt;&gt;"",L391&lt;=8))+--(AND(M391&lt;&gt;"",M391&lt;=8))+--(AND(N391&lt;&gt;"",N391&lt;=8))+--(AND(O391&lt;&gt;"",O391&lt;=8)))</f>
        <v/>
      </c>
    </row>
    <row r="392" customFormat="false" ht="15" hidden="false" customHeight="false" outlineLevel="0" collapsed="false">
      <c r="AZ392" s="5" t="str">
        <f aca="false">IF($B392="","",SUMPRODUCT(($AL392:$AO392&lt;&gt;"")*(COUNTIF($AP392:$AX392,$AL392:$AO392)&gt;0)))</f>
        <v/>
      </c>
      <c r="BA392" s="5" t="str">
        <f aca="false">IF($B392="","",IF(AZ392&gt;0,1,0))</f>
        <v/>
      </c>
      <c r="BB392" s="5" t="str">
        <f aca="false">IF($AP392="","",IF((($AP392="Engineering and Technology")+($AP392="Science and Mathematics")+($AP392="Computer Science, IT and Allied Fields")+($AP392="Life Sciences /Medicine and Healthcare")+($AP392="Paramedical")+($AP392="Architecture")+($AP392="Environmental Service")+($AP392="Agriculture, Food Industry and Forestry"))&gt;0,"Science",IF((($AP392="Banking and Finance")+($AP392="Management and Administration")+($AP392="Marketing")+($AP392="Sales")+($AP392="Entrepreneurship")+($AP392="Hospitality and Tourism"))&gt;0,"Commerce",IF((($AP392="Social Sciences and Humanities")+($AP392="Law Studies")+($AP392="Education and Training")+($AP392="Art, Design")+($AP392="Entertainment and Mass Media")+($AP392="Community and Social Service")+($AP392="Personal Care and Services")+($AP392="Government and Public Administration")+($AP392="Defence/ Protective Service")+($AP392="Sports"))&gt;0,"Arts / Humanities",""))))</f>
        <v/>
      </c>
      <c r="BC392" s="5" t="str">
        <f aca="false">IF($AL392="","",IF((($AL392="Engineering and Technology")+($AL392="Science and Mathematics")+($AL392="Computer Science, IT and Allied Fields")+($AL392="Life Sciences /Medicine and Healthcare")+($AL392="Paramedical")+($AL392="Architecture")+($AL392="Environmental Service")+($AL392="Agriculture, Food Industry and Forestry"))&gt;0,"Science",IF((($AL392="Banking and Finance")+($AL392="Management and Administration")+($AL392="Marketing")+($AL392="Sales")+($AL392="Entrepreneurship")+($AL392="Hospitality and Tourism"))&gt;0,"Commerce",IF((($AL392="Social Sciences and Humanities")+($AL392="Law Studies")+($AL392="Education and Training")+($AL392="Art, Design")+($AL392="Entertainment and Mass Media")+($AL392="Community and Social Service")+($AL392="Personal Care and Services")+($AL392="Government and Public Administration")+($AL392="Defence/ Protective Service")+($AL392="Sports"))&gt;0,"Arts / Humanities",""))))</f>
        <v/>
      </c>
      <c r="BD392" s="5" t="str">
        <f aca="false">IF($B392="","",--(F392&gt;=10)+--(G392&gt;=10)+--(H392&gt;=10)+--(I392&gt;=10)+--(J392&gt;=10)+--(K392&gt;=10)+--(L392&gt;=10)+--(M392&gt;=10)+--(N392&gt;=10)+--(O392&gt;=10))</f>
        <v/>
      </c>
      <c r="BE392" s="5" t="str">
        <f aca="false">IF($B392="","",--(AND(F392&lt;&gt;"",F392&lt;=8))+--(AND(G392&lt;&gt;"",G392&lt;=8))+--(AND(H392&lt;&gt;"",H392&lt;=8))+--(AND(I392&lt;&gt;"",I392&lt;=8))+--(AND(J392&lt;&gt;"",J392&lt;=8))+--(AND(K392&lt;&gt;"",K392&lt;=8))+--(AND(L392&lt;&gt;"",L392&lt;=8))+--(AND(M392&lt;&gt;"",M392&lt;=8))+--(AND(N392&lt;&gt;"",N392&lt;=8))+--(AND(O392&lt;&gt;"",O392&lt;=8)))</f>
        <v/>
      </c>
    </row>
    <row r="393" customFormat="false" ht="15" hidden="false" customHeight="false" outlineLevel="0" collapsed="false">
      <c r="AZ393" s="5" t="str">
        <f aca="false">IF($B393="","",SUMPRODUCT(($AL393:$AO393&lt;&gt;"")*(COUNTIF($AP393:$AX393,$AL393:$AO393)&gt;0)))</f>
        <v/>
      </c>
      <c r="BA393" s="5" t="str">
        <f aca="false">IF($B393="","",IF(AZ393&gt;0,1,0))</f>
        <v/>
      </c>
      <c r="BB393" s="5" t="str">
        <f aca="false">IF($AP393="","",IF((($AP393="Engineering and Technology")+($AP393="Science and Mathematics")+($AP393="Computer Science, IT and Allied Fields")+($AP393="Life Sciences /Medicine and Healthcare")+($AP393="Paramedical")+($AP393="Architecture")+($AP393="Environmental Service")+($AP393="Agriculture, Food Industry and Forestry"))&gt;0,"Science",IF((($AP393="Banking and Finance")+($AP393="Management and Administration")+($AP393="Marketing")+($AP393="Sales")+($AP393="Entrepreneurship")+($AP393="Hospitality and Tourism"))&gt;0,"Commerce",IF((($AP393="Social Sciences and Humanities")+($AP393="Law Studies")+($AP393="Education and Training")+($AP393="Art, Design")+($AP393="Entertainment and Mass Media")+($AP393="Community and Social Service")+($AP393="Personal Care and Services")+($AP393="Government and Public Administration")+($AP393="Defence/ Protective Service")+($AP393="Sports"))&gt;0,"Arts / Humanities",""))))</f>
        <v/>
      </c>
      <c r="BC393" s="5" t="str">
        <f aca="false">IF($AL393="","",IF((($AL393="Engineering and Technology")+($AL393="Science and Mathematics")+($AL393="Computer Science, IT and Allied Fields")+($AL393="Life Sciences /Medicine and Healthcare")+($AL393="Paramedical")+($AL393="Architecture")+($AL393="Environmental Service")+($AL393="Agriculture, Food Industry and Forestry"))&gt;0,"Science",IF((($AL393="Banking and Finance")+($AL393="Management and Administration")+($AL393="Marketing")+($AL393="Sales")+($AL393="Entrepreneurship")+($AL393="Hospitality and Tourism"))&gt;0,"Commerce",IF((($AL393="Social Sciences and Humanities")+($AL393="Law Studies")+($AL393="Education and Training")+($AL393="Art, Design")+($AL393="Entertainment and Mass Media")+($AL393="Community and Social Service")+($AL393="Personal Care and Services")+($AL393="Government and Public Administration")+($AL393="Defence/ Protective Service")+($AL393="Sports"))&gt;0,"Arts / Humanities",""))))</f>
        <v/>
      </c>
      <c r="BD393" s="5" t="str">
        <f aca="false">IF($B393="","",--(F393&gt;=10)+--(G393&gt;=10)+--(H393&gt;=10)+--(I393&gt;=10)+--(J393&gt;=10)+--(K393&gt;=10)+--(L393&gt;=10)+--(M393&gt;=10)+--(N393&gt;=10)+--(O393&gt;=10))</f>
        <v/>
      </c>
      <c r="BE393" s="5" t="str">
        <f aca="false">IF($B393="","",--(AND(F393&lt;&gt;"",F393&lt;=8))+--(AND(G393&lt;&gt;"",G393&lt;=8))+--(AND(H393&lt;&gt;"",H393&lt;=8))+--(AND(I393&lt;&gt;"",I393&lt;=8))+--(AND(J393&lt;&gt;"",J393&lt;=8))+--(AND(K393&lt;&gt;"",K393&lt;=8))+--(AND(L393&lt;&gt;"",L393&lt;=8))+--(AND(M393&lt;&gt;"",M393&lt;=8))+--(AND(N393&lt;&gt;"",N393&lt;=8))+--(AND(O393&lt;&gt;"",O393&lt;=8)))</f>
        <v/>
      </c>
    </row>
    <row r="394" customFormat="false" ht="15" hidden="false" customHeight="false" outlineLevel="0" collapsed="false">
      <c r="AZ394" s="5" t="str">
        <f aca="false">IF($B394="","",SUMPRODUCT(($AL394:$AO394&lt;&gt;"")*(COUNTIF($AP394:$AX394,$AL394:$AO394)&gt;0)))</f>
        <v/>
      </c>
      <c r="BA394" s="5" t="str">
        <f aca="false">IF($B394="","",IF(AZ394&gt;0,1,0))</f>
        <v/>
      </c>
      <c r="BB394" s="5" t="str">
        <f aca="false">IF($AP394="","",IF((($AP394="Engineering and Technology")+($AP394="Science and Mathematics")+($AP394="Computer Science, IT and Allied Fields")+($AP394="Life Sciences /Medicine and Healthcare")+($AP394="Paramedical")+($AP394="Architecture")+($AP394="Environmental Service")+($AP394="Agriculture, Food Industry and Forestry"))&gt;0,"Science",IF((($AP394="Banking and Finance")+($AP394="Management and Administration")+($AP394="Marketing")+($AP394="Sales")+($AP394="Entrepreneurship")+($AP394="Hospitality and Tourism"))&gt;0,"Commerce",IF((($AP394="Social Sciences and Humanities")+($AP394="Law Studies")+($AP394="Education and Training")+($AP394="Art, Design")+($AP394="Entertainment and Mass Media")+($AP394="Community and Social Service")+($AP394="Personal Care and Services")+($AP394="Government and Public Administration")+($AP394="Defence/ Protective Service")+($AP394="Sports"))&gt;0,"Arts / Humanities",""))))</f>
        <v/>
      </c>
      <c r="BC394" s="5" t="str">
        <f aca="false">IF($AL394="","",IF((($AL394="Engineering and Technology")+($AL394="Science and Mathematics")+($AL394="Computer Science, IT and Allied Fields")+($AL394="Life Sciences /Medicine and Healthcare")+($AL394="Paramedical")+($AL394="Architecture")+($AL394="Environmental Service")+($AL394="Agriculture, Food Industry and Forestry"))&gt;0,"Science",IF((($AL394="Banking and Finance")+($AL394="Management and Administration")+($AL394="Marketing")+($AL394="Sales")+($AL394="Entrepreneurship")+($AL394="Hospitality and Tourism"))&gt;0,"Commerce",IF((($AL394="Social Sciences and Humanities")+($AL394="Law Studies")+($AL394="Education and Training")+($AL394="Art, Design")+($AL394="Entertainment and Mass Media")+($AL394="Community and Social Service")+($AL394="Personal Care and Services")+($AL394="Government and Public Administration")+($AL394="Defence/ Protective Service")+($AL394="Sports"))&gt;0,"Arts / Humanities",""))))</f>
        <v/>
      </c>
      <c r="BD394" s="5" t="str">
        <f aca="false">IF($B394="","",--(F394&gt;=10)+--(G394&gt;=10)+--(H394&gt;=10)+--(I394&gt;=10)+--(J394&gt;=10)+--(K394&gt;=10)+--(L394&gt;=10)+--(M394&gt;=10)+--(N394&gt;=10)+--(O394&gt;=10))</f>
        <v/>
      </c>
      <c r="BE394" s="5" t="str">
        <f aca="false">IF($B394="","",--(AND(F394&lt;&gt;"",F394&lt;=8))+--(AND(G394&lt;&gt;"",G394&lt;=8))+--(AND(H394&lt;&gt;"",H394&lt;=8))+--(AND(I394&lt;&gt;"",I394&lt;=8))+--(AND(J394&lt;&gt;"",J394&lt;=8))+--(AND(K394&lt;&gt;"",K394&lt;=8))+--(AND(L394&lt;&gt;"",L394&lt;=8))+--(AND(M394&lt;&gt;"",M394&lt;=8))+--(AND(N394&lt;&gt;"",N394&lt;=8))+--(AND(O394&lt;&gt;"",O394&lt;=8)))</f>
        <v/>
      </c>
    </row>
    <row r="395" customFormat="false" ht="15" hidden="false" customHeight="false" outlineLevel="0" collapsed="false">
      <c r="AZ395" s="5" t="str">
        <f aca="false">IF($B395="","",SUMPRODUCT(($AL395:$AO395&lt;&gt;"")*(COUNTIF($AP395:$AX395,$AL395:$AO395)&gt;0)))</f>
        <v/>
      </c>
      <c r="BA395" s="5" t="str">
        <f aca="false">IF($B395="","",IF(AZ395&gt;0,1,0))</f>
        <v/>
      </c>
      <c r="BB395" s="5" t="str">
        <f aca="false">IF($AP395="","",IF((($AP395="Engineering and Technology")+($AP395="Science and Mathematics")+($AP395="Computer Science, IT and Allied Fields")+($AP395="Life Sciences /Medicine and Healthcare")+($AP395="Paramedical")+($AP395="Architecture")+($AP395="Environmental Service")+($AP395="Agriculture, Food Industry and Forestry"))&gt;0,"Science",IF((($AP395="Banking and Finance")+($AP395="Management and Administration")+($AP395="Marketing")+($AP395="Sales")+($AP395="Entrepreneurship")+($AP395="Hospitality and Tourism"))&gt;0,"Commerce",IF((($AP395="Social Sciences and Humanities")+($AP395="Law Studies")+($AP395="Education and Training")+($AP395="Art, Design")+($AP395="Entertainment and Mass Media")+($AP395="Community and Social Service")+($AP395="Personal Care and Services")+($AP395="Government and Public Administration")+($AP395="Defence/ Protective Service")+($AP395="Sports"))&gt;0,"Arts / Humanities",""))))</f>
        <v/>
      </c>
      <c r="BC395" s="5" t="str">
        <f aca="false">IF($AL395="","",IF((($AL395="Engineering and Technology")+($AL395="Science and Mathematics")+($AL395="Computer Science, IT and Allied Fields")+($AL395="Life Sciences /Medicine and Healthcare")+($AL395="Paramedical")+($AL395="Architecture")+($AL395="Environmental Service")+($AL395="Agriculture, Food Industry and Forestry"))&gt;0,"Science",IF((($AL395="Banking and Finance")+($AL395="Management and Administration")+($AL395="Marketing")+($AL395="Sales")+($AL395="Entrepreneurship")+($AL395="Hospitality and Tourism"))&gt;0,"Commerce",IF((($AL395="Social Sciences and Humanities")+($AL395="Law Studies")+($AL395="Education and Training")+($AL395="Art, Design")+($AL395="Entertainment and Mass Media")+($AL395="Community and Social Service")+($AL395="Personal Care and Services")+($AL395="Government and Public Administration")+($AL395="Defence/ Protective Service")+($AL395="Sports"))&gt;0,"Arts / Humanities",""))))</f>
        <v/>
      </c>
      <c r="BD395" s="5" t="str">
        <f aca="false">IF($B395="","",--(F395&gt;=10)+--(G395&gt;=10)+--(H395&gt;=10)+--(I395&gt;=10)+--(J395&gt;=10)+--(K395&gt;=10)+--(L395&gt;=10)+--(M395&gt;=10)+--(N395&gt;=10)+--(O395&gt;=10))</f>
        <v/>
      </c>
      <c r="BE395" s="5" t="str">
        <f aca="false">IF($B395="","",--(AND(F395&lt;&gt;"",F395&lt;=8))+--(AND(G395&lt;&gt;"",G395&lt;=8))+--(AND(H395&lt;&gt;"",H395&lt;=8))+--(AND(I395&lt;&gt;"",I395&lt;=8))+--(AND(J395&lt;&gt;"",J395&lt;=8))+--(AND(K395&lt;&gt;"",K395&lt;=8))+--(AND(L395&lt;&gt;"",L395&lt;=8))+--(AND(M395&lt;&gt;"",M395&lt;=8))+--(AND(N395&lt;&gt;"",N395&lt;=8))+--(AND(O395&lt;&gt;"",O395&lt;=8)))</f>
        <v/>
      </c>
    </row>
    <row r="396" customFormat="false" ht="15" hidden="false" customHeight="false" outlineLevel="0" collapsed="false">
      <c r="AZ396" s="5" t="str">
        <f aca="false">IF($B396="","",SUMPRODUCT(($AL396:$AO396&lt;&gt;"")*(COUNTIF($AP396:$AX396,$AL396:$AO396)&gt;0)))</f>
        <v/>
      </c>
      <c r="BA396" s="5" t="str">
        <f aca="false">IF($B396="","",IF(AZ396&gt;0,1,0))</f>
        <v/>
      </c>
      <c r="BB396" s="5" t="str">
        <f aca="false">IF($AP396="","",IF((($AP396="Engineering and Technology")+($AP396="Science and Mathematics")+($AP396="Computer Science, IT and Allied Fields")+($AP396="Life Sciences /Medicine and Healthcare")+($AP396="Paramedical")+($AP396="Architecture")+($AP396="Environmental Service")+($AP396="Agriculture, Food Industry and Forestry"))&gt;0,"Science",IF((($AP396="Banking and Finance")+($AP396="Management and Administration")+($AP396="Marketing")+($AP396="Sales")+($AP396="Entrepreneurship")+($AP396="Hospitality and Tourism"))&gt;0,"Commerce",IF((($AP396="Social Sciences and Humanities")+($AP396="Law Studies")+($AP396="Education and Training")+($AP396="Art, Design")+($AP396="Entertainment and Mass Media")+($AP396="Community and Social Service")+($AP396="Personal Care and Services")+($AP396="Government and Public Administration")+($AP396="Defence/ Protective Service")+($AP396="Sports"))&gt;0,"Arts / Humanities",""))))</f>
        <v/>
      </c>
      <c r="BC396" s="5" t="str">
        <f aca="false">IF($AL396="","",IF((($AL396="Engineering and Technology")+($AL396="Science and Mathematics")+($AL396="Computer Science, IT and Allied Fields")+($AL396="Life Sciences /Medicine and Healthcare")+($AL396="Paramedical")+($AL396="Architecture")+($AL396="Environmental Service")+($AL396="Agriculture, Food Industry and Forestry"))&gt;0,"Science",IF((($AL396="Banking and Finance")+($AL396="Management and Administration")+($AL396="Marketing")+($AL396="Sales")+($AL396="Entrepreneurship")+($AL396="Hospitality and Tourism"))&gt;0,"Commerce",IF((($AL396="Social Sciences and Humanities")+($AL396="Law Studies")+($AL396="Education and Training")+($AL396="Art, Design")+($AL396="Entertainment and Mass Media")+($AL396="Community and Social Service")+($AL396="Personal Care and Services")+($AL396="Government and Public Administration")+($AL396="Defence/ Protective Service")+($AL396="Sports"))&gt;0,"Arts / Humanities",""))))</f>
        <v/>
      </c>
      <c r="BD396" s="5" t="str">
        <f aca="false">IF($B396="","",--(F396&gt;=10)+--(G396&gt;=10)+--(H396&gt;=10)+--(I396&gt;=10)+--(J396&gt;=10)+--(K396&gt;=10)+--(L396&gt;=10)+--(M396&gt;=10)+--(N396&gt;=10)+--(O396&gt;=10))</f>
        <v/>
      </c>
      <c r="BE396" s="5" t="str">
        <f aca="false">IF($B396="","",--(AND(F396&lt;&gt;"",F396&lt;=8))+--(AND(G396&lt;&gt;"",G396&lt;=8))+--(AND(H396&lt;&gt;"",H396&lt;=8))+--(AND(I396&lt;&gt;"",I396&lt;=8))+--(AND(J396&lt;&gt;"",J396&lt;=8))+--(AND(K396&lt;&gt;"",K396&lt;=8))+--(AND(L396&lt;&gt;"",L396&lt;=8))+--(AND(M396&lt;&gt;"",M396&lt;=8))+--(AND(N396&lt;&gt;"",N396&lt;=8))+--(AND(O396&lt;&gt;"",O396&lt;=8)))</f>
        <v/>
      </c>
    </row>
    <row r="397" customFormat="false" ht="15" hidden="false" customHeight="false" outlineLevel="0" collapsed="false">
      <c r="AZ397" s="5" t="str">
        <f aca="false">IF($B397="","",SUMPRODUCT(($AL397:$AO397&lt;&gt;"")*(COUNTIF($AP397:$AX397,$AL397:$AO397)&gt;0)))</f>
        <v/>
      </c>
      <c r="BA397" s="5" t="str">
        <f aca="false">IF($B397="","",IF(AZ397&gt;0,1,0))</f>
        <v/>
      </c>
      <c r="BB397" s="5" t="str">
        <f aca="false">IF($AP397="","",IF((($AP397="Engineering and Technology")+($AP397="Science and Mathematics")+($AP397="Computer Science, IT and Allied Fields")+($AP397="Life Sciences /Medicine and Healthcare")+($AP397="Paramedical")+($AP397="Architecture")+($AP397="Environmental Service")+($AP397="Agriculture, Food Industry and Forestry"))&gt;0,"Science",IF((($AP397="Banking and Finance")+($AP397="Management and Administration")+($AP397="Marketing")+($AP397="Sales")+($AP397="Entrepreneurship")+($AP397="Hospitality and Tourism"))&gt;0,"Commerce",IF((($AP397="Social Sciences and Humanities")+($AP397="Law Studies")+($AP397="Education and Training")+($AP397="Art, Design")+($AP397="Entertainment and Mass Media")+($AP397="Community and Social Service")+($AP397="Personal Care and Services")+($AP397="Government and Public Administration")+($AP397="Defence/ Protective Service")+($AP397="Sports"))&gt;0,"Arts / Humanities",""))))</f>
        <v/>
      </c>
      <c r="BC397" s="5" t="str">
        <f aca="false">IF($AL397="","",IF((($AL397="Engineering and Technology")+($AL397="Science and Mathematics")+($AL397="Computer Science, IT and Allied Fields")+($AL397="Life Sciences /Medicine and Healthcare")+($AL397="Paramedical")+($AL397="Architecture")+($AL397="Environmental Service")+($AL397="Agriculture, Food Industry and Forestry"))&gt;0,"Science",IF((($AL397="Banking and Finance")+($AL397="Management and Administration")+($AL397="Marketing")+($AL397="Sales")+($AL397="Entrepreneurship")+($AL397="Hospitality and Tourism"))&gt;0,"Commerce",IF((($AL397="Social Sciences and Humanities")+($AL397="Law Studies")+($AL397="Education and Training")+($AL397="Art, Design")+($AL397="Entertainment and Mass Media")+($AL397="Community and Social Service")+($AL397="Personal Care and Services")+($AL397="Government and Public Administration")+($AL397="Defence/ Protective Service")+($AL397="Sports"))&gt;0,"Arts / Humanities",""))))</f>
        <v/>
      </c>
      <c r="BD397" s="5" t="str">
        <f aca="false">IF($B397="","",--(F397&gt;=10)+--(G397&gt;=10)+--(H397&gt;=10)+--(I397&gt;=10)+--(J397&gt;=10)+--(K397&gt;=10)+--(L397&gt;=10)+--(M397&gt;=10)+--(N397&gt;=10)+--(O397&gt;=10))</f>
        <v/>
      </c>
      <c r="BE397" s="5" t="str">
        <f aca="false">IF($B397="","",--(AND(F397&lt;&gt;"",F397&lt;=8))+--(AND(G397&lt;&gt;"",G397&lt;=8))+--(AND(H397&lt;&gt;"",H397&lt;=8))+--(AND(I397&lt;&gt;"",I397&lt;=8))+--(AND(J397&lt;&gt;"",J397&lt;=8))+--(AND(K397&lt;&gt;"",K397&lt;=8))+--(AND(L397&lt;&gt;"",L397&lt;=8))+--(AND(M397&lt;&gt;"",M397&lt;=8))+--(AND(N397&lt;&gt;"",N397&lt;=8))+--(AND(O397&lt;&gt;"",O397&lt;=8)))</f>
        <v/>
      </c>
    </row>
    <row r="398" customFormat="false" ht="15" hidden="false" customHeight="false" outlineLevel="0" collapsed="false">
      <c r="AZ398" s="5" t="str">
        <f aca="false">IF($B398="","",SUMPRODUCT(($AL398:$AO398&lt;&gt;"")*(COUNTIF($AP398:$AX398,$AL398:$AO398)&gt;0)))</f>
        <v/>
      </c>
      <c r="BA398" s="5" t="str">
        <f aca="false">IF($B398="","",IF(AZ398&gt;0,1,0))</f>
        <v/>
      </c>
      <c r="BB398" s="5" t="str">
        <f aca="false">IF($AP398="","",IF((($AP398="Engineering and Technology")+($AP398="Science and Mathematics")+($AP398="Computer Science, IT and Allied Fields")+($AP398="Life Sciences /Medicine and Healthcare")+($AP398="Paramedical")+($AP398="Architecture")+($AP398="Environmental Service")+($AP398="Agriculture, Food Industry and Forestry"))&gt;0,"Science",IF((($AP398="Banking and Finance")+($AP398="Management and Administration")+($AP398="Marketing")+($AP398="Sales")+($AP398="Entrepreneurship")+($AP398="Hospitality and Tourism"))&gt;0,"Commerce",IF((($AP398="Social Sciences and Humanities")+($AP398="Law Studies")+($AP398="Education and Training")+($AP398="Art, Design")+($AP398="Entertainment and Mass Media")+($AP398="Community and Social Service")+($AP398="Personal Care and Services")+($AP398="Government and Public Administration")+($AP398="Defence/ Protective Service")+($AP398="Sports"))&gt;0,"Arts / Humanities",""))))</f>
        <v/>
      </c>
      <c r="BC398" s="5" t="str">
        <f aca="false">IF($AL398="","",IF((($AL398="Engineering and Technology")+($AL398="Science and Mathematics")+($AL398="Computer Science, IT and Allied Fields")+($AL398="Life Sciences /Medicine and Healthcare")+($AL398="Paramedical")+($AL398="Architecture")+($AL398="Environmental Service")+($AL398="Agriculture, Food Industry and Forestry"))&gt;0,"Science",IF((($AL398="Banking and Finance")+($AL398="Management and Administration")+($AL398="Marketing")+($AL398="Sales")+($AL398="Entrepreneurship")+($AL398="Hospitality and Tourism"))&gt;0,"Commerce",IF((($AL398="Social Sciences and Humanities")+($AL398="Law Studies")+($AL398="Education and Training")+($AL398="Art, Design")+($AL398="Entertainment and Mass Media")+($AL398="Community and Social Service")+($AL398="Personal Care and Services")+($AL398="Government and Public Administration")+($AL398="Defence/ Protective Service")+($AL398="Sports"))&gt;0,"Arts / Humanities",""))))</f>
        <v/>
      </c>
      <c r="BD398" s="5" t="str">
        <f aca="false">IF($B398="","",--(F398&gt;=10)+--(G398&gt;=10)+--(H398&gt;=10)+--(I398&gt;=10)+--(J398&gt;=10)+--(K398&gt;=10)+--(L398&gt;=10)+--(M398&gt;=10)+--(N398&gt;=10)+--(O398&gt;=10))</f>
        <v/>
      </c>
      <c r="BE398" s="5" t="str">
        <f aca="false">IF($B398="","",--(AND(F398&lt;&gt;"",F398&lt;=8))+--(AND(G398&lt;&gt;"",G398&lt;=8))+--(AND(H398&lt;&gt;"",H398&lt;=8))+--(AND(I398&lt;&gt;"",I398&lt;=8))+--(AND(J398&lt;&gt;"",J398&lt;=8))+--(AND(K398&lt;&gt;"",K398&lt;=8))+--(AND(L398&lt;&gt;"",L398&lt;=8))+--(AND(M398&lt;&gt;"",M398&lt;=8))+--(AND(N398&lt;&gt;"",N398&lt;=8))+--(AND(O398&lt;&gt;"",O398&lt;=8)))</f>
        <v/>
      </c>
    </row>
    <row r="399" customFormat="false" ht="15" hidden="false" customHeight="false" outlineLevel="0" collapsed="false">
      <c r="AZ399" s="5" t="str">
        <f aca="false">IF($B399="","",SUMPRODUCT(($AL399:$AO399&lt;&gt;"")*(COUNTIF($AP399:$AX399,$AL399:$AO399)&gt;0)))</f>
        <v/>
      </c>
      <c r="BA399" s="5" t="str">
        <f aca="false">IF($B399="","",IF(AZ399&gt;0,1,0))</f>
        <v/>
      </c>
      <c r="BB399" s="5" t="str">
        <f aca="false">IF($AP399="","",IF((($AP399="Engineering and Technology")+($AP399="Science and Mathematics")+($AP399="Computer Science, IT and Allied Fields")+($AP399="Life Sciences /Medicine and Healthcare")+($AP399="Paramedical")+($AP399="Architecture")+($AP399="Environmental Service")+($AP399="Agriculture, Food Industry and Forestry"))&gt;0,"Science",IF((($AP399="Banking and Finance")+($AP399="Management and Administration")+($AP399="Marketing")+($AP399="Sales")+($AP399="Entrepreneurship")+($AP399="Hospitality and Tourism"))&gt;0,"Commerce",IF((($AP399="Social Sciences and Humanities")+($AP399="Law Studies")+($AP399="Education and Training")+($AP399="Art, Design")+($AP399="Entertainment and Mass Media")+($AP399="Community and Social Service")+($AP399="Personal Care and Services")+($AP399="Government and Public Administration")+($AP399="Defence/ Protective Service")+($AP399="Sports"))&gt;0,"Arts / Humanities",""))))</f>
        <v/>
      </c>
      <c r="BC399" s="5" t="str">
        <f aca="false">IF($AL399="","",IF((($AL399="Engineering and Technology")+($AL399="Science and Mathematics")+($AL399="Computer Science, IT and Allied Fields")+($AL399="Life Sciences /Medicine and Healthcare")+($AL399="Paramedical")+($AL399="Architecture")+($AL399="Environmental Service")+($AL399="Agriculture, Food Industry and Forestry"))&gt;0,"Science",IF((($AL399="Banking and Finance")+($AL399="Management and Administration")+($AL399="Marketing")+($AL399="Sales")+($AL399="Entrepreneurship")+($AL399="Hospitality and Tourism"))&gt;0,"Commerce",IF((($AL399="Social Sciences and Humanities")+($AL399="Law Studies")+($AL399="Education and Training")+($AL399="Art, Design")+($AL399="Entertainment and Mass Media")+($AL399="Community and Social Service")+($AL399="Personal Care and Services")+($AL399="Government and Public Administration")+($AL399="Defence/ Protective Service")+($AL399="Sports"))&gt;0,"Arts / Humanities",""))))</f>
        <v/>
      </c>
      <c r="BD399" s="5" t="str">
        <f aca="false">IF($B399="","",--(F399&gt;=10)+--(G399&gt;=10)+--(H399&gt;=10)+--(I399&gt;=10)+--(J399&gt;=10)+--(K399&gt;=10)+--(L399&gt;=10)+--(M399&gt;=10)+--(N399&gt;=10)+--(O399&gt;=10))</f>
        <v/>
      </c>
      <c r="BE399" s="5" t="str">
        <f aca="false">IF($B399="","",--(AND(F399&lt;&gt;"",F399&lt;=8))+--(AND(G399&lt;&gt;"",G399&lt;=8))+--(AND(H399&lt;&gt;"",H399&lt;=8))+--(AND(I399&lt;&gt;"",I399&lt;=8))+--(AND(J399&lt;&gt;"",J399&lt;=8))+--(AND(K399&lt;&gt;"",K399&lt;=8))+--(AND(L399&lt;&gt;"",L399&lt;=8))+--(AND(M399&lt;&gt;"",M399&lt;=8))+--(AND(N399&lt;&gt;"",N399&lt;=8))+--(AND(O399&lt;&gt;"",O399&lt;=8)))</f>
        <v/>
      </c>
    </row>
    <row r="400" customFormat="false" ht="15" hidden="false" customHeight="false" outlineLevel="0" collapsed="false">
      <c r="AZ400" s="5" t="str">
        <f aca="false">IF($B400="","",SUMPRODUCT(($AL400:$AO400&lt;&gt;"")*(COUNTIF($AP400:$AX400,$AL400:$AO400)&gt;0)))</f>
        <v/>
      </c>
      <c r="BA400" s="5" t="str">
        <f aca="false">IF($B400="","",IF(AZ400&gt;0,1,0))</f>
        <v/>
      </c>
      <c r="BB400" s="5" t="str">
        <f aca="false">IF($AP400="","",IF((($AP400="Engineering and Technology")+($AP400="Science and Mathematics")+($AP400="Computer Science, IT and Allied Fields")+($AP400="Life Sciences /Medicine and Healthcare")+($AP400="Paramedical")+($AP400="Architecture")+($AP400="Environmental Service")+($AP400="Agriculture, Food Industry and Forestry"))&gt;0,"Science",IF((($AP400="Banking and Finance")+($AP400="Management and Administration")+($AP400="Marketing")+($AP400="Sales")+($AP400="Entrepreneurship")+($AP400="Hospitality and Tourism"))&gt;0,"Commerce",IF((($AP400="Social Sciences and Humanities")+($AP400="Law Studies")+($AP400="Education and Training")+($AP400="Art, Design")+($AP400="Entertainment and Mass Media")+($AP400="Community and Social Service")+($AP400="Personal Care and Services")+($AP400="Government and Public Administration")+($AP400="Defence/ Protective Service")+($AP400="Sports"))&gt;0,"Arts / Humanities",""))))</f>
        <v/>
      </c>
      <c r="BC400" s="5" t="str">
        <f aca="false">IF($AL400="","",IF((($AL400="Engineering and Technology")+($AL400="Science and Mathematics")+($AL400="Computer Science, IT and Allied Fields")+($AL400="Life Sciences /Medicine and Healthcare")+($AL400="Paramedical")+($AL400="Architecture")+($AL400="Environmental Service")+($AL400="Agriculture, Food Industry and Forestry"))&gt;0,"Science",IF((($AL400="Banking and Finance")+($AL400="Management and Administration")+($AL400="Marketing")+($AL400="Sales")+($AL400="Entrepreneurship")+($AL400="Hospitality and Tourism"))&gt;0,"Commerce",IF((($AL400="Social Sciences and Humanities")+($AL400="Law Studies")+($AL400="Education and Training")+($AL400="Art, Design")+($AL400="Entertainment and Mass Media")+($AL400="Community and Social Service")+($AL400="Personal Care and Services")+($AL400="Government and Public Administration")+($AL400="Defence/ Protective Service")+($AL400="Sports"))&gt;0,"Arts / Humanities",""))))</f>
        <v/>
      </c>
      <c r="BD400" s="5" t="str">
        <f aca="false">IF($B400="","",--(F400&gt;=10)+--(G400&gt;=10)+--(H400&gt;=10)+--(I400&gt;=10)+--(J400&gt;=10)+--(K400&gt;=10)+--(L400&gt;=10)+--(M400&gt;=10)+--(N400&gt;=10)+--(O400&gt;=10))</f>
        <v/>
      </c>
      <c r="BE400" s="5" t="str">
        <f aca="false">IF($B400="","",--(AND(F400&lt;&gt;"",F400&lt;=8))+--(AND(G400&lt;&gt;"",G400&lt;=8))+--(AND(H400&lt;&gt;"",H400&lt;=8))+--(AND(I400&lt;&gt;"",I400&lt;=8))+--(AND(J400&lt;&gt;"",J400&lt;=8))+--(AND(K400&lt;&gt;"",K400&lt;=8))+--(AND(L400&lt;&gt;"",L400&lt;=8))+--(AND(M400&lt;&gt;"",M400&lt;=8))+--(AND(N400&lt;&gt;"",N400&lt;=8))+--(AND(O400&lt;&gt;"",O400&lt;=8)))</f>
        <v/>
      </c>
    </row>
    <row r="401" customFormat="false" ht="15" hidden="false" customHeight="false" outlineLevel="0" collapsed="false">
      <c r="AZ401" s="5" t="str">
        <f aca="false">IF($B401="","",SUMPRODUCT(($AL401:$AO401&lt;&gt;"")*(COUNTIF($AP401:$AX401,$AL401:$AO401)&gt;0)))</f>
        <v/>
      </c>
      <c r="BA401" s="5" t="str">
        <f aca="false">IF($B401="","",IF(AZ401&gt;0,1,0))</f>
        <v/>
      </c>
      <c r="BB401" s="5" t="str">
        <f aca="false">IF($AP401="","",IF((($AP401="Engineering and Technology")+($AP401="Science and Mathematics")+($AP401="Computer Science, IT and Allied Fields")+($AP401="Life Sciences /Medicine and Healthcare")+($AP401="Paramedical")+($AP401="Architecture")+($AP401="Environmental Service")+($AP401="Agriculture, Food Industry and Forestry"))&gt;0,"Science",IF((($AP401="Banking and Finance")+($AP401="Management and Administration")+($AP401="Marketing")+($AP401="Sales")+($AP401="Entrepreneurship")+($AP401="Hospitality and Tourism"))&gt;0,"Commerce",IF((($AP401="Social Sciences and Humanities")+($AP401="Law Studies")+($AP401="Education and Training")+($AP401="Art, Design")+($AP401="Entertainment and Mass Media")+($AP401="Community and Social Service")+($AP401="Personal Care and Services")+($AP401="Government and Public Administration")+($AP401="Defence/ Protective Service")+($AP401="Sports"))&gt;0,"Arts / Humanities",""))))</f>
        <v/>
      </c>
      <c r="BC401" s="5" t="str">
        <f aca="false">IF($AL401="","",IF((($AL401="Engineering and Technology")+($AL401="Science and Mathematics")+($AL401="Computer Science, IT and Allied Fields")+($AL401="Life Sciences /Medicine and Healthcare")+($AL401="Paramedical")+($AL401="Architecture")+($AL401="Environmental Service")+($AL401="Agriculture, Food Industry and Forestry"))&gt;0,"Science",IF((($AL401="Banking and Finance")+($AL401="Management and Administration")+($AL401="Marketing")+($AL401="Sales")+($AL401="Entrepreneurship")+($AL401="Hospitality and Tourism"))&gt;0,"Commerce",IF((($AL401="Social Sciences and Humanities")+($AL401="Law Studies")+($AL401="Education and Training")+($AL401="Art, Design")+($AL401="Entertainment and Mass Media")+($AL401="Community and Social Service")+($AL401="Personal Care and Services")+($AL401="Government and Public Administration")+($AL401="Defence/ Protective Service")+($AL401="Sports"))&gt;0,"Arts / Humanities",""))))</f>
        <v/>
      </c>
      <c r="BD401" s="5" t="str">
        <f aca="false">IF($B401="","",--(F401&gt;=10)+--(G401&gt;=10)+--(H401&gt;=10)+--(I401&gt;=10)+--(J401&gt;=10)+--(K401&gt;=10)+--(L401&gt;=10)+--(M401&gt;=10)+--(N401&gt;=10)+--(O401&gt;=10))</f>
        <v/>
      </c>
      <c r="BE401" s="5" t="str">
        <f aca="false">IF($B401="","",--(AND(F401&lt;&gt;"",F401&lt;=8))+--(AND(G401&lt;&gt;"",G401&lt;=8))+--(AND(H401&lt;&gt;"",H401&lt;=8))+--(AND(I401&lt;&gt;"",I401&lt;=8))+--(AND(J401&lt;&gt;"",J401&lt;=8))+--(AND(K401&lt;&gt;"",K401&lt;=8))+--(AND(L401&lt;&gt;"",L401&lt;=8))+--(AND(M401&lt;&gt;"",M401&lt;=8))+--(AND(N401&lt;&gt;"",N401&lt;=8))+--(AND(O401&lt;&gt;"",O401&lt;=8)))</f>
        <v/>
      </c>
    </row>
    <row r="402" customFormat="false" ht="15" hidden="false" customHeight="false" outlineLevel="0" collapsed="false">
      <c r="AZ402" s="5" t="str">
        <f aca="false">IF($B402="","",SUMPRODUCT(($AL402:$AO402&lt;&gt;"")*(COUNTIF($AP402:$AX402,$AL402:$AO402)&gt;0)))</f>
        <v/>
      </c>
      <c r="BA402" s="5" t="str">
        <f aca="false">IF($B402="","",IF(AZ402&gt;0,1,0))</f>
        <v/>
      </c>
      <c r="BB402" s="5" t="str">
        <f aca="false">IF($AP402="","",IF((($AP402="Engineering and Technology")+($AP402="Science and Mathematics")+($AP402="Computer Science, IT and Allied Fields")+($AP402="Life Sciences /Medicine and Healthcare")+($AP402="Paramedical")+($AP402="Architecture")+($AP402="Environmental Service")+($AP402="Agriculture, Food Industry and Forestry"))&gt;0,"Science",IF((($AP402="Banking and Finance")+($AP402="Management and Administration")+($AP402="Marketing")+($AP402="Sales")+($AP402="Entrepreneurship")+($AP402="Hospitality and Tourism"))&gt;0,"Commerce",IF((($AP402="Social Sciences and Humanities")+($AP402="Law Studies")+($AP402="Education and Training")+($AP402="Art, Design")+($AP402="Entertainment and Mass Media")+($AP402="Community and Social Service")+($AP402="Personal Care and Services")+($AP402="Government and Public Administration")+($AP402="Defence/ Protective Service")+($AP402="Sports"))&gt;0,"Arts / Humanities",""))))</f>
        <v/>
      </c>
      <c r="BC402" s="5" t="str">
        <f aca="false">IF($AL402="","",IF((($AL402="Engineering and Technology")+($AL402="Science and Mathematics")+($AL402="Computer Science, IT and Allied Fields")+($AL402="Life Sciences /Medicine and Healthcare")+($AL402="Paramedical")+($AL402="Architecture")+($AL402="Environmental Service")+($AL402="Agriculture, Food Industry and Forestry"))&gt;0,"Science",IF((($AL402="Banking and Finance")+($AL402="Management and Administration")+($AL402="Marketing")+($AL402="Sales")+($AL402="Entrepreneurship")+($AL402="Hospitality and Tourism"))&gt;0,"Commerce",IF((($AL402="Social Sciences and Humanities")+($AL402="Law Studies")+($AL402="Education and Training")+($AL402="Art, Design")+($AL402="Entertainment and Mass Media")+($AL402="Community and Social Service")+($AL402="Personal Care and Services")+($AL402="Government and Public Administration")+($AL402="Defence/ Protective Service")+($AL402="Sports"))&gt;0,"Arts / Humanities",""))))</f>
        <v/>
      </c>
      <c r="BD402" s="5" t="str">
        <f aca="false">IF($B402="","",--(F402&gt;=10)+--(G402&gt;=10)+--(H402&gt;=10)+--(I402&gt;=10)+--(J402&gt;=10)+--(K402&gt;=10)+--(L402&gt;=10)+--(M402&gt;=10)+--(N402&gt;=10)+--(O402&gt;=10))</f>
        <v/>
      </c>
      <c r="BE402" s="5" t="str">
        <f aca="false">IF($B402="","",--(AND(F402&lt;&gt;"",F402&lt;=8))+--(AND(G402&lt;&gt;"",G402&lt;=8))+--(AND(H402&lt;&gt;"",H402&lt;=8))+--(AND(I402&lt;&gt;"",I402&lt;=8))+--(AND(J402&lt;&gt;"",J402&lt;=8))+--(AND(K402&lt;&gt;"",K402&lt;=8))+--(AND(L402&lt;&gt;"",L402&lt;=8))+--(AND(M402&lt;&gt;"",M402&lt;=8))+--(AND(N402&lt;&gt;"",N402&lt;=8))+--(AND(O402&lt;&gt;"",O402&lt;=8)))</f>
        <v/>
      </c>
    </row>
    <row r="403" customFormat="false" ht="15" hidden="false" customHeight="false" outlineLevel="0" collapsed="false">
      <c r="AZ403" s="5" t="str">
        <f aca="false">IF($B403="","",SUMPRODUCT(($AL403:$AO403&lt;&gt;"")*(COUNTIF($AP403:$AX403,$AL403:$AO403)&gt;0)))</f>
        <v/>
      </c>
      <c r="BA403" s="5" t="str">
        <f aca="false">IF($B403="","",IF(AZ403&gt;0,1,0))</f>
        <v/>
      </c>
      <c r="BB403" s="5" t="str">
        <f aca="false">IF($AP403="","",IF((($AP403="Engineering and Technology")+($AP403="Science and Mathematics")+($AP403="Computer Science, IT and Allied Fields")+($AP403="Life Sciences /Medicine and Healthcare")+($AP403="Paramedical")+($AP403="Architecture")+($AP403="Environmental Service")+($AP403="Agriculture, Food Industry and Forestry"))&gt;0,"Science",IF((($AP403="Banking and Finance")+($AP403="Management and Administration")+($AP403="Marketing")+($AP403="Sales")+($AP403="Entrepreneurship")+($AP403="Hospitality and Tourism"))&gt;0,"Commerce",IF((($AP403="Social Sciences and Humanities")+($AP403="Law Studies")+($AP403="Education and Training")+($AP403="Art, Design")+($AP403="Entertainment and Mass Media")+($AP403="Community and Social Service")+($AP403="Personal Care and Services")+($AP403="Government and Public Administration")+($AP403="Defence/ Protective Service")+($AP403="Sports"))&gt;0,"Arts / Humanities",""))))</f>
        <v/>
      </c>
      <c r="BC403" s="5" t="str">
        <f aca="false">IF($AL403="","",IF((($AL403="Engineering and Technology")+($AL403="Science and Mathematics")+($AL403="Computer Science, IT and Allied Fields")+($AL403="Life Sciences /Medicine and Healthcare")+($AL403="Paramedical")+($AL403="Architecture")+($AL403="Environmental Service")+($AL403="Agriculture, Food Industry and Forestry"))&gt;0,"Science",IF((($AL403="Banking and Finance")+($AL403="Management and Administration")+($AL403="Marketing")+($AL403="Sales")+($AL403="Entrepreneurship")+($AL403="Hospitality and Tourism"))&gt;0,"Commerce",IF((($AL403="Social Sciences and Humanities")+($AL403="Law Studies")+($AL403="Education and Training")+($AL403="Art, Design")+($AL403="Entertainment and Mass Media")+($AL403="Community and Social Service")+($AL403="Personal Care and Services")+($AL403="Government and Public Administration")+($AL403="Defence/ Protective Service")+($AL403="Sports"))&gt;0,"Arts / Humanities",""))))</f>
        <v/>
      </c>
      <c r="BD403" s="5" t="str">
        <f aca="false">IF($B403="","",--(F403&gt;=10)+--(G403&gt;=10)+--(H403&gt;=10)+--(I403&gt;=10)+--(J403&gt;=10)+--(K403&gt;=10)+--(L403&gt;=10)+--(M403&gt;=10)+--(N403&gt;=10)+--(O403&gt;=10))</f>
        <v/>
      </c>
      <c r="BE403" s="5" t="str">
        <f aca="false">IF($B403="","",--(AND(F403&lt;&gt;"",F403&lt;=8))+--(AND(G403&lt;&gt;"",G403&lt;=8))+--(AND(H403&lt;&gt;"",H403&lt;=8))+--(AND(I403&lt;&gt;"",I403&lt;=8))+--(AND(J403&lt;&gt;"",J403&lt;=8))+--(AND(K403&lt;&gt;"",K403&lt;=8))+--(AND(L403&lt;&gt;"",L403&lt;=8))+--(AND(M403&lt;&gt;"",M403&lt;=8))+--(AND(N403&lt;&gt;"",N403&lt;=8))+--(AND(O403&lt;&gt;"",O403&lt;=8)))</f>
        <v/>
      </c>
    </row>
    <row r="404" customFormat="false" ht="15" hidden="false" customHeight="false" outlineLevel="0" collapsed="false">
      <c r="AZ404" s="5" t="str">
        <f aca="false">IF($B404="","",SUMPRODUCT(($AL404:$AO404&lt;&gt;"")*(COUNTIF($AP404:$AX404,$AL404:$AO404)&gt;0)))</f>
        <v/>
      </c>
      <c r="BA404" s="5" t="str">
        <f aca="false">IF($B404="","",IF(AZ404&gt;0,1,0))</f>
        <v/>
      </c>
      <c r="BB404" s="5" t="str">
        <f aca="false">IF($AP404="","",IF((($AP404="Engineering and Technology")+($AP404="Science and Mathematics")+($AP404="Computer Science, IT and Allied Fields")+($AP404="Life Sciences /Medicine and Healthcare")+($AP404="Paramedical")+($AP404="Architecture")+($AP404="Environmental Service")+($AP404="Agriculture, Food Industry and Forestry"))&gt;0,"Science",IF((($AP404="Banking and Finance")+($AP404="Management and Administration")+($AP404="Marketing")+($AP404="Sales")+($AP404="Entrepreneurship")+($AP404="Hospitality and Tourism"))&gt;0,"Commerce",IF((($AP404="Social Sciences and Humanities")+($AP404="Law Studies")+($AP404="Education and Training")+($AP404="Art, Design")+($AP404="Entertainment and Mass Media")+($AP404="Community and Social Service")+($AP404="Personal Care and Services")+($AP404="Government and Public Administration")+($AP404="Defence/ Protective Service")+($AP404="Sports"))&gt;0,"Arts / Humanities",""))))</f>
        <v/>
      </c>
      <c r="BC404" s="5" t="str">
        <f aca="false">IF($AL404="","",IF((($AL404="Engineering and Technology")+($AL404="Science and Mathematics")+($AL404="Computer Science, IT and Allied Fields")+($AL404="Life Sciences /Medicine and Healthcare")+($AL404="Paramedical")+($AL404="Architecture")+($AL404="Environmental Service")+($AL404="Agriculture, Food Industry and Forestry"))&gt;0,"Science",IF((($AL404="Banking and Finance")+($AL404="Management and Administration")+($AL404="Marketing")+($AL404="Sales")+($AL404="Entrepreneurship")+($AL404="Hospitality and Tourism"))&gt;0,"Commerce",IF((($AL404="Social Sciences and Humanities")+($AL404="Law Studies")+($AL404="Education and Training")+($AL404="Art, Design")+($AL404="Entertainment and Mass Media")+($AL404="Community and Social Service")+($AL404="Personal Care and Services")+($AL404="Government and Public Administration")+($AL404="Defence/ Protective Service")+($AL404="Sports"))&gt;0,"Arts / Humanities",""))))</f>
        <v/>
      </c>
      <c r="BD404" s="5" t="str">
        <f aca="false">IF($B404="","",--(F404&gt;=10)+--(G404&gt;=10)+--(H404&gt;=10)+--(I404&gt;=10)+--(J404&gt;=10)+--(K404&gt;=10)+--(L404&gt;=10)+--(M404&gt;=10)+--(N404&gt;=10)+--(O404&gt;=10))</f>
        <v/>
      </c>
      <c r="BE404" s="5" t="str">
        <f aca="false">IF($B404="","",--(AND(F404&lt;&gt;"",F404&lt;=8))+--(AND(G404&lt;&gt;"",G404&lt;=8))+--(AND(H404&lt;&gt;"",H404&lt;=8))+--(AND(I404&lt;&gt;"",I404&lt;=8))+--(AND(J404&lt;&gt;"",J404&lt;=8))+--(AND(K404&lt;&gt;"",K404&lt;=8))+--(AND(L404&lt;&gt;"",L404&lt;=8))+--(AND(M404&lt;&gt;"",M404&lt;=8))+--(AND(N404&lt;&gt;"",N404&lt;=8))+--(AND(O404&lt;&gt;"",O404&lt;=8)))</f>
        <v/>
      </c>
    </row>
    <row r="405" customFormat="false" ht="15" hidden="false" customHeight="false" outlineLevel="0" collapsed="false">
      <c r="AZ405" s="5" t="str">
        <f aca="false">IF($B405="","",SUMPRODUCT(($AL405:$AO405&lt;&gt;"")*(COUNTIF($AP405:$AX405,$AL405:$AO405)&gt;0)))</f>
        <v/>
      </c>
      <c r="BA405" s="5" t="str">
        <f aca="false">IF($B405="","",IF(AZ405&gt;0,1,0))</f>
        <v/>
      </c>
      <c r="BB405" s="5" t="str">
        <f aca="false">IF($AP405="","",IF((($AP405="Engineering and Technology")+($AP405="Science and Mathematics")+($AP405="Computer Science, IT and Allied Fields")+($AP405="Life Sciences /Medicine and Healthcare")+($AP405="Paramedical")+($AP405="Architecture")+($AP405="Environmental Service")+($AP405="Agriculture, Food Industry and Forestry"))&gt;0,"Science",IF((($AP405="Banking and Finance")+($AP405="Management and Administration")+($AP405="Marketing")+($AP405="Sales")+($AP405="Entrepreneurship")+($AP405="Hospitality and Tourism"))&gt;0,"Commerce",IF((($AP405="Social Sciences and Humanities")+($AP405="Law Studies")+($AP405="Education and Training")+($AP405="Art, Design")+($AP405="Entertainment and Mass Media")+($AP405="Community and Social Service")+($AP405="Personal Care and Services")+($AP405="Government and Public Administration")+($AP405="Defence/ Protective Service")+($AP405="Sports"))&gt;0,"Arts / Humanities",""))))</f>
        <v/>
      </c>
      <c r="BC405" s="5" t="str">
        <f aca="false">IF($AL405="","",IF((($AL405="Engineering and Technology")+($AL405="Science and Mathematics")+($AL405="Computer Science, IT and Allied Fields")+($AL405="Life Sciences /Medicine and Healthcare")+($AL405="Paramedical")+($AL405="Architecture")+($AL405="Environmental Service")+($AL405="Agriculture, Food Industry and Forestry"))&gt;0,"Science",IF((($AL405="Banking and Finance")+($AL405="Management and Administration")+($AL405="Marketing")+($AL405="Sales")+($AL405="Entrepreneurship")+($AL405="Hospitality and Tourism"))&gt;0,"Commerce",IF((($AL405="Social Sciences and Humanities")+($AL405="Law Studies")+($AL405="Education and Training")+($AL405="Art, Design")+($AL405="Entertainment and Mass Media")+($AL405="Community and Social Service")+($AL405="Personal Care and Services")+($AL405="Government and Public Administration")+($AL405="Defence/ Protective Service")+($AL405="Sports"))&gt;0,"Arts / Humanities",""))))</f>
        <v/>
      </c>
      <c r="BD405" s="5" t="str">
        <f aca="false">IF($B405="","",--(F405&gt;=10)+--(G405&gt;=10)+--(H405&gt;=10)+--(I405&gt;=10)+--(J405&gt;=10)+--(K405&gt;=10)+--(L405&gt;=10)+--(M405&gt;=10)+--(N405&gt;=10)+--(O405&gt;=10))</f>
        <v/>
      </c>
      <c r="BE405" s="5" t="str">
        <f aca="false">IF($B405="","",--(AND(F405&lt;&gt;"",F405&lt;=8))+--(AND(G405&lt;&gt;"",G405&lt;=8))+--(AND(H405&lt;&gt;"",H405&lt;=8))+--(AND(I405&lt;&gt;"",I405&lt;=8))+--(AND(J405&lt;&gt;"",J405&lt;=8))+--(AND(K405&lt;&gt;"",K405&lt;=8))+--(AND(L405&lt;&gt;"",L405&lt;=8))+--(AND(M405&lt;&gt;"",M405&lt;=8))+--(AND(N405&lt;&gt;"",N405&lt;=8))+--(AND(O405&lt;&gt;"",O405&lt;=8)))</f>
        <v/>
      </c>
    </row>
    <row r="406" customFormat="false" ht="15" hidden="false" customHeight="false" outlineLevel="0" collapsed="false">
      <c r="AZ406" s="5" t="str">
        <f aca="false">IF($B406="","",SUMPRODUCT(($AL406:$AO406&lt;&gt;"")*(COUNTIF($AP406:$AX406,$AL406:$AO406)&gt;0)))</f>
        <v/>
      </c>
      <c r="BA406" s="5" t="str">
        <f aca="false">IF($B406="","",IF(AZ406&gt;0,1,0))</f>
        <v/>
      </c>
      <c r="BB406" s="5" t="str">
        <f aca="false">IF($AP406="","",IF((($AP406="Engineering and Technology")+($AP406="Science and Mathematics")+($AP406="Computer Science, IT and Allied Fields")+($AP406="Life Sciences /Medicine and Healthcare")+($AP406="Paramedical")+($AP406="Architecture")+($AP406="Environmental Service")+($AP406="Agriculture, Food Industry and Forestry"))&gt;0,"Science",IF((($AP406="Banking and Finance")+($AP406="Management and Administration")+($AP406="Marketing")+($AP406="Sales")+($AP406="Entrepreneurship")+($AP406="Hospitality and Tourism"))&gt;0,"Commerce",IF((($AP406="Social Sciences and Humanities")+($AP406="Law Studies")+($AP406="Education and Training")+($AP406="Art, Design")+($AP406="Entertainment and Mass Media")+($AP406="Community and Social Service")+($AP406="Personal Care and Services")+($AP406="Government and Public Administration")+($AP406="Defence/ Protective Service")+($AP406="Sports"))&gt;0,"Arts / Humanities",""))))</f>
        <v/>
      </c>
      <c r="BC406" s="5" t="str">
        <f aca="false">IF($AL406="","",IF((($AL406="Engineering and Technology")+($AL406="Science and Mathematics")+($AL406="Computer Science, IT and Allied Fields")+($AL406="Life Sciences /Medicine and Healthcare")+($AL406="Paramedical")+($AL406="Architecture")+($AL406="Environmental Service")+($AL406="Agriculture, Food Industry and Forestry"))&gt;0,"Science",IF((($AL406="Banking and Finance")+($AL406="Management and Administration")+($AL406="Marketing")+($AL406="Sales")+($AL406="Entrepreneurship")+($AL406="Hospitality and Tourism"))&gt;0,"Commerce",IF((($AL406="Social Sciences and Humanities")+($AL406="Law Studies")+($AL406="Education and Training")+($AL406="Art, Design")+($AL406="Entertainment and Mass Media")+($AL406="Community and Social Service")+($AL406="Personal Care and Services")+($AL406="Government and Public Administration")+($AL406="Defence/ Protective Service")+($AL406="Sports"))&gt;0,"Arts / Humanities",""))))</f>
        <v/>
      </c>
      <c r="BD406" s="5" t="str">
        <f aca="false">IF($B406="","",--(F406&gt;=10)+--(G406&gt;=10)+--(H406&gt;=10)+--(I406&gt;=10)+--(J406&gt;=10)+--(K406&gt;=10)+--(L406&gt;=10)+--(M406&gt;=10)+--(N406&gt;=10)+--(O406&gt;=10))</f>
        <v/>
      </c>
      <c r="BE406" s="5" t="str">
        <f aca="false">IF($B406="","",--(AND(F406&lt;&gt;"",F406&lt;=8))+--(AND(G406&lt;&gt;"",G406&lt;=8))+--(AND(H406&lt;&gt;"",H406&lt;=8))+--(AND(I406&lt;&gt;"",I406&lt;=8))+--(AND(J406&lt;&gt;"",J406&lt;=8))+--(AND(K406&lt;&gt;"",K406&lt;=8))+--(AND(L406&lt;&gt;"",L406&lt;=8))+--(AND(M406&lt;&gt;"",M406&lt;=8))+--(AND(N406&lt;&gt;"",N406&lt;=8))+--(AND(O406&lt;&gt;"",O406&lt;=8)))</f>
        <v/>
      </c>
    </row>
    <row r="407" customFormat="false" ht="15" hidden="false" customHeight="false" outlineLevel="0" collapsed="false">
      <c r="AZ407" s="5" t="str">
        <f aca="false">IF($B407="","",SUMPRODUCT(($AL407:$AO407&lt;&gt;"")*(COUNTIF($AP407:$AX407,$AL407:$AO407)&gt;0)))</f>
        <v/>
      </c>
      <c r="BA407" s="5" t="str">
        <f aca="false">IF($B407="","",IF(AZ407&gt;0,1,0))</f>
        <v/>
      </c>
      <c r="BB407" s="5" t="str">
        <f aca="false">IF($AP407="","",IF((($AP407="Engineering and Technology")+($AP407="Science and Mathematics")+($AP407="Computer Science, IT and Allied Fields")+($AP407="Life Sciences /Medicine and Healthcare")+($AP407="Paramedical")+($AP407="Architecture")+($AP407="Environmental Service")+($AP407="Agriculture, Food Industry and Forestry"))&gt;0,"Science",IF((($AP407="Banking and Finance")+($AP407="Management and Administration")+($AP407="Marketing")+($AP407="Sales")+($AP407="Entrepreneurship")+($AP407="Hospitality and Tourism"))&gt;0,"Commerce",IF((($AP407="Social Sciences and Humanities")+($AP407="Law Studies")+($AP407="Education and Training")+($AP407="Art, Design")+($AP407="Entertainment and Mass Media")+($AP407="Community and Social Service")+($AP407="Personal Care and Services")+($AP407="Government and Public Administration")+($AP407="Defence/ Protective Service")+($AP407="Sports"))&gt;0,"Arts / Humanities",""))))</f>
        <v/>
      </c>
      <c r="BC407" s="5" t="str">
        <f aca="false">IF($AL407="","",IF((($AL407="Engineering and Technology")+($AL407="Science and Mathematics")+($AL407="Computer Science, IT and Allied Fields")+($AL407="Life Sciences /Medicine and Healthcare")+($AL407="Paramedical")+($AL407="Architecture")+($AL407="Environmental Service")+($AL407="Agriculture, Food Industry and Forestry"))&gt;0,"Science",IF((($AL407="Banking and Finance")+($AL407="Management and Administration")+($AL407="Marketing")+($AL407="Sales")+($AL407="Entrepreneurship")+($AL407="Hospitality and Tourism"))&gt;0,"Commerce",IF((($AL407="Social Sciences and Humanities")+($AL407="Law Studies")+($AL407="Education and Training")+($AL407="Art, Design")+($AL407="Entertainment and Mass Media")+($AL407="Community and Social Service")+($AL407="Personal Care and Services")+($AL407="Government and Public Administration")+($AL407="Defence/ Protective Service")+($AL407="Sports"))&gt;0,"Arts / Humanities",""))))</f>
        <v/>
      </c>
      <c r="BD407" s="5" t="str">
        <f aca="false">IF($B407="","",--(F407&gt;=10)+--(G407&gt;=10)+--(H407&gt;=10)+--(I407&gt;=10)+--(J407&gt;=10)+--(K407&gt;=10)+--(L407&gt;=10)+--(M407&gt;=10)+--(N407&gt;=10)+--(O407&gt;=10))</f>
        <v/>
      </c>
      <c r="BE407" s="5" t="str">
        <f aca="false">IF($B407="","",--(AND(F407&lt;&gt;"",F407&lt;=8))+--(AND(G407&lt;&gt;"",G407&lt;=8))+--(AND(H407&lt;&gt;"",H407&lt;=8))+--(AND(I407&lt;&gt;"",I407&lt;=8))+--(AND(J407&lt;&gt;"",J407&lt;=8))+--(AND(K407&lt;&gt;"",K407&lt;=8))+--(AND(L407&lt;&gt;"",L407&lt;=8))+--(AND(M407&lt;&gt;"",M407&lt;=8))+--(AND(N407&lt;&gt;"",N407&lt;=8))+--(AND(O407&lt;&gt;"",O407&lt;=8)))</f>
        <v/>
      </c>
    </row>
    <row r="408" customFormat="false" ht="15" hidden="false" customHeight="false" outlineLevel="0" collapsed="false">
      <c r="AZ408" s="5" t="str">
        <f aca="false">IF($B408="","",SUMPRODUCT(($AL408:$AO408&lt;&gt;"")*(COUNTIF($AP408:$AX408,$AL408:$AO408)&gt;0)))</f>
        <v/>
      </c>
      <c r="BA408" s="5" t="str">
        <f aca="false">IF($B408="","",IF(AZ408&gt;0,1,0))</f>
        <v/>
      </c>
      <c r="BB408" s="5" t="str">
        <f aca="false">IF($AP408="","",IF((($AP408="Engineering and Technology")+($AP408="Science and Mathematics")+($AP408="Computer Science, IT and Allied Fields")+($AP408="Life Sciences /Medicine and Healthcare")+($AP408="Paramedical")+($AP408="Architecture")+($AP408="Environmental Service")+($AP408="Agriculture, Food Industry and Forestry"))&gt;0,"Science",IF((($AP408="Banking and Finance")+($AP408="Management and Administration")+($AP408="Marketing")+($AP408="Sales")+($AP408="Entrepreneurship")+($AP408="Hospitality and Tourism"))&gt;0,"Commerce",IF((($AP408="Social Sciences and Humanities")+($AP408="Law Studies")+($AP408="Education and Training")+($AP408="Art, Design")+($AP408="Entertainment and Mass Media")+($AP408="Community and Social Service")+($AP408="Personal Care and Services")+($AP408="Government and Public Administration")+($AP408="Defence/ Protective Service")+($AP408="Sports"))&gt;0,"Arts / Humanities",""))))</f>
        <v/>
      </c>
      <c r="BC408" s="5" t="str">
        <f aca="false">IF($AL408="","",IF((($AL408="Engineering and Technology")+($AL408="Science and Mathematics")+($AL408="Computer Science, IT and Allied Fields")+($AL408="Life Sciences /Medicine and Healthcare")+($AL408="Paramedical")+($AL408="Architecture")+($AL408="Environmental Service")+($AL408="Agriculture, Food Industry and Forestry"))&gt;0,"Science",IF((($AL408="Banking and Finance")+($AL408="Management and Administration")+($AL408="Marketing")+($AL408="Sales")+($AL408="Entrepreneurship")+($AL408="Hospitality and Tourism"))&gt;0,"Commerce",IF((($AL408="Social Sciences and Humanities")+($AL408="Law Studies")+($AL408="Education and Training")+($AL408="Art, Design")+($AL408="Entertainment and Mass Media")+($AL408="Community and Social Service")+($AL408="Personal Care and Services")+($AL408="Government and Public Administration")+($AL408="Defence/ Protective Service")+($AL408="Sports"))&gt;0,"Arts / Humanities",""))))</f>
        <v/>
      </c>
      <c r="BD408" s="5" t="str">
        <f aca="false">IF($B408="","",--(F408&gt;=10)+--(G408&gt;=10)+--(H408&gt;=10)+--(I408&gt;=10)+--(J408&gt;=10)+--(K408&gt;=10)+--(L408&gt;=10)+--(M408&gt;=10)+--(N408&gt;=10)+--(O408&gt;=10))</f>
        <v/>
      </c>
      <c r="BE408" s="5" t="str">
        <f aca="false">IF($B408="","",--(AND(F408&lt;&gt;"",F408&lt;=8))+--(AND(G408&lt;&gt;"",G408&lt;=8))+--(AND(H408&lt;&gt;"",H408&lt;=8))+--(AND(I408&lt;&gt;"",I408&lt;=8))+--(AND(J408&lt;&gt;"",J408&lt;=8))+--(AND(K408&lt;&gt;"",K408&lt;=8))+--(AND(L408&lt;&gt;"",L408&lt;=8))+--(AND(M408&lt;&gt;"",M408&lt;=8))+--(AND(N408&lt;&gt;"",N408&lt;=8))+--(AND(O408&lt;&gt;"",O408&lt;=8)))</f>
        <v/>
      </c>
    </row>
    <row r="409" customFormat="false" ht="15" hidden="false" customHeight="false" outlineLevel="0" collapsed="false">
      <c r="AZ409" s="5" t="str">
        <f aca="false">IF($B409="","",SUMPRODUCT(($AL409:$AO409&lt;&gt;"")*(COUNTIF($AP409:$AX409,$AL409:$AO409)&gt;0)))</f>
        <v/>
      </c>
      <c r="BA409" s="5" t="str">
        <f aca="false">IF($B409="","",IF(AZ409&gt;0,1,0))</f>
        <v/>
      </c>
      <c r="BB409" s="5" t="str">
        <f aca="false">IF($AP409="","",IF((($AP409="Engineering and Technology")+($AP409="Science and Mathematics")+($AP409="Computer Science, IT and Allied Fields")+($AP409="Life Sciences /Medicine and Healthcare")+($AP409="Paramedical")+($AP409="Architecture")+($AP409="Environmental Service")+($AP409="Agriculture, Food Industry and Forestry"))&gt;0,"Science",IF((($AP409="Banking and Finance")+($AP409="Management and Administration")+($AP409="Marketing")+($AP409="Sales")+($AP409="Entrepreneurship")+($AP409="Hospitality and Tourism"))&gt;0,"Commerce",IF((($AP409="Social Sciences and Humanities")+($AP409="Law Studies")+($AP409="Education and Training")+($AP409="Art, Design")+($AP409="Entertainment and Mass Media")+($AP409="Community and Social Service")+($AP409="Personal Care and Services")+($AP409="Government and Public Administration")+($AP409="Defence/ Protective Service")+($AP409="Sports"))&gt;0,"Arts / Humanities",""))))</f>
        <v/>
      </c>
      <c r="BC409" s="5" t="str">
        <f aca="false">IF($AL409="","",IF((($AL409="Engineering and Technology")+($AL409="Science and Mathematics")+($AL409="Computer Science, IT and Allied Fields")+($AL409="Life Sciences /Medicine and Healthcare")+($AL409="Paramedical")+($AL409="Architecture")+($AL409="Environmental Service")+($AL409="Agriculture, Food Industry and Forestry"))&gt;0,"Science",IF((($AL409="Banking and Finance")+($AL409="Management and Administration")+($AL409="Marketing")+($AL409="Sales")+($AL409="Entrepreneurship")+($AL409="Hospitality and Tourism"))&gt;0,"Commerce",IF((($AL409="Social Sciences and Humanities")+($AL409="Law Studies")+($AL409="Education and Training")+($AL409="Art, Design")+($AL409="Entertainment and Mass Media")+($AL409="Community and Social Service")+($AL409="Personal Care and Services")+($AL409="Government and Public Administration")+($AL409="Defence/ Protective Service")+($AL409="Sports"))&gt;0,"Arts / Humanities",""))))</f>
        <v/>
      </c>
      <c r="BD409" s="5" t="str">
        <f aca="false">IF($B409="","",--(F409&gt;=10)+--(G409&gt;=10)+--(H409&gt;=10)+--(I409&gt;=10)+--(J409&gt;=10)+--(K409&gt;=10)+--(L409&gt;=10)+--(M409&gt;=10)+--(N409&gt;=10)+--(O409&gt;=10))</f>
        <v/>
      </c>
      <c r="BE409" s="5" t="str">
        <f aca="false">IF($B409="","",--(AND(F409&lt;&gt;"",F409&lt;=8))+--(AND(G409&lt;&gt;"",G409&lt;=8))+--(AND(H409&lt;&gt;"",H409&lt;=8))+--(AND(I409&lt;&gt;"",I409&lt;=8))+--(AND(J409&lt;&gt;"",J409&lt;=8))+--(AND(K409&lt;&gt;"",K409&lt;=8))+--(AND(L409&lt;&gt;"",L409&lt;=8))+--(AND(M409&lt;&gt;"",M409&lt;=8))+--(AND(N409&lt;&gt;"",N409&lt;=8))+--(AND(O409&lt;&gt;"",O409&lt;=8)))</f>
        <v/>
      </c>
    </row>
    <row r="410" customFormat="false" ht="15" hidden="false" customHeight="false" outlineLevel="0" collapsed="false">
      <c r="AZ410" s="5" t="str">
        <f aca="false">IF($B410="","",SUMPRODUCT(($AL410:$AO410&lt;&gt;"")*(COUNTIF($AP410:$AX410,$AL410:$AO410)&gt;0)))</f>
        <v/>
      </c>
      <c r="BA410" s="5" t="str">
        <f aca="false">IF($B410="","",IF(AZ410&gt;0,1,0))</f>
        <v/>
      </c>
      <c r="BB410" s="5" t="str">
        <f aca="false">IF($AP410="","",IF((($AP410="Engineering and Technology")+($AP410="Science and Mathematics")+($AP410="Computer Science, IT and Allied Fields")+($AP410="Life Sciences /Medicine and Healthcare")+($AP410="Paramedical")+($AP410="Architecture")+($AP410="Environmental Service")+($AP410="Agriculture, Food Industry and Forestry"))&gt;0,"Science",IF((($AP410="Banking and Finance")+($AP410="Management and Administration")+($AP410="Marketing")+($AP410="Sales")+($AP410="Entrepreneurship")+($AP410="Hospitality and Tourism"))&gt;0,"Commerce",IF((($AP410="Social Sciences and Humanities")+($AP410="Law Studies")+($AP410="Education and Training")+($AP410="Art, Design")+($AP410="Entertainment and Mass Media")+($AP410="Community and Social Service")+($AP410="Personal Care and Services")+($AP410="Government and Public Administration")+($AP410="Defence/ Protective Service")+($AP410="Sports"))&gt;0,"Arts / Humanities",""))))</f>
        <v/>
      </c>
      <c r="BC410" s="5" t="str">
        <f aca="false">IF($AL410="","",IF((($AL410="Engineering and Technology")+($AL410="Science and Mathematics")+($AL410="Computer Science, IT and Allied Fields")+($AL410="Life Sciences /Medicine and Healthcare")+($AL410="Paramedical")+($AL410="Architecture")+($AL410="Environmental Service")+($AL410="Agriculture, Food Industry and Forestry"))&gt;0,"Science",IF((($AL410="Banking and Finance")+($AL410="Management and Administration")+($AL410="Marketing")+($AL410="Sales")+($AL410="Entrepreneurship")+($AL410="Hospitality and Tourism"))&gt;0,"Commerce",IF((($AL410="Social Sciences and Humanities")+($AL410="Law Studies")+($AL410="Education and Training")+($AL410="Art, Design")+($AL410="Entertainment and Mass Media")+($AL410="Community and Social Service")+($AL410="Personal Care and Services")+($AL410="Government and Public Administration")+($AL410="Defence/ Protective Service")+($AL410="Sports"))&gt;0,"Arts / Humanities",""))))</f>
        <v/>
      </c>
      <c r="BD410" s="5" t="str">
        <f aca="false">IF($B410="","",--(F410&gt;=10)+--(G410&gt;=10)+--(H410&gt;=10)+--(I410&gt;=10)+--(J410&gt;=10)+--(K410&gt;=10)+--(L410&gt;=10)+--(M410&gt;=10)+--(N410&gt;=10)+--(O410&gt;=10))</f>
        <v/>
      </c>
      <c r="BE410" s="5" t="str">
        <f aca="false">IF($B410="","",--(AND(F410&lt;&gt;"",F410&lt;=8))+--(AND(G410&lt;&gt;"",G410&lt;=8))+--(AND(H410&lt;&gt;"",H410&lt;=8))+--(AND(I410&lt;&gt;"",I410&lt;=8))+--(AND(J410&lt;&gt;"",J410&lt;=8))+--(AND(K410&lt;&gt;"",K410&lt;=8))+--(AND(L410&lt;&gt;"",L410&lt;=8))+--(AND(M410&lt;&gt;"",M410&lt;=8))+--(AND(N410&lt;&gt;"",N410&lt;=8))+--(AND(O410&lt;&gt;"",O410&lt;=8)))</f>
        <v/>
      </c>
    </row>
    <row r="411" customFormat="false" ht="15" hidden="false" customHeight="false" outlineLevel="0" collapsed="false">
      <c r="AZ411" s="5" t="str">
        <f aca="false">IF($B411="","",SUMPRODUCT(($AL411:$AO411&lt;&gt;"")*(COUNTIF($AP411:$AX411,$AL411:$AO411)&gt;0)))</f>
        <v/>
      </c>
      <c r="BA411" s="5" t="str">
        <f aca="false">IF($B411="","",IF(AZ411&gt;0,1,0))</f>
        <v/>
      </c>
      <c r="BB411" s="5" t="str">
        <f aca="false">IF($AP411="","",IF((($AP411="Engineering and Technology")+($AP411="Science and Mathematics")+($AP411="Computer Science, IT and Allied Fields")+($AP411="Life Sciences /Medicine and Healthcare")+($AP411="Paramedical")+($AP411="Architecture")+($AP411="Environmental Service")+($AP411="Agriculture, Food Industry and Forestry"))&gt;0,"Science",IF((($AP411="Banking and Finance")+($AP411="Management and Administration")+($AP411="Marketing")+($AP411="Sales")+($AP411="Entrepreneurship")+($AP411="Hospitality and Tourism"))&gt;0,"Commerce",IF((($AP411="Social Sciences and Humanities")+($AP411="Law Studies")+($AP411="Education and Training")+($AP411="Art, Design")+($AP411="Entertainment and Mass Media")+($AP411="Community and Social Service")+($AP411="Personal Care and Services")+($AP411="Government and Public Administration")+($AP411="Defence/ Protective Service")+($AP411="Sports"))&gt;0,"Arts / Humanities",""))))</f>
        <v/>
      </c>
      <c r="BC411" s="5" t="str">
        <f aca="false">IF($AL411="","",IF((($AL411="Engineering and Technology")+($AL411="Science and Mathematics")+($AL411="Computer Science, IT and Allied Fields")+($AL411="Life Sciences /Medicine and Healthcare")+($AL411="Paramedical")+($AL411="Architecture")+($AL411="Environmental Service")+($AL411="Agriculture, Food Industry and Forestry"))&gt;0,"Science",IF((($AL411="Banking and Finance")+($AL411="Management and Administration")+($AL411="Marketing")+($AL411="Sales")+($AL411="Entrepreneurship")+($AL411="Hospitality and Tourism"))&gt;0,"Commerce",IF((($AL411="Social Sciences and Humanities")+($AL411="Law Studies")+($AL411="Education and Training")+($AL411="Art, Design")+($AL411="Entertainment and Mass Media")+($AL411="Community and Social Service")+($AL411="Personal Care and Services")+($AL411="Government and Public Administration")+($AL411="Defence/ Protective Service")+($AL411="Sports"))&gt;0,"Arts / Humanities",""))))</f>
        <v/>
      </c>
      <c r="BD411" s="5" t="str">
        <f aca="false">IF($B411="","",--(F411&gt;=10)+--(G411&gt;=10)+--(H411&gt;=10)+--(I411&gt;=10)+--(J411&gt;=10)+--(K411&gt;=10)+--(L411&gt;=10)+--(M411&gt;=10)+--(N411&gt;=10)+--(O411&gt;=10))</f>
        <v/>
      </c>
      <c r="BE411" s="5" t="str">
        <f aca="false">IF($B411="","",--(AND(F411&lt;&gt;"",F411&lt;=8))+--(AND(G411&lt;&gt;"",G411&lt;=8))+--(AND(H411&lt;&gt;"",H411&lt;=8))+--(AND(I411&lt;&gt;"",I411&lt;=8))+--(AND(J411&lt;&gt;"",J411&lt;=8))+--(AND(K411&lt;&gt;"",K411&lt;=8))+--(AND(L411&lt;&gt;"",L411&lt;=8))+--(AND(M411&lt;&gt;"",M411&lt;=8))+--(AND(N411&lt;&gt;"",N411&lt;=8))+--(AND(O411&lt;&gt;"",O411&lt;=8)))</f>
        <v/>
      </c>
    </row>
    <row r="412" customFormat="false" ht="15" hidden="false" customHeight="false" outlineLevel="0" collapsed="false">
      <c r="AZ412" s="5" t="str">
        <f aca="false">IF($B412="","",SUMPRODUCT(($AL412:$AO412&lt;&gt;"")*(COUNTIF($AP412:$AX412,$AL412:$AO412)&gt;0)))</f>
        <v/>
      </c>
      <c r="BA412" s="5" t="str">
        <f aca="false">IF($B412="","",IF(AZ412&gt;0,1,0))</f>
        <v/>
      </c>
      <c r="BB412" s="5" t="str">
        <f aca="false">IF($AP412="","",IF((($AP412="Engineering and Technology")+($AP412="Science and Mathematics")+($AP412="Computer Science, IT and Allied Fields")+($AP412="Life Sciences /Medicine and Healthcare")+($AP412="Paramedical")+($AP412="Architecture")+($AP412="Environmental Service")+($AP412="Agriculture, Food Industry and Forestry"))&gt;0,"Science",IF((($AP412="Banking and Finance")+($AP412="Management and Administration")+($AP412="Marketing")+($AP412="Sales")+($AP412="Entrepreneurship")+($AP412="Hospitality and Tourism"))&gt;0,"Commerce",IF((($AP412="Social Sciences and Humanities")+($AP412="Law Studies")+($AP412="Education and Training")+($AP412="Art, Design")+($AP412="Entertainment and Mass Media")+($AP412="Community and Social Service")+($AP412="Personal Care and Services")+($AP412="Government and Public Administration")+($AP412="Defence/ Protective Service")+($AP412="Sports"))&gt;0,"Arts / Humanities",""))))</f>
        <v/>
      </c>
      <c r="BC412" s="5" t="str">
        <f aca="false">IF($AL412="","",IF((($AL412="Engineering and Technology")+($AL412="Science and Mathematics")+($AL412="Computer Science, IT and Allied Fields")+($AL412="Life Sciences /Medicine and Healthcare")+($AL412="Paramedical")+($AL412="Architecture")+($AL412="Environmental Service")+($AL412="Agriculture, Food Industry and Forestry"))&gt;0,"Science",IF((($AL412="Banking and Finance")+($AL412="Management and Administration")+($AL412="Marketing")+($AL412="Sales")+($AL412="Entrepreneurship")+($AL412="Hospitality and Tourism"))&gt;0,"Commerce",IF((($AL412="Social Sciences and Humanities")+($AL412="Law Studies")+($AL412="Education and Training")+($AL412="Art, Design")+($AL412="Entertainment and Mass Media")+($AL412="Community and Social Service")+($AL412="Personal Care and Services")+($AL412="Government and Public Administration")+($AL412="Defence/ Protective Service")+($AL412="Sports"))&gt;0,"Arts / Humanities",""))))</f>
        <v/>
      </c>
      <c r="BD412" s="5" t="str">
        <f aca="false">IF($B412="","",--(F412&gt;=10)+--(G412&gt;=10)+--(H412&gt;=10)+--(I412&gt;=10)+--(J412&gt;=10)+--(K412&gt;=10)+--(L412&gt;=10)+--(M412&gt;=10)+--(N412&gt;=10)+--(O412&gt;=10))</f>
        <v/>
      </c>
      <c r="BE412" s="5" t="str">
        <f aca="false">IF($B412="","",--(AND(F412&lt;&gt;"",F412&lt;=8))+--(AND(G412&lt;&gt;"",G412&lt;=8))+--(AND(H412&lt;&gt;"",H412&lt;=8))+--(AND(I412&lt;&gt;"",I412&lt;=8))+--(AND(J412&lt;&gt;"",J412&lt;=8))+--(AND(K412&lt;&gt;"",K412&lt;=8))+--(AND(L412&lt;&gt;"",L412&lt;=8))+--(AND(M412&lt;&gt;"",M412&lt;=8))+--(AND(N412&lt;&gt;"",N412&lt;=8))+--(AND(O412&lt;&gt;"",O412&lt;=8)))</f>
        <v/>
      </c>
    </row>
    <row r="413" customFormat="false" ht="15" hidden="false" customHeight="false" outlineLevel="0" collapsed="false">
      <c r="AZ413" s="5" t="str">
        <f aca="false">IF($B413="","",SUMPRODUCT(($AL413:$AO413&lt;&gt;"")*(COUNTIF($AP413:$AX413,$AL413:$AO413)&gt;0)))</f>
        <v/>
      </c>
      <c r="BA413" s="5" t="str">
        <f aca="false">IF($B413="","",IF(AZ413&gt;0,1,0))</f>
        <v/>
      </c>
      <c r="BB413" s="5" t="str">
        <f aca="false">IF($AP413="","",IF((($AP413="Engineering and Technology")+($AP413="Science and Mathematics")+($AP413="Computer Science, IT and Allied Fields")+($AP413="Life Sciences /Medicine and Healthcare")+($AP413="Paramedical")+($AP413="Architecture")+($AP413="Environmental Service")+($AP413="Agriculture, Food Industry and Forestry"))&gt;0,"Science",IF((($AP413="Banking and Finance")+($AP413="Management and Administration")+($AP413="Marketing")+($AP413="Sales")+($AP413="Entrepreneurship")+($AP413="Hospitality and Tourism"))&gt;0,"Commerce",IF((($AP413="Social Sciences and Humanities")+($AP413="Law Studies")+($AP413="Education and Training")+($AP413="Art, Design")+($AP413="Entertainment and Mass Media")+($AP413="Community and Social Service")+($AP413="Personal Care and Services")+($AP413="Government and Public Administration")+($AP413="Defence/ Protective Service")+($AP413="Sports"))&gt;0,"Arts / Humanities",""))))</f>
        <v/>
      </c>
      <c r="BC413" s="5" t="str">
        <f aca="false">IF($AL413="","",IF((($AL413="Engineering and Technology")+($AL413="Science and Mathematics")+($AL413="Computer Science, IT and Allied Fields")+($AL413="Life Sciences /Medicine and Healthcare")+($AL413="Paramedical")+($AL413="Architecture")+($AL413="Environmental Service")+($AL413="Agriculture, Food Industry and Forestry"))&gt;0,"Science",IF((($AL413="Banking and Finance")+($AL413="Management and Administration")+($AL413="Marketing")+($AL413="Sales")+($AL413="Entrepreneurship")+($AL413="Hospitality and Tourism"))&gt;0,"Commerce",IF((($AL413="Social Sciences and Humanities")+($AL413="Law Studies")+($AL413="Education and Training")+($AL413="Art, Design")+($AL413="Entertainment and Mass Media")+($AL413="Community and Social Service")+($AL413="Personal Care and Services")+($AL413="Government and Public Administration")+($AL413="Defence/ Protective Service")+($AL413="Sports"))&gt;0,"Arts / Humanities",""))))</f>
        <v/>
      </c>
      <c r="BD413" s="5" t="str">
        <f aca="false">IF($B413="","",--(F413&gt;=10)+--(G413&gt;=10)+--(H413&gt;=10)+--(I413&gt;=10)+--(J413&gt;=10)+--(K413&gt;=10)+--(L413&gt;=10)+--(M413&gt;=10)+--(N413&gt;=10)+--(O413&gt;=10))</f>
        <v/>
      </c>
      <c r="BE413" s="5" t="str">
        <f aca="false">IF($B413="","",--(AND(F413&lt;&gt;"",F413&lt;=8))+--(AND(G413&lt;&gt;"",G413&lt;=8))+--(AND(H413&lt;&gt;"",H413&lt;=8))+--(AND(I413&lt;&gt;"",I413&lt;=8))+--(AND(J413&lt;&gt;"",J413&lt;=8))+--(AND(K413&lt;&gt;"",K413&lt;=8))+--(AND(L413&lt;&gt;"",L413&lt;=8))+--(AND(M413&lt;&gt;"",M413&lt;=8))+--(AND(N413&lt;&gt;"",N413&lt;=8))+--(AND(O413&lt;&gt;"",O413&lt;=8)))</f>
        <v/>
      </c>
    </row>
    <row r="414" customFormat="false" ht="15" hidden="false" customHeight="false" outlineLevel="0" collapsed="false">
      <c r="AZ414" s="5" t="str">
        <f aca="false">IF($B414="","",SUMPRODUCT(($AL414:$AO414&lt;&gt;"")*(COUNTIF($AP414:$AX414,$AL414:$AO414)&gt;0)))</f>
        <v/>
      </c>
      <c r="BA414" s="5" t="str">
        <f aca="false">IF($B414="","",IF(AZ414&gt;0,1,0))</f>
        <v/>
      </c>
      <c r="BB414" s="5" t="str">
        <f aca="false">IF($AP414="","",IF((($AP414="Engineering and Technology")+($AP414="Science and Mathematics")+($AP414="Computer Science, IT and Allied Fields")+($AP414="Life Sciences /Medicine and Healthcare")+($AP414="Paramedical")+($AP414="Architecture")+($AP414="Environmental Service")+($AP414="Agriculture, Food Industry and Forestry"))&gt;0,"Science",IF((($AP414="Banking and Finance")+($AP414="Management and Administration")+($AP414="Marketing")+($AP414="Sales")+($AP414="Entrepreneurship")+($AP414="Hospitality and Tourism"))&gt;0,"Commerce",IF((($AP414="Social Sciences and Humanities")+($AP414="Law Studies")+($AP414="Education and Training")+($AP414="Art, Design")+($AP414="Entertainment and Mass Media")+($AP414="Community and Social Service")+($AP414="Personal Care and Services")+($AP414="Government and Public Administration")+($AP414="Defence/ Protective Service")+($AP414="Sports"))&gt;0,"Arts / Humanities",""))))</f>
        <v/>
      </c>
      <c r="BC414" s="5" t="str">
        <f aca="false">IF($AL414="","",IF((($AL414="Engineering and Technology")+($AL414="Science and Mathematics")+($AL414="Computer Science, IT and Allied Fields")+($AL414="Life Sciences /Medicine and Healthcare")+($AL414="Paramedical")+($AL414="Architecture")+($AL414="Environmental Service")+($AL414="Agriculture, Food Industry and Forestry"))&gt;0,"Science",IF((($AL414="Banking and Finance")+($AL414="Management and Administration")+($AL414="Marketing")+($AL414="Sales")+($AL414="Entrepreneurship")+($AL414="Hospitality and Tourism"))&gt;0,"Commerce",IF((($AL414="Social Sciences and Humanities")+($AL414="Law Studies")+($AL414="Education and Training")+($AL414="Art, Design")+($AL414="Entertainment and Mass Media")+($AL414="Community and Social Service")+($AL414="Personal Care and Services")+($AL414="Government and Public Administration")+($AL414="Defence/ Protective Service")+($AL414="Sports"))&gt;0,"Arts / Humanities",""))))</f>
        <v/>
      </c>
      <c r="BD414" s="5" t="str">
        <f aca="false">IF($B414="","",--(F414&gt;=10)+--(G414&gt;=10)+--(H414&gt;=10)+--(I414&gt;=10)+--(J414&gt;=10)+--(K414&gt;=10)+--(L414&gt;=10)+--(M414&gt;=10)+--(N414&gt;=10)+--(O414&gt;=10))</f>
        <v/>
      </c>
      <c r="BE414" s="5" t="str">
        <f aca="false">IF($B414="","",--(AND(F414&lt;&gt;"",F414&lt;=8))+--(AND(G414&lt;&gt;"",G414&lt;=8))+--(AND(H414&lt;&gt;"",H414&lt;=8))+--(AND(I414&lt;&gt;"",I414&lt;=8))+--(AND(J414&lt;&gt;"",J414&lt;=8))+--(AND(K414&lt;&gt;"",K414&lt;=8))+--(AND(L414&lt;&gt;"",L414&lt;=8))+--(AND(M414&lt;&gt;"",M414&lt;=8))+--(AND(N414&lt;&gt;"",N414&lt;=8))+--(AND(O414&lt;&gt;"",O414&lt;=8)))</f>
        <v/>
      </c>
    </row>
    <row r="415" customFormat="false" ht="15" hidden="false" customHeight="false" outlineLevel="0" collapsed="false">
      <c r="AZ415" s="5" t="str">
        <f aca="false">IF($B415="","",SUMPRODUCT(($AL415:$AO415&lt;&gt;"")*(COUNTIF($AP415:$AX415,$AL415:$AO415)&gt;0)))</f>
        <v/>
      </c>
      <c r="BA415" s="5" t="str">
        <f aca="false">IF($B415="","",IF(AZ415&gt;0,1,0))</f>
        <v/>
      </c>
      <c r="BB415" s="5" t="str">
        <f aca="false">IF($AP415="","",IF((($AP415="Engineering and Technology")+($AP415="Science and Mathematics")+($AP415="Computer Science, IT and Allied Fields")+($AP415="Life Sciences /Medicine and Healthcare")+($AP415="Paramedical")+($AP415="Architecture")+($AP415="Environmental Service")+($AP415="Agriculture, Food Industry and Forestry"))&gt;0,"Science",IF((($AP415="Banking and Finance")+($AP415="Management and Administration")+($AP415="Marketing")+($AP415="Sales")+($AP415="Entrepreneurship")+($AP415="Hospitality and Tourism"))&gt;0,"Commerce",IF((($AP415="Social Sciences and Humanities")+($AP415="Law Studies")+($AP415="Education and Training")+($AP415="Art, Design")+($AP415="Entertainment and Mass Media")+($AP415="Community and Social Service")+($AP415="Personal Care and Services")+($AP415="Government and Public Administration")+($AP415="Defence/ Protective Service")+($AP415="Sports"))&gt;0,"Arts / Humanities",""))))</f>
        <v/>
      </c>
      <c r="BC415" s="5" t="str">
        <f aca="false">IF($AL415="","",IF((($AL415="Engineering and Technology")+($AL415="Science and Mathematics")+($AL415="Computer Science, IT and Allied Fields")+($AL415="Life Sciences /Medicine and Healthcare")+($AL415="Paramedical")+($AL415="Architecture")+($AL415="Environmental Service")+($AL415="Agriculture, Food Industry and Forestry"))&gt;0,"Science",IF((($AL415="Banking and Finance")+($AL415="Management and Administration")+($AL415="Marketing")+($AL415="Sales")+($AL415="Entrepreneurship")+($AL415="Hospitality and Tourism"))&gt;0,"Commerce",IF((($AL415="Social Sciences and Humanities")+($AL415="Law Studies")+($AL415="Education and Training")+($AL415="Art, Design")+($AL415="Entertainment and Mass Media")+($AL415="Community and Social Service")+($AL415="Personal Care and Services")+($AL415="Government and Public Administration")+($AL415="Defence/ Protective Service")+($AL415="Sports"))&gt;0,"Arts / Humanities",""))))</f>
        <v/>
      </c>
      <c r="BD415" s="5" t="str">
        <f aca="false">IF($B415="","",--(F415&gt;=10)+--(G415&gt;=10)+--(H415&gt;=10)+--(I415&gt;=10)+--(J415&gt;=10)+--(K415&gt;=10)+--(L415&gt;=10)+--(M415&gt;=10)+--(N415&gt;=10)+--(O415&gt;=10))</f>
        <v/>
      </c>
      <c r="BE415" s="5" t="str">
        <f aca="false">IF($B415="","",--(AND(F415&lt;&gt;"",F415&lt;=8))+--(AND(G415&lt;&gt;"",G415&lt;=8))+--(AND(H415&lt;&gt;"",H415&lt;=8))+--(AND(I415&lt;&gt;"",I415&lt;=8))+--(AND(J415&lt;&gt;"",J415&lt;=8))+--(AND(K415&lt;&gt;"",K415&lt;=8))+--(AND(L415&lt;&gt;"",L415&lt;=8))+--(AND(M415&lt;&gt;"",M415&lt;=8))+--(AND(N415&lt;&gt;"",N415&lt;=8))+--(AND(O415&lt;&gt;"",O415&lt;=8)))</f>
        <v/>
      </c>
    </row>
    <row r="416" customFormat="false" ht="15" hidden="false" customHeight="false" outlineLevel="0" collapsed="false">
      <c r="AZ416" s="5" t="str">
        <f aca="false">IF($B416="","",SUMPRODUCT(($AL416:$AO416&lt;&gt;"")*(COUNTIF($AP416:$AX416,$AL416:$AO416)&gt;0)))</f>
        <v/>
      </c>
      <c r="BA416" s="5" t="str">
        <f aca="false">IF($B416="","",IF(AZ416&gt;0,1,0))</f>
        <v/>
      </c>
      <c r="BB416" s="5" t="str">
        <f aca="false">IF($AP416="","",IF((($AP416="Engineering and Technology")+($AP416="Science and Mathematics")+($AP416="Computer Science, IT and Allied Fields")+($AP416="Life Sciences /Medicine and Healthcare")+($AP416="Paramedical")+($AP416="Architecture")+($AP416="Environmental Service")+($AP416="Agriculture, Food Industry and Forestry"))&gt;0,"Science",IF((($AP416="Banking and Finance")+($AP416="Management and Administration")+($AP416="Marketing")+($AP416="Sales")+($AP416="Entrepreneurship")+($AP416="Hospitality and Tourism"))&gt;0,"Commerce",IF((($AP416="Social Sciences and Humanities")+($AP416="Law Studies")+($AP416="Education and Training")+($AP416="Art, Design")+($AP416="Entertainment and Mass Media")+($AP416="Community and Social Service")+($AP416="Personal Care and Services")+($AP416="Government and Public Administration")+($AP416="Defence/ Protective Service")+($AP416="Sports"))&gt;0,"Arts / Humanities",""))))</f>
        <v/>
      </c>
      <c r="BC416" s="5" t="str">
        <f aca="false">IF($AL416="","",IF((($AL416="Engineering and Technology")+($AL416="Science and Mathematics")+($AL416="Computer Science, IT and Allied Fields")+($AL416="Life Sciences /Medicine and Healthcare")+($AL416="Paramedical")+($AL416="Architecture")+($AL416="Environmental Service")+($AL416="Agriculture, Food Industry and Forestry"))&gt;0,"Science",IF((($AL416="Banking and Finance")+($AL416="Management and Administration")+($AL416="Marketing")+($AL416="Sales")+($AL416="Entrepreneurship")+($AL416="Hospitality and Tourism"))&gt;0,"Commerce",IF((($AL416="Social Sciences and Humanities")+($AL416="Law Studies")+($AL416="Education and Training")+($AL416="Art, Design")+($AL416="Entertainment and Mass Media")+($AL416="Community and Social Service")+($AL416="Personal Care and Services")+($AL416="Government and Public Administration")+($AL416="Defence/ Protective Service")+($AL416="Sports"))&gt;0,"Arts / Humanities",""))))</f>
        <v/>
      </c>
      <c r="BD416" s="5" t="str">
        <f aca="false">IF($B416="","",--(F416&gt;=10)+--(G416&gt;=10)+--(H416&gt;=10)+--(I416&gt;=10)+--(J416&gt;=10)+--(K416&gt;=10)+--(L416&gt;=10)+--(M416&gt;=10)+--(N416&gt;=10)+--(O416&gt;=10))</f>
        <v/>
      </c>
      <c r="BE416" s="5" t="str">
        <f aca="false">IF($B416="","",--(AND(F416&lt;&gt;"",F416&lt;=8))+--(AND(G416&lt;&gt;"",G416&lt;=8))+--(AND(H416&lt;&gt;"",H416&lt;=8))+--(AND(I416&lt;&gt;"",I416&lt;=8))+--(AND(J416&lt;&gt;"",J416&lt;=8))+--(AND(K416&lt;&gt;"",K416&lt;=8))+--(AND(L416&lt;&gt;"",L416&lt;=8))+--(AND(M416&lt;&gt;"",M416&lt;=8))+--(AND(N416&lt;&gt;"",N416&lt;=8))+--(AND(O416&lt;&gt;"",O416&lt;=8)))</f>
        <v/>
      </c>
    </row>
    <row r="417" customFormat="false" ht="15" hidden="false" customHeight="false" outlineLevel="0" collapsed="false">
      <c r="AZ417" s="5" t="str">
        <f aca="false">IF($B417="","",SUMPRODUCT(($AL417:$AO417&lt;&gt;"")*(COUNTIF($AP417:$AX417,$AL417:$AO417)&gt;0)))</f>
        <v/>
      </c>
      <c r="BA417" s="5" t="str">
        <f aca="false">IF($B417="","",IF(AZ417&gt;0,1,0))</f>
        <v/>
      </c>
      <c r="BB417" s="5" t="str">
        <f aca="false">IF($AP417="","",IF((($AP417="Engineering and Technology")+($AP417="Science and Mathematics")+($AP417="Computer Science, IT and Allied Fields")+($AP417="Life Sciences /Medicine and Healthcare")+($AP417="Paramedical")+($AP417="Architecture")+($AP417="Environmental Service")+($AP417="Agriculture, Food Industry and Forestry"))&gt;0,"Science",IF((($AP417="Banking and Finance")+($AP417="Management and Administration")+($AP417="Marketing")+($AP417="Sales")+($AP417="Entrepreneurship")+($AP417="Hospitality and Tourism"))&gt;0,"Commerce",IF((($AP417="Social Sciences and Humanities")+($AP417="Law Studies")+($AP417="Education and Training")+($AP417="Art, Design")+($AP417="Entertainment and Mass Media")+($AP417="Community and Social Service")+($AP417="Personal Care and Services")+($AP417="Government and Public Administration")+($AP417="Defence/ Protective Service")+($AP417="Sports"))&gt;0,"Arts / Humanities",""))))</f>
        <v/>
      </c>
      <c r="BC417" s="5" t="str">
        <f aca="false">IF($AL417="","",IF((($AL417="Engineering and Technology")+($AL417="Science and Mathematics")+($AL417="Computer Science, IT and Allied Fields")+($AL417="Life Sciences /Medicine and Healthcare")+($AL417="Paramedical")+($AL417="Architecture")+($AL417="Environmental Service")+($AL417="Agriculture, Food Industry and Forestry"))&gt;0,"Science",IF((($AL417="Banking and Finance")+($AL417="Management and Administration")+($AL417="Marketing")+($AL417="Sales")+($AL417="Entrepreneurship")+($AL417="Hospitality and Tourism"))&gt;0,"Commerce",IF((($AL417="Social Sciences and Humanities")+($AL417="Law Studies")+($AL417="Education and Training")+($AL417="Art, Design")+($AL417="Entertainment and Mass Media")+($AL417="Community and Social Service")+($AL417="Personal Care and Services")+($AL417="Government and Public Administration")+($AL417="Defence/ Protective Service")+($AL417="Sports"))&gt;0,"Arts / Humanities",""))))</f>
        <v/>
      </c>
      <c r="BD417" s="5" t="str">
        <f aca="false">IF($B417="","",--(F417&gt;=10)+--(G417&gt;=10)+--(H417&gt;=10)+--(I417&gt;=10)+--(J417&gt;=10)+--(K417&gt;=10)+--(L417&gt;=10)+--(M417&gt;=10)+--(N417&gt;=10)+--(O417&gt;=10))</f>
        <v/>
      </c>
      <c r="BE417" s="5" t="str">
        <f aca="false">IF($B417="","",--(AND(F417&lt;&gt;"",F417&lt;=8))+--(AND(G417&lt;&gt;"",G417&lt;=8))+--(AND(H417&lt;&gt;"",H417&lt;=8))+--(AND(I417&lt;&gt;"",I417&lt;=8))+--(AND(J417&lt;&gt;"",J417&lt;=8))+--(AND(K417&lt;&gt;"",K417&lt;=8))+--(AND(L417&lt;&gt;"",L417&lt;=8))+--(AND(M417&lt;&gt;"",M417&lt;=8))+--(AND(N417&lt;&gt;"",N417&lt;=8))+--(AND(O417&lt;&gt;"",O417&lt;=8)))</f>
        <v/>
      </c>
    </row>
    <row r="418" customFormat="false" ht="15" hidden="false" customHeight="false" outlineLevel="0" collapsed="false">
      <c r="AZ418" s="5" t="str">
        <f aca="false">IF($B418="","",SUMPRODUCT(($AL418:$AO418&lt;&gt;"")*(COUNTIF($AP418:$AX418,$AL418:$AO418)&gt;0)))</f>
        <v/>
      </c>
      <c r="BA418" s="5" t="str">
        <f aca="false">IF($B418="","",IF(AZ418&gt;0,1,0))</f>
        <v/>
      </c>
      <c r="BB418" s="5" t="str">
        <f aca="false">IF($AP418="","",IF((($AP418="Engineering and Technology")+($AP418="Science and Mathematics")+($AP418="Computer Science, IT and Allied Fields")+($AP418="Life Sciences /Medicine and Healthcare")+($AP418="Paramedical")+($AP418="Architecture")+($AP418="Environmental Service")+($AP418="Agriculture, Food Industry and Forestry"))&gt;0,"Science",IF((($AP418="Banking and Finance")+($AP418="Management and Administration")+($AP418="Marketing")+($AP418="Sales")+($AP418="Entrepreneurship")+($AP418="Hospitality and Tourism"))&gt;0,"Commerce",IF((($AP418="Social Sciences and Humanities")+($AP418="Law Studies")+($AP418="Education and Training")+($AP418="Art, Design")+($AP418="Entertainment and Mass Media")+($AP418="Community and Social Service")+($AP418="Personal Care and Services")+($AP418="Government and Public Administration")+($AP418="Defence/ Protective Service")+($AP418="Sports"))&gt;0,"Arts / Humanities",""))))</f>
        <v/>
      </c>
      <c r="BC418" s="5" t="str">
        <f aca="false">IF($AL418="","",IF((($AL418="Engineering and Technology")+($AL418="Science and Mathematics")+($AL418="Computer Science, IT and Allied Fields")+($AL418="Life Sciences /Medicine and Healthcare")+($AL418="Paramedical")+($AL418="Architecture")+($AL418="Environmental Service")+($AL418="Agriculture, Food Industry and Forestry"))&gt;0,"Science",IF((($AL418="Banking and Finance")+($AL418="Management and Administration")+($AL418="Marketing")+($AL418="Sales")+($AL418="Entrepreneurship")+($AL418="Hospitality and Tourism"))&gt;0,"Commerce",IF((($AL418="Social Sciences and Humanities")+($AL418="Law Studies")+($AL418="Education and Training")+($AL418="Art, Design")+($AL418="Entertainment and Mass Media")+($AL418="Community and Social Service")+($AL418="Personal Care and Services")+($AL418="Government and Public Administration")+($AL418="Defence/ Protective Service")+($AL418="Sports"))&gt;0,"Arts / Humanities",""))))</f>
        <v/>
      </c>
      <c r="BD418" s="5" t="str">
        <f aca="false">IF($B418="","",--(F418&gt;=10)+--(G418&gt;=10)+--(H418&gt;=10)+--(I418&gt;=10)+--(J418&gt;=10)+--(K418&gt;=10)+--(L418&gt;=10)+--(M418&gt;=10)+--(N418&gt;=10)+--(O418&gt;=10))</f>
        <v/>
      </c>
      <c r="BE418" s="5" t="str">
        <f aca="false">IF($B418="","",--(AND(F418&lt;&gt;"",F418&lt;=8))+--(AND(G418&lt;&gt;"",G418&lt;=8))+--(AND(H418&lt;&gt;"",H418&lt;=8))+--(AND(I418&lt;&gt;"",I418&lt;=8))+--(AND(J418&lt;&gt;"",J418&lt;=8))+--(AND(K418&lt;&gt;"",K418&lt;=8))+--(AND(L418&lt;&gt;"",L418&lt;=8))+--(AND(M418&lt;&gt;"",M418&lt;=8))+--(AND(N418&lt;&gt;"",N418&lt;=8))+--(AND(O418&lt;&gt;"",O418&lt;=8)))</f>
        <v/>
      </c>
    </row>
    <row r="419" customFormat="false" ht="15" hidden="false" customHeight="false" outlineLevel="0" collapsed="false">
      <c r="AZ419" s="5" t="str">
        <f aca="false">IF($B419="","",SUMPRODUCT(($AL419:$AO419&lt;&gt;"")*(COUNTIF($AP419:$AX419,$AL419:$AO419)&gt;0)))</f>
        <v/>
      </c>
      <c r="BA419" s="5" t="str">
        <f aca="false">IF($B419="","",IF(AZ419&gt;0,1,0))</f>
        <v/>
      </c>
      <c r="BB419" s="5" t="str">
        <f aca="false">IF($AP419="","",IF((($AP419="Engineering and Technology")+($AP419="Science and Mathematics")+($AP419="Computer Science, IT and Allied Fields")+($AP419="Life Sciences /Medicine and Healthcare")+($AP419="Paramedical")+($AP419="Architecture")+($AP419="Environmental Service")+($AP419="Agriculture, Food Industry and Forestry"))&gt;0,"Science",IF((($AP419="Banking and Finance")+($AP419="Management and Administration")+($AP419="Marketing")+($AP419="Sales")+($AP419="Entrepreneurship")+($AP419="Hospitality and Tourism"))&gt;0,"Commerce",IF((($AP419="Social Sciences and Humanities")+($AP419="Law Studies")+($AP419="Education and Training")+($AP419="Art, Design")+($AP419="Entertainment and Mass Media")+($AP419="Community and Social Service")+($AP419="Personal Care and Services")+($AP419="Government and Public Administration")+($AP419="Defence/ Protective Service")+($AP419="Sports"))&gt;0,"Arts / Humanities",""))))</f>
        <v/>
      </c>
      <c r="BC419" s="5" t="str">
        <f aca="false">IF($AL419="","",IF((($AL419="Engineering and Technology")+($AL419="Science and Mathematics")+($AL419="Computer Science, IT and Allied Fields")+($AL419="Life Sciences /Medicine and Healthcare")+($AL419="Paramedical")+($AL419="Architecture")+($AL419="Environmental Service")+($AL419="Agriculture, Food Industry and Forestry"))&gt;0,"Science",IF((($AL419="Banking and Finance")+($AL419="Management and Administration")+($AL419="Marketing")+($AL419="Sales")+($AL419="Entrepreneurship")+($AL419="Hospitality and Tourism"))&gt;0,"Commerce",IF((($AL419="Social Sciences and Humanities")+($AL419="Law Studies")+($AL419="Education and Training")+($AL419="Art, Design")+($AL419="Entertainment and Mass Media")+($AL419="Community and Social Service")+($AL419="Personal Care and Services")+($AL419="Government and Public Administration")+($AL419="Defence/ Protective Service")+($AL419="Sports"))&gt;0,"Arts / Humanities",""))))</f>
        <v/>
      </c>
      <c r="BD419" s="5" t="str">
        <f aca="false">IF($B419="","",--(F419&gt;=10)+--(G419&gt;=10)+--(H419&gt;=10)+--(I419&gt;=10)+--(J419&gt;=10)+--(K419&gt;=10)+--(L419&gt;=10)+--(M419&gt;=10)+--(N419&gt;=10)+--(O419&gt;=10))</f>
        <v/>
      </c>
      <c r="BE419" s="5" t="str">
        <f aca="false">IF($B419="","",--(AND(F419&lt;&gt;"",F419&lt;=8))+--(AND(G419&lt;&gt;"",G419&lt;=8))+--(AND(H419&lt;&gt;"",H419&lt;=8))+--(AND(I419&lt;&gt;"",I419&lt;=8))+--(AND(J419&lt;&gt;"",J419&lt;=8))+--(AND(K419&lt;&gt;"",K419&lt;=8))+--(AND(L419&lt;&gt;"",L419&lt;=8))+--(AND(M419&lt;&gt;"",M419&lt;=8))+--(AND(N419&lt;&gt;"",N419&lt;=8))+--(AND(O419&lt;&gt;"",O419&lt;=8)))</f>
        <v/>
      </c>
    </row>
    <row r="420" customFormat="false" ht="15" hidden="false" customHeight="false" outlineLevel="0" collapsed="false">
      <c r="AZ420" s="5" t="str">
        <f aca="false">IF($B420="","",SUMPRODUCT(($AL420:$AO420&lt;&gt;"")*(COUNTIF($AP420:$AX420,$AL420:$AO420)&gt;0)))</f>
        <v/>
      </c>
      <c r="BA420" s="5" t="str">
        <f aca="false">IF($B420="","",IF(AZ420&gt;0,1,0))</f>
        <v/>
      </c>
      <c r="BB420" s="5" t="str">
        <f aca="false">IF($AP420="","",IF((($AP420="Engineering and Technology")+($AP420="Science and Mathematics")+($AP420="Computer Science, IT and Allied Fields")+($AP420="Life Sciences /Medicine and Healthcare")+($AP420="Paramedical")+($AP420="Architecture")+($AP420="Environmental Service")+($AP420="Agriculture, Food Industry and Forestry"))&gt;0,"Science",IF((($AP420="Banking and Finance")+($AP420="Management and Administration")+($AP420="Marketing")+($AP420="Sales")+($AP420="Entrepreneurship")+($AP420="Hospitality and Tourism"))&gt;0,"Commerce",IF((($AP420="Social Sciences and Humanities")+($AP420="Law Studies")+($AP420="Education and Training")+($AP420="Art, Design")+($AP420="Entertainment and Mass Media")+($AP420="Community and Social Service")+($AP420="Personal Care and Services")+($AP420="Government and Public Administration")+($AP420="Defence/ Protective Service")+($AP420="Sports"))&gt;0,"Arts / Humanities",""))))</f>
        <v/>
      </c>
      <c r="BC420" s="5" t="str">
        <f aca="false">IF($AL420="","",IF((($AL420="Engineering and Technology")+($AL420="Science and Mathematics")+($AL420="Computer Science, IT and Allied Fields")+($AL420="Life Sciences /Medicine and Healthcare")+($AL420="Paramedical")+($AL420="Architecture")+($AL420="Environmental Service")+($AL420="Agriculture, Food Industry and Forestry"))&gt;0,"Science",IF((($AL420="Banking and Finance")+($AL420="Management and Administration")+($AL420="Marketing")+($AL420="Sales")+($AL420="Entrepreneurship")+($AL420="Hospitality and Tourism"))&gt;0,"Commerce",IF((($AL420="Social Sciences and Humanities")+($AL420="Law Studies")+($AL420="Education and Training")+($AL420="Art, Design")+($AL420="Entertainment and Mass Media")+($AL420="Community and Social Service")+($AL420="Personal Care and Services")+($AL420="Government and Public Administration")+($AL420="Defence/ Protective Service")+($AL420="Sports"))&gt;0,"Arts / Humanities",""))))</f>
        <v/>
      </c>
      <c r="BD420" s="5" t="str">
        <f aca="false">IF($B420="","",--(F420&gt;=10)+--(G420&gt;=10)+--(H420&gt;=10)+--(I420&gt;=10)+--(J420&gt;=10)+--(K420&gt;=10)+--(L420&gt;=10)+--(M420&gt;=10)+--(N420&gt;=10)+--(O420&gt;=10))</f>
        <v/>
      </c>
      <c r="BE420" s="5" t="str">
        <f aca="false">IF($B420="","",--(AND(F420&lt;&gt;"",F420&lt;=8))+--(AND(G420&lt;&gt;"",G420&lt;=8))+--(AND(H420&lt;&gt;"",H420&lt;=8))+--(AND(I420&lt;&gt;"",I420&lt;=8))+--(AND(J420&lt;&gt;"",J420&lt;=8))+--(AND(K420&lt;&gt;"",K420&lt;=8))+--(AND(L420&lt;&gt;"",L420&lt;=8))+--(AND(M420&lt;&gt;"",M420&lt;=8))+--(AND(N420&lt;&gt;"",N420&lt;=8))+--(AND(O420&lt;&gt;"",O420&lt;=8)))</f>
        <v/>
      </c>
    </row>
    <row r="421" customFormat="false" ht="15" hidden="false" customHeight="false" outlineLevel="0" collapsed="false">
      <c r="AZ421" s="5" t="str">
        <f aca="false">IF($B421="","",SUMPRODUCT(($AL421:$AO421&lt;&gt;"")*(COUNTIF($AP421:$AX421,$AL421:$AO421)&gt;0)))</f>
        <v/>
      </c>
      <c r="BA421" s="5" t="str">
        <f aca="false">IF($B421="","",IF(AZ421&gt;0,1,0))</f>
        <v/>
      </c>
      <c r="BB421" s="5" t="str">
        <f aca="false">IF($AP421="","",IF((($AP421="Engineering and Technology")+($AP421="Science and Mathematics")+($AP421="Computer Science, IT and Allied Fields")+($AP421="Life Sciences /Medicine and Healthcare")+($AP421="Paramedical")+($AP421="Architecture")+($AP421="Environmental Service")+($AP421="Agriculture, Food Industry and Forestry"))&gt;0,"Science",IF((($AP421="Banking and Finance")+($AP421="Management and Administration")+($AP421="Marketing")+($AP421="Sales")+($AP421="Entrepreneurship")+($AP421="Hospitality and Tourism"))&gt;0,"Commerce",IF((($AP421="Social Sciences and Humanities")+($AP421="Law Studies")+($AP421="Education and Training")+($AP421="Art, Design")+($AP421="Entertainment and Mass Media")+($AP421="Community and Social Service")+($AP421="Personal Care and Services")+($AP421="Government and Public Administration")+($AP421="Defence/ Protective Service")+($AP421="Sports"))&gt;0,"Arts / Humanities",""))))</f>
        <v/>
      </c>
      <c r="BC421" s="5" t="str">
        <f aca="false">IF($AL421="","",IF((($AL421="Engineering and Technology")+($AL421="Science and Mathematics")+($AL421="Computer Science, IT and Allied Fields")+($AL421="Life Sciences /Medicine and Healthcare")+($AL421="Paramedical")+($AL421="Architecture")+($AL421="Environmental Service")+($AL421="Agriculture, Food Industry and Forestry"))&gt;0,"Science",IF((($AL421="Banking and Finance")+($AL421="Management and Administration")+($AL421="Marketing")+($AL421="Sales")+($AL421="Entrepreneurship")+($AL421="Hospitality and Tourism"))&gt;0,"Commerce",IF((($AL421="Social Sciences and Humanities")+($AL421="Law Studies")+($AL421="Education and Training")+($AL421="Art, Design")+($AL421="Entertainment and Mass Media")+($AL421="Community and Social Service")+($AL421="Personal Care and Services")+($AL421="Government and Public Administration")+($AL421="Defence/ Protective Service")+($AL421="Sports"))&gt;0,"Arts / Humanities",""))))</f>
        <v/>
      </c>
      <c r="BD421" s="5" t="str">
        <f aca="false">IF($B421="","",--(F421&gt;=10)+--(G421&gt;=10)+--(H421&gt;=10)+--(I421&gt;=10)+--(J421&gt;=10)+--(K421&gt;=10)+--(L421&gt;=10)+--(M421&gt;=10)+--(N421&gt;=10)+--(O421&gt;=10))</f>
        <v/>
      </c>
      <c r="BE421" s="5" t="str">
        <f aca="false">IF($B421="","",--(AND(F421&lt;&gt;"",F421&lt;=8))+--(AND(G421&lt;&gt;"",G421&lt;=8))+--(AND(H421&lt;&gt;"",H421&lt;=8))+--(AND(I421&lt;&gt;"",I421&lt;=8))+--(AND(J421&lt;&gt;"",J421&lt;=8))+--(AND(K421&lt;&gt;"",K421&lt;=8))+--(AND(L421&lt;&gt;"",L421&lt;=8))+--(AND(M421&lt;&gt;"",M421&lt;=8))+--(AND(N421&lt;&gt;"",N421&lt;=8))+--(AND(O421&lt;&gt;"",O421&lt;=8)))</f>
        <v/>
      </c>
    </row>
    <row r="422" customFormat="false" ht="15" hidden="false" customHeight="false" outlineLevel="0" collapsed="false">
      <c r="AZ422" s="5" t="str">
        <f aca="false">IF($B422="","",SUMPRODUCT(($AL422:$AO422&lt;&gt;"")*(COUNTIF($AP422:$AX422,$AL422:$AO422)&gt;0)))</f>
        <v/>
      </c>
      <c r="BA422" s="5" t="str">
        <f aca="false">IF($B422="","",IF(AZ422&gt;0,1,0))</f>
        <v/>
      </c>
      <c r="BB422" s="5" t="str">
        <f aca="false">IF($AP422="","",IF((($AP422="Engineering and Technology")+($AP422="Science and Mathematics")+($AP422="Computer Science, IT and Allied Fields")+($AP422="Life Sciences /Medicine and Healthcare")+($AP422="Paramedical")+($AP422="Architecture")+($AP422="Environmental Service")+($AP422="Agriculture, Food Industry and Forestry"))&gt;0,"Science",IF((($AP422="Banking and Finance")+($AP422="Management and Administration")+($AP422="Marketing")+($AP422="Sales")+($AP422="Entrepreneurship")+($AP422="Hospitality and Tourism"))&gt;0,"Commerce",IF((($AP422="Social Sciences and Humanities")+($AP422="Law Studies")+($AP422="Education and Training")+($AP422="Art, Design")+($AP422="Entertainment and Mass Media")+($AP422="Community and Social Service")+($AP422="Personal Care and Services")+($AP422="Government and Public Administration")+($AP422="Defence/ Protective Service")+($AP422="Sports"))&gt;0,"Arts / Humanities",""))))</f>
        <v/>
      </c>
      <c r="BC422" s="5" t="str">
        <f aca="false">IF($AL422="","",IF((($AL422="Engineering and Technology")+($AL422="Science and Mathematics")+($AL422="Computer Science, IT and Allied Fields")+($AL422="Life Sciences /Medicine and Healthcare")+($AL422="Paramedical")+($AL422="Architecture")+($AL422="Environmental Service")+($AL422="Agriculture, Food Industry and Forestry"))&gt;0,"Science",IF((($AL422="Banking and Finance")+($AL422="Management and Administration")+($AL422="Marketing")+($AL422="Sales")+($AL422="Entrepreneurship")+($AL422="Hospitality and Tourism"))&gt;0,"Commerce",IF((($AL422="Social Sciences and Humanities")+($AL422="Law Studies")+($AL422="Education and Training")+($AL422="Art, Design")+($AL422="Entertainment and Mass Media")+($AL422="Community and Social Service")+($AL422="Personal Care and Services")+($AL422="Government and Public Administration")+($AL422="Defence/ Protective Service")+($AL422="Sports"))&gt;0,"Arts / Humanities",""))))</f>
        <v/>
      </c>
      <c r="BD422" s="5" t="str">
        <f aca="false">IF($B422="","",--(F422&gt;=10)+--(G422&gt;=10)+--(H422&gt;=10)+--(I422&gt;=10)+--(J422&gt;=10)+--(K422&gt;=10)+--(L422&gt;=10)+--(M422&gt;=10)+--(N422&gt;=10)+--(O422&gt;=10))</f>
        <v/>
      </c>
      <c r="BE422" s="5" t="str">
        <f aca="false">IF($B422="","",--(AND(F422&lt;&gt;"",F422&lt;=8))+--(AND(G422&lt;&gt;"",G422&lt;=8))+--(AND(H422&lt;&gt;"",H422&lt;=8))+--(AND(I422&lt;&gt;"",I422&lt;=8))+--(AND(J422&lt;&gt;"",J422&lt;=8))+--(AND(K422&lt;&gt;"",K422&lt;=8))+--(AND(L422&lt;&gt;"",L422&lt;=8))+--(AND(M422&lt;&gt;"",M422&lt;=8))+--(AND(N422&lt;&gt;"",N422&lt;=8))+--(AND(O422&lt;&gt;"",O422&lt;=8)))</f>
        <v/>
      </c>
    </row>
    <row r="423" customFormat="false" ht="15" hidden="false" customHeight="false" outlineLevel="0" collapsed="false">
      <c r="AZ423" s="5" t="str">
        <f aca="false">IF($B423="","",SUMPRODUCT(($AL423:$AO423&lt;&gt;"")*(COUNTIF($AP423:$AX423,$AL423:$AO423)&gt;0)))</f>
        <v/>
      </c>
      <c r="BA423" s="5" t="str">
        <f aca="false">IF($B423="","",IF(AZ423&gt;0,1,0))</f>
        <v/>
      </c>
      <c r="BB423" s="5" t="str">
        <f aca="false">IF($AP423="","",IF((($AP423="Engineering and Technology")+($AP423="Science and Mathematics")+($AP423="Computer Science, IT and Allied Fields")+($AP423="Life Sciences /Medicine and Healthcare")+($AP423="Paramedical")+($AP423="Architecture")+($AP423="Environmental Service")+($AP423="Agriculture, Food Industry and Forestry"))&gt;0,"Science",IF((($AP423="Banking and Finance")+($AP423="Management and Administration")+($AP423="Marketing")+($AP423="Sales")+($AP423="Entrepreneurship")+($AP423="Hospitality and Tourism"))&gt;0,"Commerce",IF((($AP423="Social Sciences and Humanities")+($AP423="Law Studies")+($AP423="Education and Training")+($AP423="Art, Design")+($AP423="Entertainment and Mass Media")+($AP423="Community and Social Service")+($AP423="Personal Care and Services")+($AP423="Government and Public Administration")+($AP423="Defence/ Protective Service")+($AP423="Sports"))&gt;0,"Arts / Humanities",""))))</f>
        <v/>
      </c>
      <c r="BC423" s="5" t="str">
        <f aca="false">IF($AL423="","",IF((($AL423="Engineering and Technology")+($AL423="Science and Mathematics")+($AL423="Computer Science, IT and Allied Fields")+($AL423="Life Sciences /Medicine and Healthcare")+($AL423="Paramedical")+($AL423="Architecture")+($AL423="Environmental Service")+($AL423="Agriculture, Food Industry and Forestry"))&gt;0,"Science",IF((($AL423="Banking and Finance")+($AL423="Management and Administration")+($AL423="Marketing")+($AL423="Sales")+($AL423="Entrepreneurship")+($AL423="Hospitality and Tourism"))&gt;0,"Commerce",IF((($AL423="Social Sciences and Humanities")+($AL423="Law Studies")+($AL423="Education and Training")+($AL423="Art, Design")+($AL423="Entertainment and Mass Media")+($AL423="Community and Social Service")+($AL423="Personal Care and Services")+($AL423="Government and Public Administration")+($AL423="Defence/ Protective Service")+($AL423="Sports"))&gt;0,"Arts / Humanities",""))))</f>
        <v/>
      </c>
      <c r="BD423" s="5" t="str">
        <f aca="false">IF($B423="","",--(F423&gt;=10)+--(G423&gt;=10)+--(H423&gt;=10)+--(I423&gt;=10)+--(J423&gt;=10)+--(K423&gt;=10)+--(L423&gt;=10)+--(M423&gt;=10)+--(N423&gt;=10)+--(O423&gt;=10))</f>
        <v/>
      </c>
      <c r="BE423" s="5" t="str">
        <f aca="false">IF($B423="","",--(AND(F423&lt;&gt;"",F423&lt;=8))+--(AND(G423&lt;&gt;"",G423&lt;=8))+--(AND(H423&lt;&gt;"",H423&lt;=8))+--(AND(I423&lt;&gt;"",I423&lt;=8))+--(AND(J423&lt;&gt;"",J423&lt;=8))+--(AND(K423&lt;&gt;"",K423&lt;=8))+--(AND(L423&lt;&gt;"",L423&lt;=8))+--(AND(M423&lt;&gt;"",M423&lt;=8))+--(AND(N423&lt;&gt;"",N423&lt;=8))+--(AND(O423&lt;&gt;"",O423&lt;=8)))</f>
        <v/>
      </c>
    </row>
    <row r="424" customFormat="false" ht="15" hidden="false" customHeight="false" outlineLevel="0" collapsed="false">
      <c r="AZ424" s="5" t="str">
        <f aca="false">IF($B424="","",SUMPRODUCT(($AL424:$AO424&lt;&gt;"")*(COUNTIF($AP424:$AX424,$AL424:$AO424)&gt;0)))</f>
        <v/>
      </c>
      <c r="BA424" s="5" t="str">
        <f aca="false">IF($B424="","",IF(AZ424&gt;0,1,0))</f>
        <v/>
      </c>
      <c r="BB424" s="5" t="str">
        <f aca="false">IF($AP424="","",IF((($AP424="Engineering and Technology")+($AP424="Science and Mathematics")+($AP424="Computer Science, IT and Allied Fields")+($AP424="Life Sciences /Medicine and Healthcare")+($AP424="Paramedical")+($AP424="Architecture")+($AP424="Environmental Service")+($AP424="Agriculture, Food Industry and Forestry"))&gt;0,"Science",IF((($AP424="Banking and Finance")+($AP424="Management and Administration")+($AP424="Marketing")+($AP424="Sales")+($AP424="Entrepreneurship")+($AP424="Hospitality and Tourism"))&gt;0,"Commerce",IF((($AP424="Social Sciences and Humanities")+($AP424="Law Studies")+($AP424="Education and Training")+($AP424="Art, Design")+($AP424="Entertainment and Mass Media")+($AP424="Community and Social Service")+($AP424="Personal Care and Services")+($AP424="Government and Public Administration")+($AP424="Defence/ Protective Service")+($AP424="Sports"))&gt;0,"Arts / Humanities",""))))</f>
        <v/>
      </c>
      <c r="BC424" s="5" t="str">
        <f aca="false">IF($AL424="","",IF((($AL424="Engineering and Technology")+($AL424="Science and Mathematics")+($AL424="Computer Science, IT and Allied Fields")+($AL424="Life Sciences /Medicine and Healthcare")+($AL424="Paramedical")+($AL424="Architecture")+($AL424="Environmental Service")+($AL424="Agriculture, Food Industry and Forestry"))&gt;0,"Science",IF((($AL424="Banking and Finance")+($AL424="Management and Administration")+($AL424="Marketing")+($AL424="Sales")+($AL424="Entrepreneurship")+($AL424="Hospitality and Tourism"))&gt;0,"Commerce",IF((($AL424="Social Sciences and Humanities")+($AL424="Law Studies")+($AL424="Education and Training")+($AL424="Art, Design")+($AL424="Entertainment and Mass Media")+($AL424="Community and Social Service")+($AL424="Personal Care and Services")+($AL424="Government and Public Administration")+($AL424="Defence/ Protective Service")+($AL424="Sports"))&gt;0,"Arts / Humanities",""))))</f>
        <v/>
      </c>
      <c r="BD424" s="5" t="str">
        <f aca="false">IF($B424="","",--(F424&gt;=10)+--(G424&gt;=10)+--(H424&gt;=10)+--(I424&gt;=10)+--(J424&gt;=10)+--(K424&gt;=10)+--(L424&gt;=10)+--(M424&gt;=10)+--(N424&gt;=10)+--(O424&gt;=10))</f>
        <v/>
      </c>
      <c r="BE424" s="5" t="str">
        <f aca="false">IF($B424="","",--(AND(F424&lt;&gt;"",F424&lt;=8))+--(AND(G424&lt;&gt;"",G424&lt;=8))+--(AND(H424&lt;&gt;"",H424&lt;=8))+--(AND(I424&lt;&gt;"",I424&lt;=8))+--(AND(J424&lt;&gt;"",J424&lt;=8))+--(AND(K424&lt;&gt;"",K424&lt;=8))+--(AND(L424&lt;&gt;"",L424&lt;=8))+--(AND(M424&lt;&gt;"",M424&lt;=8))+--(AND(N424&lt;&gt;"",N424&lt;=8))+--(AND(O424&lt;&gt;"",O424&lt;=8)))</f>
        <v/>
      </c>
    </row>
    <row r="425" customFormat="false" ht="15" hidden="false" customHeight="false" outlineLevel="0" collapsed="false">
      <c r="AZ425" s="5" t="str">
        <f aca="false">IF($B425="","",SUMPRODUCT(($AL425:$AO425&lt;&gt;"")*(COUNTIF($AP425:$AX425,$AL425:$AO425)&gt;0)))</f>
        <v/>
      </c>
      <c r="BA425" s="5" t="str">
        <f aca="false">IF($B425="","",IF(AZ425&gt;0,1,0))</f>
        <v/>
      </c>
      <c r="BB425" s="5" t="str">
        <f aca="false">IF($AP425="","",IF((($AP425="Engineering and Technology")+($AP425="Science and Mathematics")+($AP425="Computer Science, IT and Allied Fields")+($AP425="Life Sciences /Medicine and Healthcare")+($AP425="Paramedical")+($AP425="Architecture")+($AP425="Environmental Service")+($AP425="Agriculture, Food Industry and Forestry"))&gt;0,"Science",IF((($AP425="Banking and Finance")+($AP425="Management and Administration")+($AP425="Marketing")+($AP425="Sales")+($AP425="Entrepreneurship")+($AP425="Hospitality and Tourism"))&gt;0,"Commerce",IF((($AP425="Social Sciences and Humanities")+($AP425="Law Studies")+($AP425="Education and Training")+($AP425="Art, Design")+($AP425="Entertainment and Mass Media")+($AP425="Community and Social Service")+($AP425="Personal Care and Services")+($AP425="Government and Public Administration")+($AP425="Defence/ Protective Service")+($AP425="Sports"))&gt;0,"Arts / Humanities",""))))</f>
        <v/>
      </c>
      <c r="BC425" s="5" t="str">
        <f aca="false">IF($AL425="","",IF((($AL425="Engineering and Technology")+($AL425="Science and Mathematics")+($AL425="Computer Science, IT and Allied Fields")+($AL425="Life Sciences /Medicine and Healthcare")+($AL425="Paramedical")+($AL425="Architecture")+($AL425="Environmental Service")+($AL425="Agriculture, Food Industry and Forestry"))&gt;0,"Science",IF((($AL425="Banking and Finance")+($AL425="Management and Administration")+($AL425="Marketing")+($AL425="Sales")+($AL425="Entrepreneurship")+($AL425="Hospitality and Tourism"))&gt;0,"Commerce",IF((($AL425="Social Sciences and Humanities")+($AL425="Law Studies")+($AL425="Education and Training")+($AL425="Art, Design")+($AL425="Entertainment and Mass Media")+($AL425="Community and Social Service")+($AL425="Personal Care and Services")+($AL425="Government and Public Administration")+($AL425="Defence/ Protective Service")+($AL425="Sports"))&gt;0,"Arts / Humanities",""))))</f>
        <v/>
      </c>
      <c r="BD425" s="5" t="str">
        <f aca="false">IF($B425="","",--(F425&gt;=10)+--(G425&gt;=10)+--(H425&gt;=10)+--(I425&gt;=10)+--(J425&gt;=10)+--(K425&gt;=10)+--(L425&gt;=10)+--(M425&gt;=10)+--(N425&gt;=10)+--(O425&gt;=10))</f>
        <v/>
      </c>
      <c r="BE425" s="5" t="str">
        <f aca="false">IF($B425="","",--(AND(F425&lt;&gt;"",F425&lt;=8))+--(AND(G425&lt;&gt;"",G425&lt;=8))+--(AND(H425&lt;&gt;"",H425&lt;=8))+--(AND(I425&lt;&gt;"",I425&lt;=8))+--(AND(J425&lt;&gt;"",J425&lt;=8))+--(AND(K425&lt;&gt;"",K425&lt;=8))+--(AND(L425&lt;&gt;"",L425&lt;=8))+--(AND(M425&lt;&gt;"",M425&lt;=8))+--(AND(N425&lt;&gt;"",N425&lt;=8))+--(AND(O425&lt;&gt;"",O425&lt;=8)))</f>
        <v/>
      </c>
    </row>
    <row r="426" customFormat="false" ht="15" hidden="false" customHeight="false" outlineLevel="0" collapsed="false">
      <c r="AZ426" s="5" t="str">
        <f aca="false">IF($B426="","",SUMPRODUCT(($AL426:$AO426&lt;&gt;"")*(COUNTIF($AP426:$AX426,$AL426:$AO426)&gt;0)))</f>
        <v/>
      </c>
      <c r="BA426" s="5" t="str">
        <f aca="false">IF($B426="","",IF(AZ426&gt;0,1,0))</f>
        <v/>
      </c>
      <c r="BB426" s="5" t="str">
        <f aca="false">IF($AP426="","",IF((($AP426="Engineering and Technology")+($AP426="Science and Mathematics")+($AP426="Computer Science, IT and Allied Fields")+($AP426="Life Sciences /Medicine and Healthcare")+($AP426="Paramedical")+($AP426="Architecture")+($AP426="Environmental Service")+($AP426="Agriculture, Food Industry and Forestry"))&gt;0,"Science",IF((($AP426="Banking and Finance")+($AP426="Management and Administration")+($AP426="Marketing")+($AP426="Sales")+($AP426="Entrepreneurship")+($AP426="Hospitality and Tourism"))&gt;0,"Commerce",IF((($AP426="Social Sciences and Humanities")+($AP426="Law Studies")+($AP426="Education and Training")+($AP426="Art, Design")+($AP426="Entertainment and Mass Media")+($AP426="Community and Social Service")+($AP426="Personal Care and Services")+($AP426="Government and Public Administration")+($AP426="Defence/ Protective Service")+($AP426="Sports"))&gt;0,"Arts / Humanities",""))))</f>
        <v/>
      </c>
      <c r="BC426" s="5" t="str">
        <f aca="false">IF($AL426="","",IF((($AL426="Engineering and Technology")+($AL426="Science and Mathematics")+($AL426="Computer Science, IT and Allied Fields")+($AL426="Life Sciences /Medicine and Healthcare")+($AL426="Paramedical")+($AL426="Architecture")+($AL426="Environmental Service")+($AL426="Agriculture, Food Industry and Forestry"))&gt;0,"Science",IF((($AL426="Banking and Finance")+($AL426="Management and Administration")+($AL426="Marketing")+($AL426="Sales")+($AL426="Entrepreneurship")+($AL426="Hospitality and Tourism"))&gt;0,"Commerce",IF((($AL426="Social Sciences and Humanities")+($AL426="Law Studies")+($AL426="Education and Training")+($AL426="Art, Design")+($AL426="Entertainment and Mass Media")+($AL426="Community and Social Service")+($AL426="Personal Care and Services")+($AL426="Government and Public Administration")+($AL426="Defence/ Protective Service")+($AL426="Sports"))&gt;0,"Arts / Humanities",""))))</f>
        <v/>
      </c>
      <c r="BD426" s="5" t="str">
        <f aca="false">IF($B426="","",--(F426&gt;=10)+--(G426&gt;=10)+--(H426&gt;=10)+--(I426&gt;=10)+--(J426&gt;=10)+--(K426&gt;=10)+--(L426&gt;=10)+--(M426&gt;=10)+--(N426&gt;=10)+--(O426&gt;=10))</f>
        <v/>
      </c>
      <c r="BE426" s="5" t="str">
        <f aca="false">IF($B426="","",--(AND(F426&lt;&gt;"",F426&lt;=8))+--(AND(G426&lt;&gt;"",G426&lt;=8))+--(AND(H426&lt;&gt;"",H426&lt;=8))+--(AND(I426&lt;&gt;"",I426&lt;=8))+--(AND(J426&lt;&gt;"",J426&lt;=8))+--(AND(K426&lt;&gt;"",K426&lt;=8))+--(AND(L426&lt;&gt;"",L426&lt;=8))+--(AND(M426&lt;&gt;"",M426&lt;=8))+--(AND(N426&lt;&gt;"",N426&lt;=8))+--(AND(O426&lt;&gt;"",O426&lt;=8)))</f>
        <v/>
      </c>
    </row>
    <row r="427" customFormat="false" ht="15" hidden="false" customHeight="false" outlineLevel="0" collapsed="false">
      <c r="AZ427" s="5" t="str">
        <f aca="false">IF($B427="","",SUMPRODUCT(($AL427:$AO427&lt;&gt;"")*(COUNTIF($AP427:$AX427,$AL427:$AO427)&gt;0)))</f>
        <v/>
      </c>
      <c r="BA427" s="5" t="str">
        <f aca="false">IF($B427="","",IF(AZ427&gt;0,1,0))</f>
        <v/>
      </c>
      <c r="BB427" s="5" t="str">
        <f aca="false">IF($AP427="","",IF((($AP427="Engineering and Technology")+($AP427="Science and Mathematics")+($AP427="Computer Science, IT and Allied Fields")+($AP427="Life Sciences /Medicine and Healthcare")+($AP427="Paramedical")+($AP427="Architecture")+($AP427="Environmental Service")+($AP427="Agriculture, Food Industry and Forestry"))&gt;0,"Science",IF((($AP427="Banking and Finance")+($AP427="Management and Administration")+($AP427="Marketing")+($AP427="Sales")+($AP427="Entrepreneurship")+($AP427="Hospitality and Tourism"))&gt;0,"Commerce",IF((($AP427="Social Sciences and Humanities")+($AP427="Law Studies")+($AP427="Education and Training")+($AP427="Art, Design")+($AP427="Entertainment and Mass Media")+($AP427="Community and Social Service")+($AP427="Personal Care and Services")+($AP427="Government and Public Administration")+($AP427="Defence/ Protective Service")+($AP427="Sports"))&gt;0,"Arts / Humanities",""))))</f>
        <v/>
      </c>
      <c r="BC427" s="5" t="str">
        <f aca="false">IF($AL427="","",IF((($AL427="Engineering and Technology")+($AL427="Science and Mathematics")+($AL427="Computer Science, IT and Allied Fields")+($AL427="Life Sciences /Medicine and Healthcare")+($AL427="Paramedical")+($AL427="Architecture")+($AL427="Environmental Service")+($AL427="Agriculture, Food Industry and Forestry"))&gt;0,"Science",IF((($AL427="Banking and Finance")+($AL427="Management and Administration")+($AL427="Marketing")+($AL427="Sales")+($AL427="Entrepreneurship")+($AL427="Hospitality and Tourism"))&gt;0,"Commerce",IF((($AL427="Social Sciences and Humanities")+($AL427="Law Studies")+($AL427="Education and Training")+($AL427="Art, Design")+($AL427="Entertainment and Mass Media")+($AL427="Community and Social Service")+($AL427="Personal Care and Services")+($AL427="Government and Public Administration")+($AL427="Defence/ Protective Service")+($AL427="Sports"))&gt;0,"Arts / Humanities",""))))</f>
        <v/>
      </c>
      <c r="BD427" s="5" t="str">
        <f aca="false">IF($B427="","",--(F427&gt;=10)+--(G427&gt;=10)+--(H427&gt;=10)+--(I427&gt;=10)+--(J427&gt;=10)+--(K427&gt;=10)+--(L427&gt;=10)+--(M427&gt;=10)+--(N427&gt;=10)+--(O427&gt;=10))</f>
        <v/>
      </c>
      <c r="BE427" s="5" t="str">
        <f aca="false">IF($B427="","",--(AND(F427&lt;&gt;"",F427&lt;=8))+--(AND(G427&lt;&gt;"",G427&lt;=8))+--(AND(H427&lt;&gt;"",H427&lt;=8))+--(AND(I427&lt;&gt;"",I427&lt;=8))+--(AND(J427&lt;&gt;"",J427&lt;=8))+--(AND(K427&lt;&gt;"",K427&lt;=8))+--(AND(L427&lt;&gt;"",L427&lt;=8))+--(AND(M427&lt;&gt;"",M427&lt;=8))+--(AND(N427&lt;&gt;"",N427&lt;=8))+--(AND(O427&lt;&gt;"",O427&lt;=8)))</f>
        <v/>
      </c>
    </row>
    <row r="428" customFormat="false" ht="15" hidden="false" customHeight="false" outlineLevel="0" collapsed="false">
      <c r="AZ428" s="5" t="str">
        <f aca="false">IF($B428="","",SUMPRODUCT(($AL428:$AO428&lt;&gt;"")*(COUNTIF($AP428:$AX428,$AL428:$AO428)&gt;0)))</f>
        <v/>
      </c>
      <c r="BA428" s="5" t="str">
        <f aca="false">IF($B428="","",IF(AZ428&gt;0,1,0))</f>
        <v/>
      </c>
      <c r="BB428" s="5" t="str">
        <f aca="false">IF($AP428="","",IF((($AP428="Engineering and Technology")+($AP428="Science and Mathematics")+($AP428="Computer Science, IT and Allied Fields")+($AP428="Life Sciences /Medicine and Healthcare")+($AP428="Paramedical")+($AP428="Architecture")+($AP428="Environmental Service")+($AP428="Agriculture, Food Industry and Forestry"))&gt;0,"Science",IF((($AP428="Banking and Finance")+($AP428="Management and Administration")+($AP428="Marketing")+($AP428="Sales")+($AP428="Entrepreneurship")+($AP428="Hospitality and Tourism"))&gt;0,"Commerce",IF((($AP428="Social Sciences and Humanities")+($AP428="Law Studies")+($AP428="Education and Training")+($AP428="Art, Design")+($AP428="Entertainment and Mass Media")+($AP428="Community and Social Service")+($AP428="Personal Care and Services")+($AP428="Government and Public Administration")+($AP428="Defence/ Protective Service")+($AP428="Sports"))&gt;0,"Arts / Humanities",""))))</f>
        <v/>
      </c>
      <c r="BC428" s="5" t="str">
        <f aca="false">IF($AL428="","",IF((($AL428="Engineering and Technology")+($AL428="Science and Mathematics")+($AL428="Computer Science, IT and Allied Fields")+($AL428="Life Sciences /Medicine and Healthcare")+($AL428="Paramedical")+($AL428="Architecture")+($AL428="Environmental Service")+($AL428="Agriculture, Food Industry and Forestry"))&gt;0,"Science",IF((($AL428="Banking and Finance")+($AL428="Management and Administration")+($AL428="Marketing")+($AL428="Sales")+($AL428="Entrepreneurship")+($AL428="Hospitality and Tourism"))&gt;0,"Commerce",IF((($AL428="Social Sciences and Humanities")+($AL428="Law Studies")+($AL428="Education and Training")+($AL428="Art, Design")+($AL428="Entertainment and Mass Media")+($AL428="Community and Social Service")+($AL428="Personal Care and Services")+($AL428="Government and Public Administration")+($AL428="Defence/ Protective Service")+($AL428="Sports"))&gt;0,"Arts / Humanities",""))))</f>
        <v/>
      </c>
      <c r="BD428" s="5" t="str">
        <f aca="false">IF($B428="","",--(F428&gt;=10)+--(G428&gt;=10)+--(H428&gt;=10)+--(I428&gt;=10)+--(J428&gt;=10)+--(K428&gt;=10)+--(L428&gt;=10)+--(M428&gt;=10)+--(N428&gt;=10)+--(O428&gt;=10))</f>
        <v/>
      </c>
      <c r="BE428" s="5" t="str">
        <f aca="false">IF($B428="","",--(AND(F428&lt;&gt;"",F428&lt;=8))+--(AND(G428&lt;&gt;"",G428&lt;=8))+--(AND(H428&lt;&gt;"",H428&lt;=8))+--(AND(I428&lt;&gt;"",I428&lt;=8))+--(AND(J428&lt;&gt;"",J428&lt;=8))+--(AND(K428&lt;&gt;"",K428&lt;=8))+--(AND(L428&lt;&gt;"",L428&lt;=8))+--(AND(M428&lt;&gt;"",M428&lt;=8))+--(AND(N428&lt;&gt;"",N428&lt;=8))+--(AND(O428&lt;&gt;"",O428&lt;=8)))</f>
        <v/>
      </c>
    </row>
    <row r="429" customFormat="false" ht="15" hidden="false" customHeight="false" outlineLevel="0" collapsed="false">
      <c r="AZ429" s="5" t="str">
        <f aca="false">IF($B429="","",SUMPRODUCT(($AL429:$AO429&lt;&gt;"")*(COUNTIF($AP429:$AX429,$AL429:$AO429)&gt;0)))</f>
        <v/>
      </c>
      <c r="BA429" s="5" t="str">
        <f aca="false">IF($B429="","",IF(AZ429&gt;0,1,0))</f>
        <v/>
      </c>
      <c r="BB429" s="5" t="str">
        <f aca="false">IF($AP429="","",IF((($AP429="Engineering and Technology")+($AP429="Science and Mathematics")+($AP429="Computer Science, IT and Allied Fields")+($AP429="Life Sciences /Medicine and Healthcare")+($AP429="Paramedical")+($AP429="Architecture")+($AP429="Environmental Service")+($AP429="Agriculture, Food Industry and Forestry"))&gt;0,"Science",IF((($AP429="Banking and Finance")+($AP429="Management and Administration")+($AP429="Marketing")+($AP429="Sales")+($AP429="Entrepreneurship")+($AP429="Hospitality and Tourism"))&gt;0,"Commerce",IF((($AP429="Social Sciences and Humanities")+($AP429="Law Studies")+($AP429="Education and Training")+($AP429="Art, Design")+($AP429="Entertainment and Mass Media")+($AP429="Community and Social Service")+($AP429="Personal Care and Services")+($AP429="Government and Public Administration")+($AP429="Defence/ Protective Service")+($AP429="Sports"))&gt;0,"Arts / Humanities",""))))</f>
        <v/>
      </c>
      <c r="BC429" s="5" t="str">
        <f aca="false">IF($AL429="","",IF((($AL429="Engineering and Technology")+($AL429="Science and Mathematics")+($AL429="Computer Science, IT and Allied Fields")+($AL429="Life Sciences /Medicine and Healthcare")+($AL429="Paramedical")+($AL429="Architecture")+($AL429="Environmental Service")+($AL429="Agriculture, Food Industry and Forestry"))&gt;0,"Science",IF((($AL429="Banking and Finance")+($AL429="Management and Administration")+($AL429="Marketing")+($AL429="Sales")+($AL429="Entrepreneurship")+($AL429="Hospitality and Tourism"))&gt;0,"Commerce",IF((($AL429="Social Sciences and Humanities")+($AL429="Law Studies")+($AL429="Education and Training")+($AL429="Art, Design")+($AL429="Entertainment and Mass Media")+($AL429="Community and Social Service")+($AL429="Personal Care and Services")+($AL429="Government and Public Administration")+($AL429="Defence/ Protective Service")+($AL429="Sports"))&gt;0,"Arts / Humanities",""))))</f>
        <v/>
      </c>
      <c r="BD429" s="5" t="str">
        <f aca="false">IF($B429="","",--(F429&gt;=10)+--(G429&gt;=10)+--(H429&gt;=10)+--(I429&gt;=10)+--(J429&gt;=10)+--(K429&gt;=10)+--(L429&gt;=10)+--(M429&gt;=10)+--(N429&gt;=10)+--(O429&gt;=10))</f>
        <v/>
      </c>
      <c r="BE429" s="5" t="str">
        <f aca="false">IF($B429="","",--(AND(F429&lt;&gt;"",F429&lt;=8))+--(AND(G429&lt;&gt;"",G429&lt;=8))+--(AND(H429&lt;&gt;"",H429&lt;=8))+--(AND(I429&lt;&gt;"",I429&lt;=8))+--(AND(J429&lt;&gt;"",J429&lt;=8))+--(AND(K429&lt;&gt;"",K429&lt;=8))+--(AND(L429&lt;&gt;"",L429&lt;=8))+--(AND(M429&lt;&gt;"",M429&lt;=8))+--(AND(N429&lt;&gt;"",N429&lt;=8))+--(AND(O429&lt;&gt;"",O429&lt;=8)))</f>
        <v/>
      </c>
    </row>
    <row r="430" customFormat="false" ht="15" hidden="false" customHeight="false" outlineLevel="0" collapsed="false">
      <c r="AZ430" s="5" t="str">
        <f aca="false">IF($B430="","",SUMPRODUCT(($AL430:$AO430&lt;&gt;"")*(COUNTIF($AP430:$AX430,$AL430:$AO430)&gt;0)))</f>
        <v/>
      </c>
      <c r="BA430" s="5" t="str">
        <f aca="false">IF($B430="","",IF(AZ430&gt;0,1,0))</f>
        <v/>
      </c>
      <c r="BB430" s="5" t="str">
        <f aca="false">IF($AP430="","",IF((($AP430="Engineering and Technology")+($AP430="Science and Mathematics")+($AP430="Computer Science, IT and Allied Fields")+($AP430="Life Sciences /Medicine and Healthcare")+($AP430="Paramedical")+($AP430="Architecture")+($AP430="Environmental Service")+($AP430="Agriculture, Food Industry and Forestry"))&gt;0,"Science",IF((($AP430="Banking and Finance")+($AP430="Management and Administration")+($AP430="Marketing")+($AP430="Sales")+($AP430="Entrepreneurship")+($AP430="Hospitality and Tourism"))&gt;0,"Commerce",IF((($AP430="Social Sciences and Humanities")+($AP430="Law Studies")+($AP430="Education and Training")+($AP430="Art, Design")+($AP430="Entertainment and Mass Media")+($AP430="Community and Social Service")+($AP430="Personal Care and Services")+($AP430="Government and Public Administration")+($AP430="Defence/ Protective Service")+($AP430="Sports"))&gt;0,"Arts / Humanities",""))))</f>
        <v/>
      </c>
      <c r="BC430" s="5" t="str">
        <f aca="false">IF($AL430="","",IF((($AL430="Engineering and Technology")+($AL430="Science and Mathematics")+($AL430="Computer Science, IT and Allied Fields")+($AL430="Life Sciences /Medicine and Healthcare")+($AL430="Paramedical")+($AL430="Architecture")+($AL430="Environmental Service")+($AL430="Agriculture, Food Industry and Forestry"))&gt;0,"Science",IF((($AL430="Banking and Finance")+($AL430="Management and Administration")+($AL430="Marketing")+($AL430="Sales")+($AL430="Entrepreneurship")+($AL430="Hospitality and Tourism"))&gt;0,"Commerce",IF((($AL430="Social Sciences and Humanities")+($AL430="Law Studies")+($AL430="Education and Training")+($AL430="Art, Design")+($AL430="Entertainment and Mass Media")+($AL430="Community and Social Service")+($AL430="Personal Care and Services")+($AL430="Government and Public Administration")+($AL430="Defence/ Protective Service")+($AL430="Sports"))&gt;0,"Arts / Humanities",""))))</f>
        <v/>
      </c>
      <c r="BD430" s="5" t="str">
        <f aca="false">IF($B430="","",--(F430&gt;=10)+--(G430&gt;=10)+--(H430&gt;=10)+--(I430&gt;=10)+--(J430&gt;=10)+--(K430&gt;=10)+--(L430&gt;=10)+--(M430&gt;=10)+--(N430&gt;=10)+--(O430&gt;=10))</f>
        <v/>
      </c>
      <c r="BE430" s="5" t="str">
        <f aca="false">IF($B430="","",--(AND(F430&lt;&gt;"",F430&lt;=8))+--(AND(G430&lt;&gt;"",G430&lt;=8))+--(AND(H430&lt;&gt;"",H430&lt;=8))+--(AND(I430&lt;&gt;"",I430&lt;=8))+--(AND(J430&lt;&gt;"",J430&lt;=8))+--(AND(K430&lt;&gt;"",K430&lt;=8))+--(AND(L430&lt;&gt;"",L430&lt;=8))+--(AND(M430&lt;&gt;"",M430&lt;=8))+--(AND(N430&lt;&gt;"",N430&lt;=8))+--(AND(O430&lt;&gt;"",O430&lt;=8)))</f>
        <v/>
      </c>
    </row>
    <row r="431" customFormat="false" ht="15" hidden="false" customHeight="false" outlineLevel="0" collapsed="false">
      <c r="AZ431" s="5" t="str">
        <f aca="false">IF($B431="","",SUMPRODUCT(($AL431:$AO431&lt;&gt;"")*(COUNTIF($AP431:$AX431,$AL431:$AO431)&gt;0)))</f>
        <v/>
      </c>
      <c r="BA431" s="5" t="str">
        <f aca="false">IF($B431="","",IF(AZ431&gt;0,1,0))</f>
        <v/>
      </c>
      <c r="BB431" s="5" t="str">
        <f aca="false">IF($AP431="","",IF((($AP431="Engineering and Technology")+($AP431="Science and Mathematics")+($AP431="Computer Science, IT and Allied Fields")+($AP431="Life Sciences /Medicine and Healthcare")+($AP431="Paramedical")+($AP431="Architecture")+($AP431="Environmental Service")+($AP431="Agriculture, Food Industry and Forestry"))&gt;0,"Science",IF((($AP431="Banking and Finance")+($AP431="Management and Administration")+($AP431="Marketing")+($AP431="Sales")+($AP431="Entrepreneurship")+($AP431="Hospitality and Tourism"))&gt;0,"Commerce",IF((($AP431="Social Sciences and Humanities")+($AP431="Law Studies")+($AP431="Education and Training")+($AP431="Art, Design")+($AP431="Entertainment and Mass Media")+($AP431="Community and Social Service")+($AP431="Personal Care and Services")+($AP431="Government and Public Administration")+($AP431="Defence/ Protective Service")+($AP431="Sports"))&gt;0,"Arts / Humanities",""))))</f>
        <v/>
      </c>
      <c r="BC431" s="5" t="str">
        <f aca="false">IF($AL431="","",IF((($AL431="Engineering and Technology")+($AL431="Science and Mathematics")+($AL431="Computer Science, IT and Allied Fields")+($AL431="Life Sciences /Medicine and Healthcare")+($AL431="Paramedical")+($AL431="Architecture")+($AL431="Environmental Service")+($AL431="Agriculture, Food Industry and Forestry"))&gt;0,"Science",IF((($AL431="Banking and Finance")+($AL431="Management and Administration")+($AL431="Marketing")+($AL431="Sales")+($AL431="Entrepreneurship")+($AL431="Hospitality and Tourism"))&gt;0,"Commerce",IF((($AL431="Social Sciences and Humanities")+($AL431="Law Studies")+($AL431="Education and Training")+($AL431="Art, Design")+($AL431="Entertainment and Mass Media")+($AL431="Community and Social Service")+($AL431="Personal Care and Services")+($AL431="Government and Public Administration")+($AL431="Defence/ Protective Service")+($AL431="Sports"))&gt;0,"Arts / Humanities",""))))</f>
        <v/>
      </c>
      <c r="BD431" s="5" t="str">
        <f aca="false">IF($B431="","",--(F431&gt;=10)+--(G431&gt;=10)+--(H431&gt;=10)+--(I431&gt;=10)+--(J431&gt;=10)+--(K431&gt;=10)+--(L431&gt;=10)+--(M431&gt;=10)+--(N431&gt;=10)+--(O431&gt;=10))</f>
        <v/>
      </c>
      <c r="BE431" s="5" t="str">
        <f aca="false">IF($B431="","",--(AND(F431&lt;&gt;"",F431&lt;=8))+--(AND(G431&lt;&gt;"",G431&lt;=8))+--(AND(H431&lt;&gt;"",H431&lt;=8))+--(AND(I431&lt;&gt;"",I431&lt;=8))+--(AND(J431&lt;&gt;"",J431&lt;=8))+--(AND(K431&lt;&gt;"",K431&lt;=8))+--(AND(L431&lt;&gt;"",L431&lt;=8))+--(AND(M431&lt;&gt;"",M431&lt;=8))+--(AND(N431&lt;&gt;"",N431&lt;=8))+--(AND(O431&lt;&gt;"",O431&lt;=8)))</f>
        <v/>
      </c>
    </row>
    <row r="432" customFormat="false" ht="15" hidden="false" customHeight="false" outlineLevel="0" collapsed="false">
      <c r="AZ432" s="5" t="str">
        <f aca="false">IF($B432="","",SUMPRODUCT(($AL432:$AO432&lt;&gt;"")*(COUNTIF($AP432:$AX432,$AL432:$AO432)&gt;0)))</f>
        <v/>
      </c>
      <c r="BA432" s="5" t="str">
        <f aca="false">IF($B432="","",IF(AZ432&gt;0,1,0))</f>
        <v/>
      </c>
      <c r="BB432" s="5" t="str">
        <f aca="false">IF($AP432="","",IF((($AP432="Engineering and Technology")+($AP432="Science and Mathematics")+($AP432="Computer Science, IT and Allied Fields")+($AP432="Life Sciences /Medicine and Healthcare")+($AP432="Paramedical")+($AP432="Architecture")+($AP432="Environmental Service")+($AP432="Agriculture, Food Industry and Forestry"))&gt;0,"Science",IF((($AP432="Banking and Finance")+($AP432="Management and Administration")+($AP432="Marketing")+($AP432="Sales")+($AP432="Entrepreneurship")+($AP432="Hospitality and Tourism"))&gt;0,"Commerce",IF((($AP432="Social Sciences and Humanities")+($AP432="Law Studies")+($AP432="Education and Training")+($AP432="Art, Design")+($AP432="Entertainment and Mass Media")+($AP432="Community and Social Service")+($AP432="Personal Care and Services")+($AP432="Government and Public Administration")+($AP432="Defence/ Protective Service")+($AP432="Sports"))&gt;0,"Arts / Humanities",""))))</f>
        <v/>
      </c>
      <c r="BC432" s="5" t="str">
        <f aca="false">IF($AL432="","",IF((($AL432="Engineering and Technology")+($AL432="Science and Mathematics")+($AL432="Computer Science, IT and Allied Fields")+($AL432="Life Sciences /Medicine and Healthcare")+($AL432="Paramedical")+($AL432="Architecture")+($AL432="Environmental Service")+($AL432="Agriculture, Food Industry and Forestry"))&gt;0,"Science",IF((($AL432="Banking and Finance")+($AL432="Management and Administration")+($AL432="Marketing")+($AL432="Sales")+($AL432="Entrepreneurship")+($AL432="Hospitality and Tourism"))&gt;0,"Commerce",IF((($AL432="Social Sciences and Humanities")+($AL432="Law Studies")+($AL432="Education and Training")+($AL432="Art, Design")+($AL432="Entertainment and Mass Media")+($AL432="Community and Social Service")+($AL432="Personal Care and Services")+($AL432="Government and Public Administration")+($AL432="Defence/ Protective Service")+($AL432="Sports"))&gt;0,"Arts / Humanities",""))))</f>
        <v/>
      </c>
      <c r="BD432" s="5" t="str">
        <f aca="false">IF($B432="","",--(F432&gt;=10)+--(G432&gt;=10)+--(H432&gt;=10)+--(I432&gt;=10)+--(J432&gt;=10)+--(K432&gt;=10)+--(L432&gt;=10)+--(M432&gt;=10)+--(N432&gt;=10)+--(O432&gt;=10))</f>
        <v/>
      </c>
      <c r="BE432" s="5" t="str">
        <f aca="false">IF($B432="","",--(AND(F432&lt;&gt;"",F432&lt;=8))+--(AND(G432&lt;&gt;"",G432&lt;=8))+--(AND(H432&lt;&gt;"",H432&lt;=8))+--(AND(I432&lt;&gt;"",I432&lt;=8))+--(AND(J432&lt;&gt;"",J432&lt;=8))+--(AND(K432&lt;&gt;"",K432&lt;=8))+--(AND(L432&lt;&gt;"",L432&lt;=8))+--(AND(M432&lt;&gt;"",M432&lt;=8))+--(AND(N432&lt;&gt;"",N432&lt;=8))+--(AND(O432&lt;&gt;"",O432&lt;=8)))</f>
        <v/>
      </c>
    </row>
    <row r="433" customFormat="false" ht="15" hidden="false" customHeight="false" outlineLevel="0" collapsed="false">
      <c r="AZ433" s="5" t="str">
        <f aca="false">IF($B433="","",SUMPRODUCT(($AL433:$AO433&lt;&gt;"")*(COUNTIF($AP433:$AX433,$AL433:$AO433)&gt;0)))</f>
        <v/>
      </c>
      <c r="BA433" s="5" t="str">
        <f aca="false">IF($B433="","",IF(AZ433&gt;0,1,0))</f>
        <v/>
      </c>
      <c r="BB433" s="5" t="str">
        <f aca="false">IF($AP433="","",IF((($AP433="Engineering and Technology")+($AP433="Science and Mathematics")+($AP433="Computer Science, IT and Allied Fields")+($AP433="Life Sciences /Medicine and Healthcare")+($AP433="Paramedical")+($AP433="Architecture")+($AP433="Environmental Service")+($AP433="Agriculture, Food Industry and Forestry"))&gt;0,"Science",IF((($AP433="Banking and Finance")+($AP433="Management and Administration")+($AP433="Marketing")+($AP433="Sales")+($AP433="Entrepreneurship")+($AP433="Hospitality and Tourism"))&gt;0,"Commerce",IF((($AP433="Social Sciences and Humanities")+($AP433="Law Studies")+($AP433="Education and Training")+($AP433="Art, Design")+($AP433="Entertainment and Mass Media")+($AP433="Community and Social Service")+($AP433="Personal Care and Services")+($AP433="Government and Public Administration")+($AP433="Defence/ Protective Service")+($AP433="Sports"))&gt;0,"Arts / Humanities",""))))</f>
        <v/>
      </c>
      <c r="BC433" s="5" t="str">
        <f aca="false">IF($AL433="","",IF((($AL433="Engineering and Technology")+($AL433="Science and Mathematics")+($AL433="Computer Science, IT and Allied Fields")+($AL433="Life Sciences /Medicine and Healthcare")+($AL433="Paramedical")+($AL433="Architecture")+($AL433="Environmental Service")+($AL433="Agriculture, Food Industry and Forestry"))&gt;0,"Science",IF((($AL433="Banking and Finance")+($AL433="Management and Administration")+($AL433="Marketing")+($AL433="Sales")+($AL433="Entrepreneurship")+($AL433="Hospitality and Tourism"))&gt;0,"Commerce",IF((($AL433="Social Sciences and Humanities")+($AL433="Law Studies")+($AL433="Education and Training")+($AL433="Art, Design")+($AL433="Entertainment and Mass Media")+($AL433="Community and Social Service")+($AL433="Personal Care and Services")+($AL433="Government and Public Administration")+($AL433="Defence/ Protective Service")+($AL433="Sports"))&gt;0,"Arts / Humanities",""))))</f>
        <v/>
      </c>
      <c r="BD433" s="5" t="str">
        <f aca="false">IF($B433="","",--(F433&gt;=10)+--(G433&gt;=10)+--(H433&gt;=10)+--(I433&gt;=10)+--(J433&gt;=10)+--(K433&gt;=10)+--(L433&gt;=10)+--(M433&gt;=10)+--(N433&gt;=10)+--(O433&gt;=10))</f>
        <v/>
      </c>
      <c r="BE433" s="5" t="str">
        <f aca="false">IF($B433="","",--(AND(F433&lt;&gt;"",F433&lt;=8))+--(AND(G433&lt;&gt;"",G433&lt;=8))+--(AND(H433&lt;&gt;"",H433&lt;=8))+--(AND(I433&lt;&gt;"",I433&lt;=8))+--(AND(J433&lt;&gt;"",J433&lt;=8))+--(AND(K433&lt;&gt;"",K433&lt;=8))+--(AND(L433&lt;&gt;"",L433&lt;=8))+--(AND(M433&lt;&gt;"",M433&lt;=8))+--(AND(N433&lt;&gt;"",N433&lt;=8))+--(AND(O433&lt;&gt;"",O433&lt;=8)))</f>
        <v/>
      </c>
    </row>
    <row r="434" customFormat="false" ht="15" hidden="false" customHeight="false" outlineLevel="0" collapsed="false">
      <c r="AZ434" s="5" t="str">
        <f aca="false">IF($B434="","",SUMPRODUCT(($AL434:$AO434&lt;&gt;"")*(COUNTIF($AP434:$AX434,$AL434:$AO434)&gt;0)))</f>
        <v/>
      </c>
      <c r="BA434" s="5" t="str">
        <f aca="false">IF($B434="","",IF(AZ434&gt;0,1,0))</f>
        <v/>
      </c>
      <c r="BB434" s="5" t="str">
        <f aca="false">IF($AP434="","",IF((($AP434="Engineering and Technology")+($AP434="Science and Mathematics")+($AP434="Computer Science, IT and Allied Fields")+($AP434="Life Sciences /Medicine and Healthcare")+($AP434="Paramedical")+($AP434="Architecture")+($AP434="Environmental Service")+($AP434="Agriculture, Food Industry and Forestry"))&gt;0,"Science",IF((($AP434="Banking and Finance")+($AP434="Management and Administration")+($AP434="Marketing")+($AP434="Sales")+($AP434="Entrepreneurship")+($AP434="Hospitality and Tourism"))&gt;0,"Commerce",IF((($AP434="Social Sciences and Humanities")+($AP434="Law Studies")+($AP434="Education and Training")+($AP434="Art, Design")+($AP434="Entertainment and Mass Media")+($AP434="Community and Social Service")+($AP434="Personal Care and Services")+($AP434="Government and Public Administration")+($AP434="Defence/ Protective Service")+($AP434="Sports"))&gt;0,"Arts / Humanities",""))))</f>
        <v/>
      </c>
      <c r="BC434" s="5" t="str">
        <f aca="false">IF($AL434="","",IF((($AL434="Engineering and Technology")+($AL434="Science and Mathematics")+($AL434="Computer Science, IT and Allied Fields")+($AL434="Life Sciences /Medicine and Healthcare")+($AL434="Paramedical")+($AL434="Architecture")+($AL434="Environmental Service")+($AL434="Agriculture, Food Industry and Forestry"))&gt;0,"Science",IF((($AL434="Banking and Finance")+($AL434="Management and Administration")+($AL434="Marketing")+($AL434="Sales")+($AL434="Entrepreneurship")+($AL434="Hospitality and Tourism"))&gt;0,"Commerce",IF((($AL434="Social Sciences and Humanities")+($AL434="Law Studies")+($AL434="Education and Training")+($AL434="Art, Design")+($AL434="Entertainment and Mass Media")+($AL434="Community and Social Service")+($AL434="Personal Care and Services")+($AL434="Government and Public Administration")+($AL434="Defence/ Protective Service")+($AL434="Sports"))&gt;0,"Arts / Humanities",""))))</f>
        <v/>
      </c>
      <c r="BD434" s="5" t="str">
        <f aca="false">IF($B434="","",--(F434&gt;=10)+--(G434&gt;=10)+--(H434&gt;=10)+--(I434&gt;=10)+--(J434&gt;=10)+--(K434&gt;=10)+--(L434&gt;=10)+--(M434&gt;=10)+--(N434&gt;=10)+--(O434&gt;=10))</f>
        <v/>
      </c>
      <c r="BE434" s="5" t="str">
        <f aca="false">IF($B434="","",--(AND(F434&lt;&gt;"",F434&lt;=8))+--(AND(G434&lt;&gt;"",G434&lt;=8))+--(AND(H434&lt;&gt;"",H434&lt;=8))+--(AND(I434&lt;&gt;"",I434&lt;=8))+--(AND(J434&lt;&gt;"",J434&lt;=8))+--(AND(K434&lt;&gt;"",K434&lt;=8))+--(AND(L434&lt;&gt;"",L434&lt;=8))+--(AND(M434&lt;&gt;"",M434&lt;=8))+--(AND(N434&lt;&gt;"",N434&lt;=8))+--(AND(O434&lt;&gt;"",O434&lt;=8)))</f>
        <v/>
      </c>
    </row>
    <row r="435" customFormat="false" ht="15" hidden="false" customHeight="false" outlineLevel="0" collapsed="false">
      <c r="AZ435" s="5" t="str">
        <f aca="false">IF($B435="","",SUMPRODUCT(($AL435:$AO435&lt;&gt;"")*(COUNTIF($AP435:$AX435,$AL435:$AO435)&gt;0)))</f>
        <v/>
      </c>
      <c r="BA435" s="5" t="str">
        <f aca="false">IF($B435="","",IF(AZ435&gt;0,1,0))</f>
        <v/>
      </c>
      <c r="BB435" s="5" t="str">
        <f aca="false">IF($AP435="","",IF((($AP435="Engineering and Technology")+($AP435="Science and Mathematics")+($AP435="Computer Science, IT and Allied Fields")+($AP435="Life Sciences /Medicine and Healthcare")+($AP435="Paramedical")+($AP435="Architecture")+($AP435="Environmental Service")+($AP435="Agriculture, Food Industry and Forestry"))&gt;0,"Science",IF((($AP435="Banking and Finance")+($AP435="Management and Administration")+($AP435="Marketing")+($AP435="Sales")+($AP435="Entrepreneurship")+($AP435="Hospitality and Tourism"))&gt;0,"Commerce",IF((($AP435="Social Sciences and Humanities")+($AP435="Law Studies")+($AP435="Education and Training")+($AP435="Art, Design")+($AP435="Entertainment and Mass Media")+($AP435="Community and Social Service")+($AP435="Personal Care and Services")+($AP435="Government and Public Administration")+($AP435="Defence/ Protective Service")+($AP435="Sports"))&gt;0,"Arts / Humanities",""))))</f>
        <v/>
      </c>
      <c r="BC435" s="5" t="str">
        <f aca="false">IF($AL435="","",IF((($AL435="Engineering and Technology")+($AL435="Science and Mathematics")+($AL435="Computer Science, IT and Allied Fields")+($AL435="Life Sciences /Medicine and Healthcare")+($AL435="Paramedical")+($AL435="Architecture")+($AL435="Environmental Service")+($AL435="Agriculture, Food Industry and Forestry"))&gt;0,"Science",IF((($AL435="Banking and Finance")+($AL435="Management and Administration")+($AL435="Marketing")+($AL435="Sales")+($AL435="Entrepreneurship")+($AL435="Hospitality and Tourism"))&gt;0,"Commerce",IF((($AL435="Social Sciences and Humanities")+($AL435="Law Studies")+($AL435="Education and Training")+($AL435="Art, Design")+($AL435="Entertainment and Mass Media")+($AL435="Community and Social Service")+($AL435="Personal Care and Services")+($AL435="Government and Public Administration")+($AL435="Defence/ Protective Service")+($AL435="Sports"))&gt;0,"Arts / Humanities",""))))</f>
        <v/>
      </c>
      <c r="BD435" s="5" t="str">
        <f aca="false">IF($B435="","",--(F435&gt;=10)+--(G435&gt;=10)+--(H435&gt;=10)+--(I435&gt;=10)+--(J435&gt;=10)+--(K435&gt;=10)+--(L435&gt;=10)+--(M435&gt;=10)+--(N435&gt;=10)+--(O435&gt;=10))</f>
        <v/>
      </c>
      <c r="BE435" s="5" t="str">
        <f aca="false">IF($B435="","",--(AND(F435&lt;&gt;"",F435&lt;=8))+--(AND(G435&lt;&gt;"",G435&lt;=8))+--(AND(H435&lt;&gt;"",H435&lt;=8))+--(AND(I435&lt;&gt;"",I435&lt;=8))+--(AND(J435&lt;&gt;"",J435&lt;=8))+--(AND(K435&lt;&gt;"",K435&lt;=8))+--(AND(L435&lt;&gt;"",L435&lt;=8))+--(AND(M435&lt;&gt;"",M435&lt;=8))+--(AND(N435&lt;&gt;"",N435&lt;=8))+--(AND(O435&lt;&gt;"",O435&lt;=8)))</f>
        <v/>
      </c>
    </row>
    <row r="436" customFormat="false" ht="15" hidden="false" customHeight="false" outlineLevel="0" collapsed="false">
      <c r="AZ436" s="5" t="str">
        <f aca="false">IF($B436="","",SUMPRODUCT(($AL436:$AO436&lt;&gt;"")*(COUNTIF($AP436:$AX436,$AL436:$AO436)&gt;0)))</f>
        <v/>
      </c>
      <c r="BA436" s="5" t="str">
        <f aca="false">IF($B436="","",IF(AZ436&gt;0,1,0))</f>
        <v/>
      </c>
      <c r="BB436" s="5" t="str">
        <f aca="false">IF($AP436="","",IF((($AP436="Engineering and Technology")+($AP436="Science and Mathematics")+($AP436="Computer Science, IT and Allied Fields")+($AP436="Life Sciences /Medicine and Healthcare")+($AP436="Paramedical")+($AP436="Architecture")+($AP436="Environmental Service")+($AP436="Agriculture, Food Industry and Forestry"))&gt;0,"Science",IF((($AP436="Banking and Finance")+($AP436="Management and Administration")+($AP436="Marketing")+($AP436="Sales")+($AP436="Entrepreneurship")+($AP436="Hospitality and Tourism"))&gt;0,"Commerce",IF((($AP436="Social Sciences and Humanities")+($AP436="Law Studies")+($AP436="Education and Training")+($AP436="Art, Design")+($AP436="Entertainment and Mass Media")+($AP436="Community and Social Service")+($AP436="Personal Care and Services")+($AP436="Government and Public Administration")+($AP436="Defence/ Protective Service")+($AP436="Sports"))&gt;0,"Arts / Humanities",""))))</f>
        <v/>
      </c>
      <c r="BC436" s="5" t="str">
        <f aca="false">IF($AL436="","",IF((($AL436="Engineering and Technology")+($AL436="Science and Mathematics")+($AL436="Computer Science, IT and Allied Fields")+($AL436="Life Sciences /Medicine and Healthcare")+($AL436="Paramedical")+($AL436="Architecture")+($AL436="Environmental Service")+($AL436="Agriculture, Food Industry and Forestry"))&gt;0,"Science",IF((($AL436="Banking and Finance")+($AL436="Management and Administration")+($AL436="Marketing")+($AL436="Sales")+($AL436="Entrepreneurship")+($AL436="Hospitality and Tourism"))&gt;0,"Commerce",IF((($AL436="Social Sciences and Humanities")+($AL436="Law Studies")+($AL436="Education and Training")+($AL436="Art, Design")+($AL436="Entertainment and Mass Media")+($AL436="Community and Social Service")+($AL436="Personal Care and Services")+($AL436="Government and Public Administration")+($AL436="Defence/ Protective Service")+($AL436="Sports"))&gt;0,"Arts / Humanities",""))))</f>
        <v/>
      </c>
      <c r="BD436" s="5" t="str">
        <f aca="false">IF($B436="","",--(F436&gt;=10)+--(G436&gt;=10)+--(H436&gt;=10)+--(I436&gt;=10)+--(J436&gt;=10)+--(K436&gt;=10)+--(L436&gt;=10)+--(M436&gt;=10)+--(N436&gt;=10)+--(O436&gt;=10))</f>
        <v/>
      </c>
      <c r="BE436" s="5" t="str">
        <f aca="false">IF($B436="","",--(AND(F436&lt;&gt;"",F436&lt;=8))+--(AND(G436&lt;&gt;"",G436&lt;=8))+--(AND(H436&lt;&gt;"",H436&lt;=8))+--(AND(I436&lt;&gt;"",I436&lt;=8))+--(AND(J436&lt;&gt;"",J436&lt;=8))+--(AND(K436&lt;&gt;"",K436&lt;=8))+--(AND(L436&lt;&gt;"",L436&lt;=8))+--(AND(M436&lt;&gt;"",M436&lt;=8))+--(AND(N436&lt;&gt;"",N436&lt;=8))+--(AND(O436&lt;&gt;"",O436&lt;=8)))</f>
        <v/>
      </c>
    </row>
    <row r="437" customFormat="false" ht="15" hidden="false" customHeight="false" outlineLevel="0" collapsed="false">
      <c r="AZ437" s="5" t="str">
        <f aca="false">IF($B437="","",SUMPRODUCT(($AL437:$AO437&lt;&gt;"")*(COUNTIF($AP437:$AX437,$AL437:$AO437)&gt;0)))</f>
        <v/>
      </c>
      <c r="BA437" s="5" t="str">
        <f aca="false">IF($B437="","",IF(AZ437&gt;0,1,0))</f>
        <v/>
      </c>
      <c r="BB437" s="5" t="str">
        <f aca="false">IF($AP437="","",IF((($AP437="Engineering and Technology")+($AP437="Science and Mathematics")+($AP437="Computer Science, IT and Allied Fields")+($AP437="Life Sciences /Medicine and Healthcare")+($AP437="Paramedical")+($AP437="Architecture")+($AP437="Environmental Service")+($AP437="Agriculture, Food Industry and Forestry"))&gt;0,"Science",IF((($AP437="Banking and Finance")+($AP437="Management and Administration")+($AP437="Marketing")+($AP437="Sales")+($AP437="Entrepreneurship")+($AP437="Hospitality and Tourism"))&gt;0,"Commerce",IF((($AP437="Social Sciences and Humanities")+($AP437="Law Studies")+($AP437="Education and Training")+($AP437="Art, Design")+($AP437="Entertainment and Mass Media")+($AP437="Community and Social Service")+($AP437="Personal Care and Services")+($AP437="Government and Public Administration")+($AP437="Defence/ Protective Service")+($AP437="Sports"))&gt;0,"Arts / Humanities",""))))</f>
        <v/>
      </c>
      <c r="BC437" s="5" t="str">
        <f aca="false">IF($AL437="","",IF((($AL437="Engineering and Technology")+($AL437="Science and Mathematics")+($AL437="Computer Science, IT and Allied Fields")+($AL437="Life Sciences /Medicine and Healthcare")+($AL437="Paramedical")+($AL437="Architecture")+($AL437="Environmental Service")+($AL437="Agriculture, Food Industry and Forestry"))&gt;0,"Science",IF((($AL437="Banking and Finance")+($AL437="Management and Administration")+($AL437="Marketing")+($AL437="Sales")+($AL437="Entrepreneurship")+($AL437="Hospitality and Tourism"))&gt;0,"Commerce",IF((($AL437="Social Sciences and Humanities")+($AL437="Law Studies")+($AL437="Education and Training")+($AL437="Art, Design")+($AL437="Entertainment and Mass Media")+($AL437="Community and Social Service")+($AL437="Personal Care and Services")+($AL437="Government and Public Administration")+($AL437="Defence/ Protective Service")+($AL437="Sports"))&gt;0,"Arts / Humanities",""))))</f>
        <v/>
      </c>
      <c r="BD437" s="5" t="str">
        <f aca="false">IF($B437="","",--(F437&gt;=10)+--(G437&gt;=10)+--(H437&gt;=10)+--(I437&gt;=10)+--(J437&gt;=10)+--(K437&gt;=10)+--(L437&gt;=10)+--(M437&gt;=10)+--(N437&gt;=10)+--(O437&gt;=10))</f>
        <v/>
      </c>
      <c r="BE437" s="5" t="str">
        <f aca="false">IF($B437="","",--(AND(F437&lt;&gt;"",F437&lt;=8))+--(AND(G437&lt;&gt;"",G437&lt;=8))+--(AND(H437&lt;&gt;"",H437&lt;=8))+--(AND(I437&lt;&gt;"",I437&lt;=8))+--(AND(J437&lt;&gt;"",J437&lt;=8))+--(AND(K437&lt;&gt;"",K437&lt;=8))+--(AND(L437&lt;&gt;"",L437&lt;=8))+--(AND(M437&lt;&gt;"",M437&lt;=8))+--(AND(N437&lt;&gt;"",N437&lt;=8))+--(AND(O437&lt;&gt;"",O437&lt;=8)))</f>
        <v/>
      </c>
    </row>
    <row r="438" customFormat="false" ht="15" hidden="false" customHeight="false" outlineLevel="0" collapsed="false">
      <c r="AZ438" s="5" t="str">
        <f aca="false">IF($B438="","",SUMPRODUCT(($AL438:$AO438&lt;&gt;"")*(COUNTIF($AP438:$AX438,$AL438:$AO438)&gt;0)))</f>
        <v/>
      </c>
      <c r="BA438" s="5" t="str">
        <f aca="false">IF($B438="","",IF(AZ438&gt;0,1,0))</f>
        <v/>
      </c>
      <c r="BB438" s="5" t="str">
        <f aca="false">IF($AP438="","",IF((($AP438="Engineering and Technology")+($AP438="Science and Mathematics")+($AP438="Computer Science, IT and Allied Fields")+($AP438="Life Sciences /Medicine and Healthcare")+($AP438="Paramedical")+($AP438="Architecture")+($AP438="Environmental Service")+($AP438="Agriculture, Food Industry and Forestry"))&gt;0,"Science",IF((($AP438="Banking and Finance")+($AP438="Management and Administration")+($AP438="Marketing")+($AP438="Sales")+($AP438="Entrepreneurship")+($AP438="Hospitality and Tourism"))&gt;0,"Commerce",IF((($AP438="Social Sciences and Humanities")+($AP438="Law Studies")+($AP438="Education and Training")+($AP438="Art, Design")+($AP438="Entertainment and Mass Media")+($AP438="Community and Social Service")+($AP438="Personal Care and Services")+($AP438="Government and Public Administration")+($AP438="Defence/ Protective Service")+($AP438="Sports"))&gt;0,"Arts / Humanities",""))))</f>
        <v/>
      </c>
      <c r="BC438" s="5" t="str">
        <f aca="false">IF($AL438="","",IF((($AL438="Engineering and Technology")+($AL438="Science and Mathematics")+($AL438="Computer Science, IT and Allied Fields")+($AL438="Life Sciences /Medicine and Healthcare")+($AL438="Paramedical")+($AL438="Architecture")+($AL438="Environmental Service")+($AL438="Agriculture, Food Industry and Forestry"))&gt;0,"Science",IF((($AL438="Banking and Finance")+($AL438="Management and Administration")+($AL438="Marketing")+($AL438="Sales")+($AL438="Entrepreneurship")+($AL438="Hospitality and Tourism"))&gt;0,"Commerce",IF((($AL438="Social Sciences and Humanities")+($AL438="Law Studies")+($AL438="Education and Training")+($AL438="Art, Design")+($AL438="Entertainment and Mass Media")+($AL438="Community and Social Service")+($AL438="Personal Care and Services")+($AL438="Government and Public Administration")+($AL438="Defence/ Protective Service")+($AL438="Sports"))&gt;0,"Arts / Humanities",""))))</f>
        <v/>
      </c>
      <c r="BD438" s="5" t="str">
        <f aca="false">IF($B438="","",--(F438&gt;=10)+--(G438&gt;=10)+--(H438&gt;=10)+--(I438&gt;=10)+--(J438&gt;=10)+--(K438&gt;=10)+--(L438&gt;=10)+--(M438&gt;=10)+--(N438&gt;=10)+--(O438&gt;=10))</f>
        <v/>
      </c>
      <c r="BE438" s="5" t="str">
        <f aca="false">IF($B438="","",--(AND(F438&lt;&gt;"",F438&lt;=8))+--(AND(G438&lt;&gt;"",G438&lt;=8))+--(AND(H438&lt;&gt;"",H438&lt;=8))+--(AND(I438&lt;&gt;"",I438&lt;=8))+--(AND(J438&lt;&gt;"",J438&lt;=8))+--(AND(K438&lt;&gt;"",K438&lt;=8))+--(AND(L438&lt;&gt;"",L438&lt;=8))+--(AND(M438&lt;&gt;"",M438&lt;=8))+--(AND(N438&lt;&gt;"",N438&lt;=8))+--(AND(O438&lt;&gt;"",O438&lt;=8)))</f>
        <v/>
      </c>
    </row>
    <row r="439" customFormat="false" ht="15" hidden="false" customHeight="false" outlineLevel="0" collapsed="false">
      <c r="AZ439" s="5" t="str">
        <f aca="false">IF($B439="","",SUMPRODUCT(($AL439:$AO439&lt;&gt;"")*(COUNTIF($AP439:$AX439,$AL439:$AO439)&gt;0)))</f>
        <v/>
      </c>
      <c r="BA439" s="5" t="str">
        <f aca="false">IF($B439="","",IF(AZ439&gt;0,1,0))</f>
        <v/>
      </c>
      <c r="BB439" s="5" t="str">
        <f aca="false">IF($AP439="","",IF((($AP439="Engineering and Technology")+($AP439="Science and Mathematics")+($AP439="Computer Science, IT and Allied Fields")+($AP439="Life Sciences /Medicine and Healthcare")+($AP439="Paramedical")+($AP439="Architecture")+($AP439="Environmental Service")+($AP439="Agriculture, Food Industry and Forestry"))&gt;0,"Science",IF((($AP439="Banking and Finance")+($AP439="Management and Administration")+($AP439="Marketing")+($AP439="Sales")+($AP439="Entrepreneurship")+($AP439="Hospitality and Tourism"))&gt;0,"Commerce",IF((($AP439="Social Sciences and Humanities")+($AP439="Law Studies")+($AP439="Education and Training")+($AP439="Art, Design")+($AP439="Entertainment and Mass Media")+($AP439="Community and Social Service")+($AP439="Personal Care and Services")+($AP439="Government and Public Administration")+($AP439="Defence/ Protective Service")+($AP439="Sports"))&gt;0,"Arts / Humanities",""))))</f>
        <v/>
      </c>
      <c r="BC439" s="5" t="str">
        <f aca="false">IF($AL439="","",IF((($AL439="Engineering and Technology")+($AL439="Science and Mathematics")+($AL439="Computer Science, IT and Allied Fields")+($AL439="Life Sciences /Medicine and Healthcare")+($AL439="Paramedical")+($AL439="Architecture")+($AL439="Environmental Service")+($AL439="Agriculture, Food Industry and Forestry"))&gt;0,"Science",IF((($AL439="Banking and Finance")+($AL439="Management and Administration")+($AL439="Marketing")+($AL439="Sales")+($AL439="Entrepreneurship")+($AL439="Hospitality and Tourism"))&gt;0,"Commerce",IF((($AL439="Social Sciences and Humanities")+($AL439="Law Studies")+($AL439="Education and Training")+($AL439="Art, Design")+($AL439="Entertainment and Mass Media")+($AL439="Community and Social Service")+($AL439="Personal Care and Services")+($AL439="Government and Public Administration")+($AL439="Defence/ Protective Service")+($AL439="Sports"))&gt;0,"Arts / Humanities",""))))</f>
        <v/>
      </c>
      <c r="BD439" s="5" t="str">
        <f aca="false">IF($B439="","",--(F439&gt;=10)+--(G439&gt;=10)+--(H439&gt;=10)+--(I439&gt;=10)+--(J439&gt;=10)+--(K439&gt;=10)+--(L439&gt;=10)+--(M439&gt;=10)+--(N439&gt;=10)+--(O439&gt;=10))</f>
        <v/>
      </c>
      <c r="BE439" s="5" t="str">
        <f aca="false">IF($B439="","",--(AND(F439&lt;&gt;"",F439&lt;=8))+--(AND(G439&lt;&gt;"",G439&lt;=8))+--(AND(H439&lt;&gt;"",H439&lt;=8))+--(AND(I439&lt;&gt;"",I439&lt;=8))+--(AND(J439&lt;&gt;"",J439&lt;=8))+--(AND(K439&lt;&gt;"",K439&lt;=8))+--(AND(L439&lt;&gt;"",L439&lt;=8))+--(AND(M439&lt;&gt;"",M439&lt;=8))+--(AND(N439&lt;&gt;"",N439&lt;=8))+--(AND(O439&lt;&gt;"",O439&lt;=8)))</f>
        <v/>
      </c>
    </row>
    <row r="440" customFormat="false" ht="15" hidden="false" customHeight="false" outlineLevel="0" collapsed="false">
      <c r="AZ440" s="5" t="str">
        <f aca="false">IF($B440="","",SUMPRODUCT(($AL440:$AO440&lt;&gt;"")*(COUNTIF($AP440:$AX440,$AL440:$AO440)&gt;0)))</f>
        <v/>
      </c>
      <c r="BA440" s="5" t="str">
        <f aca="false">IF($B440="","",IF(AZ440&gt;0,1,0))</f>
        <v/>
      </c>
      <c r="BB440" s="5" t="str">
        <f aca="false">IF($AP440="","",IF((($AP440="Engineering and Technology")+($AP440="Science and Mathematics")+($AP440="Computer Science, IT and Allied Fields")+($AP440="Life Sciences /Medicine and Healthcare")+($AP440="Paramedical")+($AP440="Architecture")+($AP440="Environmental Service")+($AP440="Agriculture, Food Industry and Forestry"))&gt;0,"Science",IF((($AP440="Banking and Finance")+($AP440="Management and Administration")+($AP440="Marketing")+($AP440="Sales")+($AP440="Entrepreneurship")+($AP440="Hospitality and Tourism"))&gt;0,"Commerce",IF((($AP440="Social Sciences and Humanities")+($AP440="Law Studies")+($AP440="Education and Training")+($AP440="Art, Design")+($AP440="Entertainment and Mass Media")+($AP440="Community and Social Service")+($AP440="Personal Care and Services")+($AP440="Government and Public Administration")+($AP440="Defence/ Protective Service")+($AP440="Sports"))&gt;0,"Arts / Humanities",""))))</f>
        <v/>
      </c>
      <c r="BC440" s="5" t="str">
        <f aca="false">IF($AL440="","",IF((($AL440="Engineering and Technology")+($AL440="Science and Mathematics")+($AL440="Computer Science, IT and Allied Fields")+($AL440="Life Sciences /Medicine and Healthcare")+($AL440="Paramedical")+($AL440="Architecture")+($AL440="Environmental Service")+($AL440="Agriculture, Food Industry and Forestry"))&gt;0,"Science",IF((($AL440="Banking and Finance")+($AL440="Management and Administration")+($AL440="Marketing")+($AL440="Sales")+($AL440="Entrepreneurship")+($AL440="Hospitality and Tourism"))&gt;0,"Commerce",IF((($AL440="Social Sciences and Humanities")+($AL440="Law Studies")+($AL440="Education and Training")+($AL440="Art, Design")+($AL440="Entertainment and Mass Media")+($AL440="Community and Social Service")+($AL440="Personal Care and Services")+($AL440="Government and Public Administration")+($AL440="Defence/ Protective Service")+($AL440="Sports"))&gt;0,"Arts / Humanities",""))))</f>
        <v/>
      </c>
      <c r="BD440" s="5" t="str">
        <f aca="false">IF($B440="","",--(F440&gt;=10)+--(G440&gt;=10)+--(H440&gt;=10)+--(I440&gt;=10)+--(J440&gt;=10)+--(K440&gt;=10)+--(L440&gt;=10)+--(M440&gt;=10)+--(N440&gt;=10)+--(O440&gt;=10))</f>
        <v/>
      </c>
      <c r="BE440" s="5" t="str">
        <f aca="false">IF($B440="","",--(AND(F440&lt;&gt;"",F440&lt;=8))+--(AND(G440&lt;&gt;"",G440&lt;=8))+--(AND(H440&lt;&gt;"",H440&lt;=8))+--(AND(I440&lt;&gt;"",I440&lt;=8))+--(AND(J440&lt;&gt;"",J440&lt;=8))+--(AND(K440&lt;&gt;"",K440&lt;=8))+--(AND(L440&lt;&gt;"",L440&lt;=8))+--(AND(M440&lt;&gt;"",M440&lt;=8))+--(AND(N440&lt;&gt;"",N440&lt;=8))+--(AND(O440&lt;&gt;"",O440&lt;=8)))</f>
        <v/>
      </c>
    </row>
    <row r="441" customFormat="false" ht="15" hidden="false" customHeight="false" outlineLevel="0" collapsed="false">
      <c r="AZ441" s="5" t="str">
        <f aca="false">IF($B441="","",SUMPRODUCT(($AL441:$AO441&lt;&gt;"")*(COUNTIF($AP441:$AX441,$AL441:$AO441)&gt;0)))</f>
        <v/>
      </c>
      <c r="BA441" s="5" t="str">
        <f aca="false">IF($B441="","",IF(AZ441&gt;0,1,0))</f>
        <v/>
      </c>
      <c r="BB441" s="5" t="str">
        <f aca="false">IF($AP441="","",IF((($AP441="Engineering and Technology")+($AP441="Science and Mathematics")+($AP441="Computer Science, IT and Allied Fields")+($AP441="Life Sciences /Medicine and Healthcare")+($AP441="Paramedical")+($AP441="Architecture")+($AP441="Environmental Service")+($AP441="Agriculture, Food Industry and Forestry"))&gt;0,"Science",IF((($AP441="Banking and Finance")+($AP441="Management and Administration")+($AP441="Marketing")+($AP441="Sales")+($AP441="Entrepreneurship")+($AP441="Hospitality and Tourism"))&gt;0,"Commerce",IF((($AP441="Social Sciences and Humanities")+($AP441="Law Studies")+($AP441="Education and Training")+($AP441="Art, Design")+($AP441="Entertainment and Mass Media")+($AP441="Community and Social Service")+($AP441="Personal Care and Services")+($AP441="Government and Public Administration")+($AP441="Defence/ Protective Service")+($AP441="Sports"))&gt;0,"Arts / Humanities",""))))</f>
        <v/>
      </c>
      <c r="BC441" s="5" t="str">
        <f aca="false">IF($AL441="","",IF((($AL441="Engineering and Technology")+($AL441="Science and Mathematics")+($AL441="Computer Science, IT and Allied Fields")+($AL441="Life Sciences /Medicine and Healthcare")+($AL441="Paramedical")+($AL441="Architecture")+($AL441="Environmental Service")+($AL441="Agriculture, Food Industry and Forestry"))&gt;0,"Science",IF((($AL441="Banking and Finance")+($AL441="Management and Administration")+($AL441="Marketing")+($AL441="Sales")+($AL441="Entrepreneurship")+($AL441="Hospitality and Tourism"))&gt;0,"Commerce",IF((($AL441="Social Sciences and Humanities")+($AL441="Law Studies")+($AL441="Education and Training")+($AL441="Art, Design")+($AL441="Entertainment and Mass Media")+($AL441="Community and Social Service")+($AL441="Personal Care and Services")+($AL441="Government and Public Administration")+($AL441="Defence/ Protective Service")+($AL441="Sports"))&gt;0,"Arts / Humanities",""))))</f>
        <v/>
      </c>
      <c r="BD441" s="5" t="str">
        <f aca="false">IF($B441="","",--(F441&gt;=10)+--(G441&gt;=10)+--(H441&gt;=10)+--(I441&gt;=10)+--(J441&gt;=10)+--(K441&gt;=10)+--(L441&gt;=10)+--(M441&gt;=10)+--(N441&gt;=10)+--(O441&gt;=10))</f>
        <v/>
      </c>
      <c r="BE441" s="5" t="str">
        <f aca="false">IF($B441="","",--(AND(F441&lt;&gt;"",F441&lt;=8))+--(AND(G441&lt;&gt;"",G441&lt;=8))+--(AND(H441&lt;&gt;"",H441&lt;=8))+--(AND(I441&lt;&gt;"",I441&lt;=8))+--(AND(J441&lt;&gt;"",J441&lt;=8))+--(AND(K441&lt;&gt;"",K441&lt;=8))+--(AND(L441&lt;&gt;"",L441&lt;=8))+--(AND(M441&lt;&gt;"",M441&lt;=8))+--(AND(N441&lt;&gt;"",N441&lt;=8))+--(AND(O441&lt;&gt;"",O441&lt;=8)))</f>
        <v/>
      </c>
    </row>
    <row r="442" customFormat="false" ht="15" hidden="false" customHeight="false" outlineLevel="0" collapsed="false">
      <c r="AZ442" s="5" t="str">
        <f aca="false">IF($B442="","",SUMPRODUCT(($AL442:$AO442&lt;&gt;"")*(COUNTIF($AP442:$AX442,$AL442:$AO442)&gt;0)))</f>
        <v/>
      </c>
      <c r="BA442" s="5" t="str">
        <f aca="false">IF($B442="","",IF(AZ442&gt;0,1,0))</f>
        <v/>
      </c>
      <c r="BB442" s="5" t="str">
        <f aca="false">IF($AP442="","",IF((($AP442="Engineering and Technology")+($AP442="Science and Mathematics")+($AP442="Computer Science, IT and Allied Fields")+($AP442="Life Sciences /Medicine and Healthcare")+($AP442="Paramedical")+($AP442="Architecture")+($AP442="Environmental Service")+($AP442="Agriculture, Food Industry and Forestry"))&gt;0,"Science",IF((($AP442="Banking and Finance")+($AP442="Management and Administration")+($AP442="Marketing")+($AP442="Sales")+($AP442="Entrepreneurship")+($AP442="Hospitality and Tourism"))&gt;0,"Commerce",IF((($AP442="Social Sciences and Humanities")+($AP442="Law Studies")+($AP442="Education and Training")+($AP442="Art, Design")+($AP442="Entertainment and Mass Media")+($AP442="Community and Social Service")+($AP442="Personal Care and Services")+($AP442="Government and Public Administration")+($AP442="Defence/ Protective Service")+($AP442="Sports"))&gt;0,"Arts / Humanities",""))))</f>
        <v/>
      </c>
      <c r="BC442" s="5" t="str">
        <f aca="false">IF($AL442="","",IF((($AL442="Engineering and Technology")+($AL442="Science and Mathematics")+($AL442="Computer Science, IT and Allied Fields")+($AL442="Life Sciences /Medicine and Healthcare")+($AL442="Paramedical")+($AL442="Architecture")+($AL442="Environmental Service")+($AL442="Agriculture, Food Industry and Forestry"))&gt;0,"Science",IF((($AL442="Banking and Finance")+($AL442="Management and Administration")+($AL442="Marketing")+($AL442="Sales")+($AL442="Entrepreneurship")+($AL442="Hospitality and Tourism"))&gt;0,"Commerce",IF((($AL442="Social Sciences and Humanities")+($AL442="Law Studies")+($AL442="Education and Training")+($AL442="Art, Design")+($AL442="Entertainment and Mass Media")+($AL442="Community and Social Service")+($AL442="Personal Care and Services")+($AL442="Government and Public Administration")+($AL442="Defence/ Protective Service")+($AL442="Sports"))&gt;0,"Arts / Humanities",""))))</f>
        <v/>
      </c>
      <c r="BD442" s="5" t="str">
        <f aca="false">IF($B442="","",--(F442&gt;=10)+--(G442&gt;=10)+--(H442&gt;=10)+--(I442&gt;=10)+--(J442&gt;=10)+--(K442&gt;=10)+--(L442&gt;=10)+--(M442&gt;=10)+--(N442&gt;=10)+--(O442&gt;=10))</f>
        <v/>
      </c>
      <c r="BE442" s="5" t="str">
        <f aca="false">IF($B442="","",--(AND(F442&lt;&gt;"",F442&lt;=8))+--(AND(G442&lt;&gt;"",G442&lt;=8))+--(AND(H442&lt;&gt;"",H442&lt;=8))+--(AND(I442&lt;&gt;"",I442&lt;=8))+--(AND(J442&lt;&gt;"",J442&lt;=8))+--(AND(K442&lt;&gt;"",K442&lt;=8))+--(AND(L442&lt;&gt;"",L442&lt;=8))+--(AND(M442&lt;&gt;"",M442&lt;=8))+--(AND(N442&lt;&gt;"",N442&lt;=8))+--(AND(O442&lt;&gt;"",O442&lt;=8)))</f>
        <v/>
      </c>
    </row>
    <row r="443" customFormat="false" ht="15" hidden="false" customHeight="false" outlineLevel="0" collapsed="false">
      <c r="AZ443" s="5" t="str">
        <f aca="false">IF($B443="","",SUMPRODUCT(($AL443:$AO443&lt;&gt;"")*(COUNTIF($AP443:$AX443,$AL443:$AO443)&gt;0)))</f>
        <v/>
      </c>
      <c r="BA443" s="5" t="str">
        <f aca="false">IF($B443="","",IF(AZ443&gt;0,1,0))</f>
        <v/>
      </c>
      <c r="BB443" s="5" t="str">
        <f aca="false">IF($AP443="","",IF((($AP443="Engineering and Technology")+($AP443="Science and Mathematics")+($AP443="Computer Science, IT and Allied Fields")+($AP443="Life Sciences /Medicine and Healthcare")+($AP443="Paramedical")+($AP443="Architecture")+($AP443="Environmental Service")+($AP443="Agriculture, Food Industry and Forestry"))&gt;0,"Science",IF((($AP443="Banking and Finance")+($AP443="Management and Administration")+($AP443="Marketing")+($AP443="Sales")+($AP443="Entrepreneurship")+($AP443="Hospitality and Tourism"))&gt;0,"Commerce",IF((($AP443="Social Sciences and Humanities")+($AP443="Law Studies")+($AP443="Education and Training")+($AP443="Art, Design")+($AP443="Entertainment and Mass Media")+($AP443="Community and Social Service")+($AP443="Personal Care and Services")+($AP443="Government and Public Administration")+($AP443="Defence/ Protective Service")+($AP443="Sports"))&gt;0,"Arts / Humanities",""))))</f>
        <v/>
      </c>
      <c r="BC443" s="5" t="str">
        <f aca="false">IF($AL443="","",IF((($AL443="Engineering and Technology")+($AL443="Science and Mathematics")+($AL443="Computer Science, IT and Allied Fields")+($AL443="Life Sciences /Medicine and Healthcare")+($AL443="Paramedical")+($AL443="Architecture")+($AL443="Environmental Service")+($AL443="Agriculture, Food Industry and Forestry"))&gt;0,"Science",IF((($AL443="Banking and Finance")+($AL443="Management and Administration")+($AL443="Marketing")+($AL443="Sales")+($AL443="Entrepreneurship")+($AL443="Hospitality and Tourism"))&gt;0,"Commerce",IF((($AL443="Social Sciences and Humanities")+($AL443="Law Studies")+($AL443="Education and Training")+($AL443="Art, Design")+($AL443="Entertainment and Mass Media")+($AL443="Community and Social Service")+($AL443="Personal Care and Services")+($AL443="Government and Public Administration")+($AL443="Defence/ Protective Service")+($AL443="Sports"))&gt;0,"Arts / Humanities",""))))</f>
        <v/>
      </c>
      <c r="BD443" s="5" t="str">
        <f aca="false">IF($B443="","",--(F443&gt;=10)+--(G443&gt;=10)+--(H443&gt;=10)+--(I443&gt;=10)+--(J443&gt;=10)+--(K443&gt;=10)+--(L443&gt;=10)+--(M443&gt;=10)+--(N443&gt;=10)+--(O443&gt;=10))</f>
        <v/>
      </c>
      <c r="BE443" s="5" t="str">
        <f aca="false">IF($B443="","",--(AND(F443&lt;&gt;"",F443&lt;=8))+--(AND(G443&lt;&gt;"",G443&lt;=8))+--(AND(H443&lt;&gt;"",H443&lt;=8))+--(AND(I443&lt;&gt;"",I443&lt;=8))+--(AND(J443&lt;&gt;"",J443&lt;=8))+--(AND(K443&lt;&gt;"",K443&lt;=8))+--(AND(L443&lt;&gt;"",L443&lt;=8))+--(AND(M443&lt;&gt;"",M443&lt;=8))+--(AND(N443&lt;&gt;"",N443&lt;=8))+--(AND(O443&lt;&gt;"",O443&lt;=8)))</f>
        <v/>
      </c>
    </row>
    <row r="444" customFormat="false" ht="15" hidden="false" customHeight="false" outlineLevel="0" collapsed="false">
      <c r="AZ444" s="5" t="str">
        <f aca="false">IF($B444="","",SUMPRODUCT(($AL444:$AO444&lt;&gt;"")*(COUNTIF($AP444:$AX444,$AL444:$AO444)&gt;0)))</f>
        <v/>
      </c>
      <c r="BA444" s="5" t="str">
        <f aca="false">IF($B444="","",IF(AZ444&gt;0,1,0))</f>
        <v/>
      </c>
      <c r="BB444" s="5" t="str">
        <f aca="false">IF($AP444="","",IF((($AP444="Engineering and Technology")+($AP444="Science and Mathematics")+($AP444="Computer Science, IT and Allied Fields")+($AP444="Life Sciences /Medicine and Healthcare")+($AP444="Paramedical")+($AP444="Architecture")+($AP444="Environmental Service")+($AP444="Agriculture, Food Industry and Forestry"))&gt;0,"Science",IF((($AP444="Banking and Finance")+($AP444="Management and Administration")+($AP444="Marketing")+($AP444="Sales")+($AP444="Entrepreneurship")+($AP444="Hospitality and Tourism"))&gt;0,"Commerce",IF((($AP444="Social Sciences and Humanities")+($AP444="Law Studies")+($AP444="Education and Training")+($AP444="Art, Design")+($AP444="Entertainment and Mass Media")+($AP444="Community and Social Service")+($AP444="Personal Care and Services")+($AP444="Government and Public Administration")+($AP444="Defence/ Protective Service")+($AP444="Sports"))&gt;0,"Arts / Humanities",""))))</f>
        <v/>
      </c>
      <c r="BC444" s="5" t="str">
        <f aca="false">IF($AL444="","",IF((($AL444="Engineering and Technology")+($AL444="Science and Mathematics")+($AL444="Computer Science, IT and Allied Fields")+($AL444="Life Sciences /Medicine and Healthcare")+($AL444="Paramedical")+($AL444="Architecture")+($AL444="Environmental Service")+($AL444="Agriculture, Food Industry and Forestry"))&gt;0,"Science",IF((($AL444="Banking and Finance")+($AL444="Management and Administration")+($AL444="Marketing")+($AL444="Sales")+($AL444="Entrepreneurship")+($AL444="Hospitality and Tourism"))&gt;0,"Commerce",IF((($AL444="Social Sciences and Humanities")+($AL444="Law Studies")+($AL444="Education and Training")+($AL444="Art, Design")+($AL444="Entertainment and Mass Media")+($AL444="Community and Social Service")+($AL444="Personal Care and Services")+($AL444="Government and Public Administration")+($AL444="Defence/ Protective Service")+($AL444="Sports"))&gt;0,"Arts / Humanities",""))))</f>
        <v/>
      </c>
      <c r="BD444" s="5" t="str">
        <f aca="false">IF($B444="","",--(F444&gt;=10)+--(G444&gt;=10)+--(H444&gt;=10)+--(I444&gt;=10)+--(J444&gt;=10)+--(K444&gt;=10)+--(L444&gt;=10)+--(M444&gt;=10)+--(N444&gt;=10)+--(O444&gt;=10))</f>
        <v/>
      </c>
      <c r="BE444" s="5" t="str">
        <f aca="false">IF($B444="","",--(AND(F444&lt;&gt;"",F444&lt;=8))+--(AND(G444&lt;&gt;"",G444&lt;=8))+--(AND(H444&lt;&gt;"",H444&lt;=8))+--(AND(I444&lt;&gt;"",I444&lt;=8))+--(AND(J444&lt;&gt;"",J444&lt;=8))+--(AND(K444&lt;&gt;"",K444&lt;=8))+--(AND(L444&lt;&gt;"",L444&lt;=8))+--(AND(M444&lt;&gt;"",M444&lt;=8))+--(AND(N444&lt;&gt;"",N444&lt;=8))+--(AND(O444&lt;&gt;"",O444&lt;=8)))</f>
        <v/>
      </c>
    </row>
    <row r="445" customFormat="false" ht="15" hidden="false" customHeight="false" outlineLevel="0" collapsed="false">
      <c r="AZ445" s="5" t="str">
        <f aca="false">IF($B445="","",SUMPRODUCT(($AL445:$AO445&lt;&gt;"")*(COUNTIF($AP445:$AX445,$AL445:$AO445)&gt;0)))</f>
        <v/>
      </c>
      <c r="BA445" s="5" t="str">
        <f aca="false">IF($B445="","",IF(AZ445&gt;0,1,0))</f>
        <v/>
      </c>
      <c r="BB445" s="5" t="str">
        <f aca="false">IF($AP445="","",IF((($AP445="Engineering and Technology")+($AP445="Science and Mathematics")+($AP445="Computer Science, IT and Allied Fields")+($AP445="Life Sciences /Medicine and Healthcare")+($AP445="Paramedical")+($AP445="Architecture")+($AP445="Environmental Service")+($AP445="Agriculture, Food Industry and Forestry"))&gt;0,"Science",IF((($AP445="Banking and Finance")+($AP445="Management and Administration")+($AP445="Marketing")+($AP445="Sales")+($AP445="Entrepreneurship")+($AP445="Hospitality and Tourism"))&gt;0,"Commerce",IF((($AP445="Social Sciences and Humanities")+($AP445="Law Studies")+($AP445="Education and Training")+($AP445="Art, Design")+($AP445="Entertainment and Mass Media")+($AP445="Community and Social Service")+($AP445="Personal Care and Services")+($AP445="Government and Public Administration")+($AP445="Defence/ Protective Service")+($AP445="Sports"))&gt;0,"Arts / Humanities",""))))</f>
        <v/>
      </c>
      <c r="BC445" s="5" t="str">
        <f aca="false">IF($AL445="","",IF((($AL445="Engineering and Technology")+($AL445="Science and Mathematics")+($AL445="Computer Science, IT and Allied Fields")+($AL445="Life Sciences /Medicine and Healthcare")+($AL445="Paramedical")+($AL445="Architecture")+($AL445="Environmental Service")+($AL445="Agriculture, Food Industry and Forestry"))&gt;0,"Science",IF((($AL445="Banking and Finance")+($AL445="Management and Administration")+($AL445="Marketing")+($AL445="Sales")+($AL445="Entrepreneurship")+($AL445="Hospitality and Tourism"))&gt;0,"Commerce",IF((($AL445="Social Sciences and Humanities")+($AL445="Law Studies")+($AL445="Education and Training")+($AL445="Art, Design")+($AL445="Entertainment and Mass Media")+($AL445="Community and Social Service")+($AL445="Personal Care and Services")+($AL445="Government and Public Administration")+($AL445="Defence/ Protective Service")+($AL445="Sports"))&gt;0,"Arts / Humanities",""))))</f>
        <v/>
      </c>
      <c r="BD445" s="5" t="str">
        <f aca="false">IF($B445="","",--(F445&gt;=10)+--(G445&gt;=10)+--(H445&gt;=10)+--(I445&gt;=10)+--(J445&gt;=10)+--(K445&gt;=10)+--(L445&gt;=10)+--(M445&gt;=10)+--(N445&gt;=10)+--(O445&gt;=10))</f>
        <v/>
      </c>
      <c r="BE445" s="5" t="str">
        <f aca="false">IF($B445="","",--(AND(F445&lt;&gt;"",F445&lt;=8))+--(AND(G445&lt;&gt;"",G445&lt;=8))+--(AND(H445&lt;&gt;"",H445&lt;=8))+--(AND(I445&lt;&gt;"",I445&lt;=8))+--(AND(J445&lt;&gt;"",J445&lt;=8))+--(AND(K445&lt;&gt;"",K445&lt;=8))+--(AND(L445&lt;&gt;"",L445&lt;=8))+--(AND(M445&lt;&gt;"",M445&lt;=8))+--(AND(N445&lt;&gt;"",N445&lt;=8))+--(AND(O445&lt;&gt;"",O445&lt;=8)))</f>
        <v/>
      </c>
    </row>
    <row r="446" customFormat="false" ht="15" hidden="false" customHeight="false" outlineLevel="0" collapsed="false">
      <c r="AZ446" s="5" t="str">
        <f aca="false">IF($B446="","",SUMPRODUCT(($AL446:$AO446&lt;&gt;"")*(COUNTIF($AP446:$AX446,$AL446:$AO446)&gt;0)))</f>
        <v/>
      </c>
      <c r="BA446" s="5" t="str">
        <f aca="false">IF($B446="","",IF(AZ446&gt;0,1,0))</f>
        <v/>
      </c>
      <c r="BB446" s="5" t="str">
        <f aca="false">IF($AP446="","",IF((($AP446="Engineering and Technology")+($AP446="Science and Mathematics")+($AP446="Computer Science, IT and Allied Fields")+($AP446="Life Sciences /Medicine and Healthcare")+($AP446="Paramedical")+($AP446="Architecture")+($AP446="Environmental Service")+($AP446="Agriculture, Food Industry and Forestry"))&gt;0,"Science",IF((($AP446="Banking and Finance")+($AP446="Management and Administration")+($AP446="Marketing")+($AP446="Sales")+($AP446="Entrepreneurship")+($AP446="Hospitality and Tourism"))&gt;0,"Commerce",IF((($AP446="Social Sciences and Humanities")+($AP446="Law Studies")+($AP446="Education and Training")+($AP446="Art, Design")+($AP446="Entertainment and Mass Media")+($AP446="Community and Social Service")+($AP446="Personal Care and Services")+($AP446="Government and Public Administration")+($AP446="Defence/ Protective Service")+($AP446="Sports"))&gt;0,"Arts / Humanities",""))))</f>
        <v/>
      </c>
      <c r="BC446" s="5" t="str">
        <f aca="false">IF($AL446="","",IF((($AL446="Engineering and Technology")+($AL446="Science and Mathematics")+($AL446="Computer Science, IT and Allied Fields")+($AL446="Life Sciences /Medicine and Healthcare")+($AL446="Paramedical")+($AL446="Architecture")+($AL446="Environmental Service")+($AL446="Agriculture, Food Industry and Forestry"))&gt;0,"Science",IF((($AL446="Banking and Finance")+($AL446="Management and Administration")+($AL446="Marketing")+($AL446="Sales")+($AL446="Entrepreneurship")+($AL446="Hospitality and Tourism"))&gt;0,"Commerce",IF((($AL446="Social Sciences and Humanities")+($AL446="Law Studies")+($AL446="Education and Training")+($AL446="Art, Design")+($AL446="Entertainment and Mass Media")+($AL446="Community and Social Service")+($AL446="Personal Care and Services")+($AL446="Government and Public Administration")+($AL446="Defence/ Protective Service")+($AL446="Sports"))&gt;0,"Arts / Humanities",""))))</f>
        <v/>
      </c>
      <c r="BD446" s="5" t="str">
        <f aca="false">IF($B446="","",--(F446&gt;=10)+--(G446&gt;=10)+--(H446&gt;=10)+--(I446&gt;=10)+--(J446&gt;=10)+--(K446&gt;=10)+--(L446&gt;=10)+--(M446&gt;=10)+--(N446&gt;=10)+--(O446&gt;=10))</f>
        <v/>
      </c>
      <c r="BE446" s="5" t="str">
        <f aca="false">IF($B446="","",--(AND(F446&lt;&gt;"",F446&lt;=8))+--(AND(G446&lt;&gt;"",G446&lt;=8))+--(AND(H446&lt;&gt;"",H446&lt;=8))+--(AND(I446&lt;&gt;"",I446&lt;=8))+--(AND(J446&lt;&gt;"",J446&lt;=8))+--(AND(K446&lt;&gt;"",K446&lt;=8))+--(AND(L446&lt;&gt;"",L446&lt;=8))+--(AND(M446&lt;&gt;"",M446&lt;=8))+--(AND(N446&lt;&gt;"",N446&lt;=8))+--(AND(O446&lt;&gt;"",O446&lt;=8)))</f>
        <v/>
      </c>
    </row>
    <row r="447" customFormat="false" ht="15" hidden="false" customHeight="false" outlineLevel="0" collapsed="false">
      <c r="AZ447" s="5" t="str">
        <f aca="false">IF($B447="","",SUMPRODUCT(($AL447:$AO447&lt;&gt;"")*(COUNTIF($AP447:$AX447,$AL447:$AO447)&gt;0)))</f>
        <v/>
      </c>
      <c r="BA447" s="5" t="str">
        <f aca="false">IF($B447="","",IF(AZ447&gt;0,1,0))</f>
        <v/>
      </c>
      <c r="BB447" s="5" t="str">
        <f aca="false">IF($AP447="","",IF((($AP447="Engineering and Technology")+($AP447="Science and Mathematics")+($AP447="Computer Science, IT and Allied Fields")+($AP447="Life Sciences /Medicine and Healthcare")+($AP447="Paramedical")+($AP447="Architecture")+($AP447="Environmental Service")+($AP447="Agriculture, Food Industry and Forestry"))&gt;0,"Science",IF((($AP447="Banking and Finance")+($AP447="Management and Administration")+($AP447="Marketing")+($AP447="Sales")+($AP447="Entrepreneurship")+($AP447="Hospitality and Tourism"))&gt;0,"Commerce",IF((($AP447="Social Sciences and Humanities")+($AP447="Law Studies")+($AP447="Education and Training")+($AP447="Art, Design")+($AP447="Entertainment and Mass Media")+($AP447="Community and Social Service")+($AP447="Personal Care and Services")+($AP447="Government and Public Administration")+($AP447="Defence/ Protective Service")+($AP447="Sports"))&gt;0,"Arts / Humanities",""))))</f>
        <v/>
      </c>
      <c r="BC447" s="5" t="str">
        <f aca="false">IF($AL447="","",IF((($AL447="Engineering and Technology")+($AL447="Science and Mathematics")+($AL447="Computer Science, IT and Allied Fields")+($AL447="Life Sciences /Medicine and Healthcare")+($AL447="Paramedical")+($AL447="Architecture")+($AL447="Environmental Service")+($AL447="Agriculture, Food Industry and Forestry"))&gt;0,"Science",IF((($AL447="Banking and Finance")+($AL447="Management and Administration")+($AL447="Marketing")+($AL447="Sales")+($AL447="Entrepreneurship")+($AL447="Hospitality and Tourism"))&gt;0,"Commerce",IF((($AL447="Social Sciences and Humanities")+($AL447="Law Studies")+($AL447="Education and Training")+($AL447="Art, Design")+($AL447="Entertainment and Mass Media")+($AL447="Community and Social Service")+($AL447="Personal Care and Services")+($AL447="Government and Public Administration")+($AL447="Defence/ Protective Service")+($AL447="Sports"))&gt;0,"Arts / Humanities",""))))</f>
        <v/>
      </c>
      <c r="BD447" s="5" t="str">
        <f aca="false">IF($B447="","",--(F447&gt;=10)+--(G447&gt;=10)+--(H447&gt;=10)+--(I447&gt;=10)+--(J447&gt;=10)+--(K447&gt;=10)+--(L447&gt;=10)+--(M447&gt;=10)+--(N447&gt;=10)+--(O447&gt;=10))</f>
        <v/>
      </c>
      <c r="BE447" s="5" t="str">
        <f aca="false">IF($B447="","",--(AND(F447&lt;&gt;"",F447&lt;=8))+--(AND(G447&lt;&gt;"",G447&lt;=8))+--(AND(H447&lt;&gt;"",H447&lt;=8))+--(AND(I447&lt;&gt;"",I447&lt;=8))+--(AND(J447&lt;&gt;"",J447&lt;=8))+--(AND(K447&lt;&gt;"",K447&lt;=8))+--(AND(L447&lt;&gt;"",L447&lt;=8))+--(AND(M447&lt;&gt;"",M447&lt;=8))+--(AND(N447&lt;&gt;"",N447&lt;=8))+--(AND(O447&lt;&gt;"",O447&lt;=8)))</f>
        <v/>
      </c>
    </row>
    <row r="448" customFormat="false" ht="15" hidden="false" customHeight="false" outlineLevel="0" collapsed="false">
      <c r="AZ448" s="5" t="str">
        <f aca="false">IF($B448="","",SUMPRODUCT(($AL448:$AO448&lt;&gt;"")*(COUNTIF($AP448:$AX448,$AL448:$AO448)&gt;0)))</f>
        <v/>
      </c>
      <c r="BA448" s="5" t="str">
        <f aca="false">IF($B448="","",IF(AZ448&gt;0,1,0))</f>
        <v/>
      </c>
      <c r="BB448" s="5" t="str">
        <f aca="false">IF($AP448="","",IF((($AP448="Engineering and Technology")+($AP448="Science and Mathematics")+($AP448="Computer Science, IT and Allied Fields")+($AP448="Life Sciences /Medicine and Healthcare")+($AP448="Paramedical")+($AP448="Architecture")+($AP448="Environmental Service")+($AP448="Agriculture, Food Industry and Forestry"))&gt;0,"Science",IF((($AP448="Banking and Finance")+($AP448="Management and Administration")+($AP448="Marketing")+($AP448="Sales")+($AP448="Entrepreneurship")+($AP448="Hospitality and Tourism"))&gt;0,"Commerce",IF((($AP448="Social Sciences and Humanities")+($AP448="Law Studies")+($AP448="Education and Training")+($AP448="Art, Design")+($AP448="Entertainment and Mass Media")+($AP448="Community and Social Service")+($AP448="Personal Care and Services")+($AP448="Government and Public Administration")+($AP448="Defence/ Protective Service")+($AP448="Sports"))&gt;0,"Arts / Humanities",""))))</f>
        <v/>
      </c>
      <c r="BC448" s="5" t="str">
        <f aca="false">IF($AL448="","",IF((($AL448="Engineering and Technology")+($AL448="Science and Mathematics")+($AL448="Computer Science, IT and Allied Fields")+($AL448="Life Sciences /Medicine and Healthcare")+($AL448="Paramedical")+($AL448="Architecture")+($AL448="Environmental Service")+($AL448="Agriculture, Food Industry and Forestry"))&gt;0,"Science",IF((($AL448="Banking and Finance")+($AL448="Management and Administration")+($AL448="Marketing")+($AL448="Sales")+($AL448="Entrepreneurship")+($AL448="Hospitality and Tourism"))&gt;0,"Commerce",IF((($AL448="Social Sciences and Humanities")+($AL448="Law Studies")+($AL448="Education and Training")+($AL448="Art, Design")+($AL448="Entertainment and Mass Media")+($AL448="Community and Social Service")+($AL448="Personal Care and Services")+($AL448="Government and Public Administration")+($AL448="Defence/ Protective Service")+($AL448="Sports"))&gt;0,"Arts / Humanities",""))))</f>
        <v/>
      </c>
      <c r="BD448" s="5" t="str">
        <f aca="false">IF($B448="","",--(F448&gt;=10)+--(G448&gt;=10)+--(H448&gt;=10)+--(I448&gt;=10)+--(J448&gt;=10)+--(K448&gt;=10)+--(L448&gt;=10)+--(M448&gt;=10)+--(N448&gt;=10)+--(O448&gt;=10))</f>
        <v/>
      </c>
      <c r="BE448" s="5" t="str">
        <f aca="false">IF($B448="","",--(AND(F448&lt;&gt;"",F448&lt;=8))+--(AND(G448&lt;&gt;"",G448&lt;=8))+--(AND(H448&lt;&gt;"",H448&lt;=8))+--(AND(I448&lt;&gt;"",I448&lt;=8))+--(AND(J448&lt;&gt;"",J448&lt;=8))+--(AND(K448&lt;&gt;"",K448&lt;=8))+--(AND(L448&lt;&gt;"",L448&lt;=8))+--(AND(M448&lt;&gt;"",M448&lt;=8))+--(AND(N448&lt;&gt;"",N448&lt;=8))+--(AND(O448&lt;&gt;"",O448&lt;=8)))</f>
        <v/>
      </c>
    </row>
    <row r="449" customFormat="false" ht="15" hidden="false" customHeight="false" outlineLevel="0" collapsed="false">
      <c r="AZ449" s="5" t="str">
        <f aca="false">IF($B449="","",SUMPRODUCT(($AL449:$AO449&lt;&gt;"")*(COUNTIF($AP449:$AX449,$AL449:$AO449)&gt;0)))</f>
        <v/>
      </c>
      <c r="BA449" s="5" t="str">
        <f aca="false">IF($B449="","",IF(AZ449&gt;0,1,0))</f>
        <v/>
      </c>
      <c r="BB449" s="5" t="str">
        <f aca="false">IF($AP449="","",IF((($AP449="Engineering and Technology")+($AP449="Science and Mathematics")+($AP449="Computer Science, IT and Allied Fields")+($AP449="Life Sciences /Medicine and Healthcare")+($AP449="Paramedical")+($AP449="Architecture")+($AP449="Environmental Service")+($AP449="Agriculture, Food Industry and Forestry"))&gt;0,"Science",IF((($AP449="Banking and Finance")+($AP449="Management and Administration")+($AP449="Marketing")+($AP449="Sales")+($AP449="Entrepreneurship")+($AP449="Hospitality and Tourism"))&gt;0,"Commerce",IF((($AP449="Social Sciences and Humanities")+($AP449="Law Studies")+($AP449="Education and Training")+($AP449="Art, Design")+($AP449="Entertainment and Mass Media")+($AP449="Community and Social Service")+($AP449="Personal Care and Services")+($AP449="Government and Public Administration")+($AP449="Defence/ Protective Service")+($AP449="Sports"))&gt;0,"Arts / Humanities",""))))</f>
        <v/>
      </c>
      <c r="BC449" s="5" t="str">
        <f aca="false">IF($AL449="","",IF((($AL449="Engineering and Technology")+($AL449="Science and Mathematics")+($AL449="Computer Science, IT and Allied Fields")+($AL449="Life Sciences /Medicine and Healthcare")+($AL449="Paramedical")+($AL449="Architecture")+($AL449="Environmental Service")+($AL449="Agriculture, Food Industry and Forestry"))&gt;0,"Science",IF((($AL449="Banking and Finance")+($AL449="Management and Administration")+($AL449="Marketing")+($AL449="Sales")+($AL449="Entrepreneurship")+($AL449="Hospitality and Tourism"))&gt;0,"Commerce",IF((($AL449="Social Sciences and Humanities")+($AL449="Law Studies")+($AL449="Education and Training")+($AL449="Art, Design")+($AL449="Entertainment and Mass Media")+($AL449="Community and Social Service")+($AL449="Personal Care and Services")+($AL449="Government and Public Administration")+($AL449="Defence/ Protective Service")+($AL449="Sports"))&gt;0,"Arts / Humanities",""))))</f>
        <v/>
      </c>
      <c r="BD449" s="5" t="str">
        <f aca="false">IF($B449="","",--(F449&gt;=10)+--(G449&gt;=10)+--(H449&gt;=10)+--(I449&gt;=10)+--(J449&gt;=10)+--(K449&gt;=10)+--(L449&gt;=10)+--(M449&gt;=10)+--(N449&gt;=10)+--(O449&gt;=10))</f>
        <v/>
      </c>
      <c r="BE449" s="5" t="str">
        <f aca="false">IF($B449="","",--(AND(F449&lt;&gt;"",F449&lt;=8))+--(AND(G449&lt;&gt;"",G449&lt;=8))+--(AND(H449&lt;&gt;"",H449&lt;=8))+--(AND(I449&lt;&gt;"",I449&lt;=8))+--(AND(J449&lt;&gt;"",J449&lt;=8))+--(AND(K449&lt;&gt;"",K449&lt;=8))+--(AND(L449&lt;&gt;"",L449&lt;=8))+--(AND(M449&lt;&gt;"",M449&lt;=8))+--(AND(N449&lt;&gt;"",N449&lt;=8))+--(AND(O449&lt;&gt;"",O449&lt;=8)))</f>
        <v/>
      </c>
    </row>
    <row r="450" customFormat="false" ht="15" hidden="false" customHeight="false" outlineLevel="0" collapsed="false">
      <c r="AZ450" s="5" t="str">
        <f aca="false">IF($B450="","",SUMPRODUCT(($AL450:$AO450&lt;&gt;"")*(COUNTIF($AP450:$AX450,$AL450:$AO450)&gt;0)))</f>
        <v/>
      </c>
      <c r="BA450" s="5" t="str">
        <f aca="false">IF($B450="","",IF(AZ450&gt;0,1,0))</f>
        <v/>
      </c>
      <c r="BB450" s="5" t="str">
        <f aca="false">IF($AP450="","",IF((($AP450="Engineering and Technology")+($AP450="Science and Mathematics")+($AP450="Computer Science, IT and Allied Fields")+($AP450="Life Sciences /Medicine and Healthcare")+($AP450="Paramedical")+($AP450="Architecture")+($AP450="Environmental Service")+($AP450="Agriculture, Food Industry and Forestry"))&gt;0,"Science",IF((($AP450="Banking and Finance")+($AP450="Management and Administration")+($AP450="Marketing")+($AP450="Sales")+($AP450="Entrepreneurship")+($AP450="Hospitality and Tourism"))&gt;0,"Commerce",IF((($AP450="Social Sciences and Humanities")+($AP450="Law Studies")+($AP450="Education and Training")+($AP450="Art, Design")+($AP450="Entertainment and Mass Media")+($AP450="Community and Social Service")+($AP450="Personal Care and Services")+($AP450="Government and Public Administration")+($AP450="Defence/ Protective Service")+($AP450="Sports"))&gt;0,"Arts / Humanities",""))))</f>
        <v/>
      </c>
      <c r="BC450" s="5" t="str">
        <f aca="false">IF($AL450="","",IF((($AL450="Engineering and Technology")+($AL450="Science and Mathematics")+($AL450="Computer Science, IT and Allied Fields")+($AL450="Life Sciences /Medicine and Healthcare")+($AL450="Paramedical")+($AL450="Architecture")+($AL450="Environmental Service")+($AL450="Agriculture, Food Industry and Forestry"))&gt;0,"Science",IF((($AL450="Banking and Finance")+($AL450="Management and Administration")+($AL450="Marketing")+($AL450="Sales")+($AL450="Entrepreneurship")+($AL450="Hospitality and Tourism"))&gt;0,"Commerce",IF((($AL450="Social Sciences and Humanities")+($AL450="Law Studies")+($AL450="Education and Training")+($AL450="Art, Design")+($AL450="Entertainment and Mass Media")+($AL450="Community and Social Service")+($AL450="Personal Care and Services")+($AL450="Government and Public Administration")+($AL450="Defence/ Protective Service")+($AL450="Sports"))&gt;0,"Arts / Humanities",""))))</f>
        <v/>
      </c>
      <c r="BD450" s="5" t="str">
        <f aca="false">IF($B450="","",--(F450&gt;=10)+--(G450&gt;=10)+--(H450&gt;=10)+--(I450&gt;=10)+--(J450&gt;=10)+--(K450&gt;=10)+--(L450&gt;=10)+--(M450&gt;=10)+--(N450&gt;=10)+--(O450&gt;=10))</f>
        <v/>
      </c>
      <c r="BE450" s="5" t="str">
        <f aca="false">IF($B450="","",--(AND(F450&lt;&gt;"",F450&lt;=8))+--(AND(G450&lt;&gt;"",G450&lt;=8))+--(AND(H450&lt;&gt;"",H450&lt;=8))+--(AND(I450&lt;&gt;"",I450&lt;=8))+--(AND(J450&lt;&gt;"",J450&lt;=8))+--(AND(K450&lt;&gt;"",K450&lt;=8))+--(AND(L450&lt;&gt;"",L450&lt;=8))+--(AND(M450&lt;&gt;"",M450&lt;=8))+--(AND(N450&lt;&gt;"",N450&lt;=8))+--(AND(O450&lt;&gt;"",O450&lt;=8)))</f>
        <v/>
      </c>
    </row>
    <row r="451" customFormat="false" ht="15" hidden="false" customHeight="false" outlineLevel="0" collapsed="false">
      <c r="AZ451" s="5" t="str">
        <f aca="false">IF($B451="","",SUMPRODUCT(($AL451:$AO451&lt;&gt;"")*(COUNTIF($AP451:$AX451,$AL451:$AO451)&gt;0)))</f>
        <v/>
      </c>
      <c r="BA451" s="5" t="str">
        <f aca="false">IF($B451="","",IF(AZ451&gt;0,1,0))</f>
        <v/>
      </c>
      <c r="BB451" s="5" t="str">
        <f aca="false">IF($AP451="","",IF((($AP451="Engineering and Technology")+($AP451="Science and Mathematics")+($AP451="Computer Science, IT and Allied Fields")+($AP451="Life Sciences /Medicine and Healthcare")+($AP451="Paramedical")+($AP451="Architecture")+($AP451="Environmental Service")+($AP451="Agriculture, Food Industry and Forestry"))&gt;0,"Science",IF((($AP451="Banking and Finance")+($AP451="Management and Administration")+($AP451="Marketing")+($AP451="Sales")+($AP451="Entrepreneurship")+($AP451="Hospitality and Tourism"))&gt;0,"Commerce",IF((($AP451="Social Sciences and Humanities")+($AP451="Law Studies")+($AP451="Education and Training")+($AP451="Art, Design")+($AP451="Entertainment and Mass Media")+($AP451="Community and Social Service")+($AP451="Personal Care and Services")+($AP451="Government and Public Administration")+($AP451="Defence/ Protective Service")+($AP451="Sports"))&gt;0,"Arts / Humanities",""))))</f>
        <v/>
      </c>
      <c r="BC451" s="5" t="str">
        <f aca="false">IF($AL451="","",IF((($AL451="Engineering and Technology")+($AL451="Science and Mathematics")+($AL451="Computer Science, IT and Allied Fields")+($AL451="Life Sciences /Medicine and Healthcare")+($AL451="Paramedical")+($AL451="Architecture")+($AL451="Environmental Service")+($AL451="Agriculture, Food Industry and Forestry"))&gt;0,"Science",IF((($AL451="Banking and Finance")+($AL451="Management and Administration")+($AL451="Marketing")+($AL451="Sales")+($AL451="Entrepreneurship")+($AL451="Hospitality and Tourism"))&gt;0,"Commerce",IF((($AL451="Social Sciences and Humanities")+($AL451="Law Studies")+($AL451="Education and Training")+($AL451="Art, Design")+($AL451="Entertainment and Mass Media")+($AL451="Community and Social Service")+($AL451="Personal Care and Services")+($AL451="Government and Public Administration")+($AL451="Defence/ Protective Service")+($AL451="Sports"))&gt;0,"Arts / Humanities",""))))</f>
        <v/>
      </c>
      <c r="BD451" s="5" t="str">
        <f aca="false">IF($B451="","",--(F451&gt;=10)+--(G451&gt;=10)+--(H451&gt;=10)+--(I451&gt;=10)+--(J451&gt;=10)+--(K451&gt;=10)+--(L451&gt;=10)+--(M451&gt;=10)+--(N451&gt;=10)+--(O451&gt;=10))</f>
        <v/>
      </c>
      <c r="BE451" s="5" t="str">
        <f aca="false">IF($B451="","",--(AND(F451&lt;&gt;"",F451&lt;=8))+--(AND(G451&lt;&gt;"",G451&lt;=8))+--(AND(H451&lt;&gt;"",H451&lt;=8))+--(AND(I451&lt;&gt;"",I451&lt;=8))+--(AND(J451&lt;&gt;"",J451&lt;=8))+--(AND(K451&lt;&gt;"",K451&lt;=8))+--(AND(L451&lt;&gt;"",L451&lt;=8))+--(AND(M451&lt;&gt;"",M451&lt;=8))+--(AND(N451&lt;&gt;"",N451&lt;=8))+--(AND(O451&lt;&gt;"",O451&lt;=8)))</f>
        <v/>
      </c>
    </row>
    <row r="452" customFormat="false" ht="15" hidden="false" customHeight="false" outlineLevel="0" collapsed="false">
      <c r="AZ452" s="5" t="str">
        <f aca="false">IF($B452="","",SUMPRODUCT(($AL452:$AO452&lt;&gt;"")*(COUNTIF($AP452:$AX452,$AL452:$AO452)&gt;0)))</f>
        <v/>
      </c>
      <c r="BA452" s="5" t="str">
        <f aca="false">IF($B452="","",IF(AZ452&gt;0,1,0))</f>
        <v/>
      </c>
      <c r="BB452" s="5" t="str">
        <f aca="false">IF($AP452="","",IF((($AP452="Engineering and Technology")+($AP452="Science and Mathematics")+($AP452="Computer Science, IT and Allied Fields")+($AP452="Life Sciences /Medicine and Healthcare")+($AP452="Paramedical")+($AP452="Architecture")+($AP452="Environmental Service")+($AP452="Agriculture, Food Industry and Forestry"))&gt;0,"Science",IF((($AP452="Banking and Finance")+($AP452="Management and Administration")+($AP452="Marketing")+($AP452="Sales")+($AP452="Entrepreneurship")+($AP452="Hospitality and Tourism"))&gt;0,"Commerce",IF((($AP452="Social Sciences and Humanities")+($AP452="Law Studies")+($AP452="Education and Training")+($AP452="Art, Design")+($AP452="Entertainment and Mass Media")+($AP452="Community and Social Service")+($AP452="Personal Care and Services")+($AP452="Government and Public Administration")+($AP452="Defence/ Protective Service")+($AP452="Sports"))&gt;0,"Arts / Humanities",""))))</f>
        <v/>
      </c>
      <c r="BC452" s="5" t="str">
        <f aca="false">IF($AL452="","",IF((($AL452="Engineering and Technology")+($AL452="Science and Mathematics")+($AL452="Computer Science, IT and Allied Fields")+($AL452="Life Sciences /Medicine and Healthcare")+($AL452="Paramedical")+($AL452="Architecture")+($AL452="Environmental Service")+($AL452="Agriculture, Food Industry and Forestry"))&gt;0,"Science",IF((($AL452="Banking and Finance")+($AL452="Management and Administration")+($AL452="Marketing")+($AL452="Sales")+($AL452="Entrepreneurship")+($AL452="Hospitality and Tourism"))&gt;0,"Commerce",IF((($AL452="Social Sciences and Humanities")+($AL452="Law Studies")+($AL452="Education and Training")+($AL452="Art, Design")+($AL452="Entertainment and Mass Media")+($AL452="Community and Social Service")+($AL452="Personal Care and Services")+($AL452="Government and Public Administration")+($AL452="Defence/ Protective Service")+($AL452="Sports"))&gt;0,"Arts / Humanities",""))))</f>
        <v/>
      </c>
      <c r="BD452" s="5" t="str">
        <f aca="false">IF($B452="","",--(F452&gt;=10)+--(G452&gt;=10)+--(H452&gt;=10)+--(I452&gt;=10)+--(J452&gt;=10)+--(K452&gt;=10)+--(L452&gt;=10)+--(M452&gt;=10)+--(N452&gt;=10)+--(O452&gt;=10))</f>
        <v/>
      </c>
      <c r="BE452" s="5" t="str">
        <f aca="false">IF($B452="","",--(AND(F452&lt;&gt;"",F452&lt;=8))+--(AND(G452&lt;&gt;"",G452&lt;=8))+--(AND(H452&lt;&gt;"",H452&lt;=8))+--(AND(I452&lt;&gt;"",I452&lt;=8))+--(AND(J452&lt;&gt;"",J452&lt;=8))+--(AND(K452&lt;&gt;"",K452&lt;=8))+--(AND(L452&lt;&gt;"",L452&lt;=8))+--(AND(M452&lt;&gt;"",M452&lt;=8))+--(AND(N452&lt;&gt;"",N452&lt;=8))+--(AND(O452&lt;&gt;"",O452&lt;=8)))</f>
        <v/>
      </c>
    </row>
    <row r="453" customFormat="false" ht="15" hidden="false" customHeight="false" outlineLevel="0" collapsed="false">
      <c r="AZ453" s="5" t="str">
        <f aca="false">IF($B453="","",SUMPRODUCT(($AL453:$AO453&lt;&gt;"")*(COUNTIF($AP453:$AX453,$AL453:$AO453)&gt;0)))</f>
        <v/>
      </c>
      <c r="BA453" s="5" t="str">
        <f aca="false">IF($B453="","",IF(AZ453&gt;0,1,0))</f>
        <v/>
      </c>
      <c r="BB453" s="5" t="str">
        <f aca="false">IF($AP453="","",IF((($AP453="Engineering and Technology")+($AP453="Science and Mathematics")+($AP453="Computer Science, IT and Allied Fields")+($AP453="Life Sciences /Medicine and Healthcare")+($AP453="Paramedical")+($AP453="Architecture")+($AP453="Environmental Service")+($AP453="Agriculture, Food Industry and Forestry"))&gt;0,"Science",IF((($AP453="Banking and Finance")+($AP453="Management and Administration")+($AP453="Marketing")+($AP453="Sales")+($AP453="Entrepreneurship")+($AP453="Hospitality and Tourism"))&gt;0,"Commerce",IF((($AP453="Social Sciences and Humanities")+($AP453="Law Studies")+($AP453="Education and Training")+($AP453="Art, Design")+($AP453="Entertainment and Mass Media")+($AP453="Community and Social Service")+($AP453="Personal Care and Services")+($AP453="Government and Public Administration")+($AP453="Defence/ Protective Service")+($AP453="Sports"))&gt;0,"Arts / Humanities",""))))</f>
        <v/>
      </c>
      <c r="BC453" s="5" t="str">
        <f aca="false">IF($AL453="","",IF((($AL453="Engineering and Technology")+($AL453="Science and Mathematics")+($AL453="Computer Science, IT and Allied Fields")+($AL453="Life Sciences /Medicine and Healthcare")+($AL453="Paramedical")+($AL453="Architecture")+($AL453="Environmental Service")+($AL453="Agriculture, Food Industry and Forestry"))&gt;0,"Science",IF((($AL453="Banking and Finance")+($AL453="Management and Administration")+($AL453="Marketing")+($AL453="Sales")+($AL453="Entrepreneurship")+($AL453="Hospitality and Tourism"))&gt;0,"Commerce",IF((($AL453="Social Sciences and Humanities")+($AL453="Law Studies")+($AL453="Education and Training")+($AL453="Art, Design")+($AL453="Entertainment and Mass Media")+($AL453="Community and Social Service")+($AL453="Personal Care and Services")+($AL453="Government and Public Administration")+($AL453="Defence/ Protective Service")+($AL453="Sports"))&gt;0,"Arts / Humanities",""))))</f>
        <v/>
      </c>
      <c r="BD453" s="5" t="str">
        <f aca="false">IF($B453="","",--(F453&gt;=10)+--(G453&gt;=10)+--(H453&gt;=10)+--(I453&gt;=10)+--(J453&gt;=10)+--(K453&gt;=10)+--(L453&gt;=10)+--(M453&gt;=10)+--(N453&gt;=10)+--(O453&gt;=10))</f>
        <v/>
      </c>
      <c r="BE453" s="5" t="str">
        <f aca="false">IF($B453="","",--(AND(F453&lt;&gt;"",F453&lt;=8))+--(AND(G453&lt;&gt;"",G453&lt;=8))+--(AND(H453&lt;&gt;"",H453&lt;=8))+--(AND(I453&lt;&gt;"",I453&lt;=8))+--(AND(J453&lt;&gt;"",J453&lt;=8))+--(AND(K453&lt;&gt;"",K453&lt;=8))+--(AND(L453&lt;&gt;"",L453&lt;=8))+--(AND(M453&lt;&gt;"",M453&lt;=8))+--(AND(N453&lt;&gt;"",N453&lt;=8))+--(AND(O453&lt;&gt;"",O453&lt;=8)))</f>
        <v/>
      </c>
    </row>
    <row r="454" customFormat="false" ht="15" hidden="false" customHeight="false" outlineLevel="0" collapsed="false">
      <c r="AZ454" s="5" t="str">
        <f aca="false">IF($B454="","",SUMPRODUCT(($AL454:$AO454&lt;&gt;"")*(COUNTIF($AP454:$AX454,$AL454:$AO454)&gt;0)))</f>
        <v/>
      </c>
      <c r="BA454" s="5" t="str">
        <f aca="false">IF($B454="","",IF(AZ454&gt;0,1,0))</f>
        <v/>
      </c>
      <c r="BB454" s="5" t="str">
        <f aca="false">IF($AP454="","",IF((($AP454="Engineering and Technology")+($AP454="Science and Mathematics")+($AP454="Computer Science, IT and Allied Fields")+($AP454="Life Sciences /Medicine and Healthcare")+($AP454="Paramedical")+($AP454="Architecture")+($AP454="Environmental Service")+($AP454="Agriculture, Food Industry and Forestry"))&gt;0,"Science",IF((($AP454="Banking and Finance")+($AP454="Management and Administration")+($AP454="Marketing")+($AP454="Sales")+($AP454="Entrepreneurship")+($AP454="Hospitality and Tourism"))&gt;0,"Commerce",IF((($AP454="Social Sciences and Humanities")+($AP454="Law Studies")+($AP454="Education and Training")+($AP454="Art, Design")+($AP454="Entertainment and Mass Media")+($AP454="Community and Social Service")+($AP454="Personal Care and Services")+($AP454="Government and Public Administration")+($AP454="Defence/ Protective Service")+($AP454="Sports"))&gt;0,"Arts / Humanities",""))))</f>
        <v/>
      </c>
      <c r="BC454" s="5" t="str">
        <f aca="false">IF($AL454="","",IF((($AL454="Engineering and Technology")+($AL454="Science and Mathematics")+($AL454="Computer Science, IT and Allied Fields")+($AL454="Life Sciences /Medicine and Healthcare")+($AL454="Paramedical")+($AL454="Architecture")+($AL454="Environmental Service")+($AL454="Agriculture, Food Industry and Forestry"))&gt;0,"Science",IF((($AL454="Banking and Finance")+($AL454="Management and Administration")+($AL454="Marketing")+($AL454="Sales")+($AL454="Entrepreneurship")+($AL454="Hospitality and Tourism"))&gt;0,"Commerce",IF((($AL454="Social Sciences and Humanities")+($AL454="Law Studies")+($AL454="Education and Training")+($AL454="Art, Design")+($AL454="Entertainment and Mass Media")+($AL454="Community and Social Service")+($AL454="Personal Care and Services")+($AL454="Government and Public Administration")+($AL454="Defence/ Protective Service")+($AL454="Sports"))&gt;0,"Arts / Humanities",""))))</f>
        <v/>
      </c>
      <c r="BD454" s="5" t="str">
        <f aca="false">IF($B454="","",--(F454&gt;=10)+--(G454&gt;=10)+--(H454&gt;=10)+--(I454&gt;=10)+--(J454&gt;=10)+--(K454&gt;=10)+--(L454&gt;=10)+--(M454&gt;=10)+--(N454&gt;=10)+--(O454&gt;=10))</f>
        <v/>
      </c>
      <c r="BE454" s="5" t="str">
        <f aca="false">IF($B454="","",--(AND(F454&lt;&gt;"",F454&lt;=8))+--(AND(G454&lt;&gt;"",G454&lt;=8))+--(AND(H454&lt;&gt;"",H454&lt;=8))+--(AND(I454&lt;&gt;"",I454&lt;=8))+--(AND(J454&lt;&gt;"",J454&lt;=8))+--(AND(K454&lt;&gt;"",K454&lt;=8))+--(AND(L454&lt;&gt;"",L454&lt;=8))+--(AND(M454&lt;&gt;"",M454&lt;=8))+--(AND(N454&lt;&gt;"",N454&lt;=8))+--(AND(O454&lt;&gt;"",O454&lt;=8)))</f>
        <v/>
      </c>
    </row>
    <row r="455" customFormat="false" ht="15" hidden="false" customHeight="false" outlineLevel="0" collapsed="false">
      <c r="AZ455" s="5" t="str">
        <f aca="false">IF($B455="","",SUMPRODUCT(($AL455:$AO455&lt;&gt;"")*(COUNTIF($AP455:$AX455,$AL455:$AO455)&gt;0)))</f>
        <v/>
      </c>
      <c r="BA455" s="5" t="str">
        <f aca="false">IF($B455="","",IF(AZ455&gt;0,1,0))</f>
        <v/>
      </c>
      <c r="BB455" s="5" t="str">
        <f aca="false">IF($AP455="","",IF((($AP455="Engineering and Technology")+($AP455="Science and Mathematics")+($AP455="Computer Science, IT and Allied Fields")+($AP455="Life Sciences /Medicine and Healthcare")+($AP455="Paramedical")+($AP455="Architecture")+($AP455="Environmental Service")+($AP455="Agriculture, Food Industry and Forestry"))&gt;0,"Science",IF((($AP455="Banking and Finance")+($AP455="Management and Administration")+($AP455="Marketing")+($AP455="Sales")+($AP455="Entrepreneurship")+($AP455="Hospitality and Tourism"))&gt;0,"Commerce",IF((($AP455="Social Sciences and Humanities")+($AP455="Law Studies")+($AP455="Education and Training")+($AP455="Art, Design")+($AP455="Entertainment and Mass Media")+($AP455="Community and Social Service")+($AP455="Personal Care and Services")+($AP455="Government and Public Administration")+($AP455="Defence/ Protective Service")+($AP455="Sports"))&gt;0,"Arts / Humanities",""))))</f>
        <v/>
      </c>
      <c r="BC455" s="5" t="str">
        <f aca="false">IF($AL455="","",IF((($AL455="Engineering and Technology")+($AL455="Science and Mathematics")+($AL455="Computer Science, IT and Allied Fields")+($AL455="Life Sciences /Medicine and Healthcare")+($AL455="Paramedical")+($AL455="Architecture")+($AL455="Environmental Service")+($AL455="Agriculture, Food Industry and Forestry"))&gt;0,"Science",IF((($AL455="Banking and Finance")+($AL455="Management and Administration")+($AL455="Marketing")+($AL455="Sales")+($AL455="Entrepreneurship")+($AL455="Hospitality and Tourism"))&gt;0,"Commerce",IF((($AL455="Social Sciences and Humanities")+($AL455="Law Studies")+($AL455="Education and Training")+($AL455="Art, Design")+($AL455="Entertainment and Mass Media")+($AL455="Community and Social Service")+($AL455="Personal Care and Services")+($AL455="Government and Public Administration")+($AL455="Defence/ Protective Service")+($AL455="Sports"))&gt;0,"Arts / Humanities",""))))</f>
        <v/>
      </c>
      <c r="BD455" s="5" t="str">
        <f aca="false">IF($B455="","",--(F455&gt;=10)+--(G455&gt;=10)+--(H455&gt;=10)+--(I455&gt;=10)+--(J455&gt;=10)+--(K455&gt;=10)+--(L455&gt;=10)+--(M455&gt;=10)+--(N455&gt;=10)+--(O455&gt;=10))</f>
        <v/>
      </c>
      <c r="BE455" s="5" t="str">
        <f aca="false">IF($B455="","",--(AND(F455&lt;&gt;"",F455&lt;=8))+--(AND(G455&lt;&gt;"",G455&lt;=8))+--(AND(H455&lt;&gt;"",H455&lt;=8))+--(AND(I455&lt;&gt;"",I455&lt;=8))+--(AND(J455&lt;&gt;"",J455&lt;=8))+--(AND(K455&lt;&gt;"",K455&lt;=8))+--(AND(L455&lt;&gt;"",L455&lt;=8))+--(AND(M455&lt;&gt;"",M455&lt;=8))+--(AND(N455&lt;&gt;"",N455&lt;=8))+--(AND(O455&lt;&gt;"",O455&lt;=8)))</f>
        <v/>
      </c>
    </row>
    <row r="456" customFormat="false" ht="15" hidden="false" customHeight="false" outlineLevel="0" collapsed="false">
      <c r="AZ456" s="5" t="str">
        <f aca="false">IF($B456="","",SUMPRODUCT(($AL456:$AO456&lt;&gt;"")*(COUNTIF($AP456:$AX456,$AL456:$AO456)&gt;0)))</f>
        <v/>
      </c>
      <c r="BA456" s="5" t="str">
        <f aca="false">IF($B456="","",IF(AZ456&gt;0,1,0))</f>
        <v/>
      </c>
      <c r="BB456" s="5" t="str">
        <f aca="false">IF($AP456="","",IF((($AP456="Engineering and Technology")+($AP456="Science and Mathematics")+($AP456="Computer Science, IT and Allied Fields")+($AP456="Life Sciences /Medicine and Healthcare")+($AP456="Paramedical")+($AP456="Architecture")+($AP456="Environmental Service")+($AP456="Agriculture, Food Industry and Forestry"))&gt;0,"Science",IF((($AP456="Banking and Finance")+($AP456="Management and Administration")+($AP456="Marketing")+($AP456="Sales")+($AP456="Entrepreneurship")+($AP456="Hospitality and Tourism"))&gt;0,"Commerce",IF((($AP456="Social Sciences and Humanities")+($AP456="Law Studies")+($AP456="Education and Training")+($AP456="Art, Design")+($AP456="Entertainment and Mass Media")+($AP456="Community and Social Service")+($AP456="Personal Care and Services")+($AP456="Government and Public Administration")+($AP456="Defence/ Protective Service")+($AP456="Sports"))&gt;0,"Arts / Humanities",""))))</f>
        <v/>
      </c>
      <c r="BC456" s="5" t="str">
        <f aca="false">IF($AL456="","",IF((($AL456="Engineering and Technology")+($AL456="Science and Mathematics")+($AL456="Computer Science, IT and Allied Fields")+($AL456="Life Sciences /Medicine and Healthcare")+($AL456="Paramedical")+($AL456="Architecture")+($AL456="Environmental Service")+($AL456="Agriculture, Food Industry and Forestry"))&gt;0,"Science",IF((($AL456="Banking and Finance")+($AL456="Management and Administration")+($AL456="Marketing")+($AL456="Sales")+($AL456="Entrepreneurship")+($AL456="Hospitality and Tourism"))&gt;0,"Commerce",IF((($AL456="Social Sciences and Humanities")+($AL456="Law Studies")+($AL456="Education and Training")+($AL456="Art, Design")+($AL456="Entertainment and Mass Media")+($AL456="Community and Social Service")+($AL456="Personal Care and Services")+($AL456="Government and Public Administration")+($AL456="Defence/ Protective Service")+($AL456="Sports"))&gt;0,"Arts / Humanities",""))))</f>
        <v/>
      </c>
      <c r="BD456" s="5" t="str">
        <f aca="false">IF($B456="","",--(F456&gt;=10)+--(G456&gt;=10)+--(H456&gt;=10)+--(I456&gt;=10)+--(J456&gt;=10)+--(K456&gt;=10)+--(L456&gt;=10)+--(M456&gt;=10)+--(N456&gt;=10)+--(O456&gt;=10))</f>
        <v/>
      </c>
      <c r="BE456" s="5" t="str">
        <f aca="false">IF($B456="","",--(AND(F456&lt;&gt;"",F456&lt;=8))+--(AND(G456&lt;&gt;"",G456&lt;=8))+--(AND(H456&lt;&gt;"",H456&lt;=8))+--(AND(I456&lt;&gt;"",I456&lt;=8))+--(AND(J456&lt;&gt;"",J456&lt;=8))+--(AND(K456&lt;&gt;"",K456&lt;=8))+--(AND(L456&lt;&gt;"",L456&lt;=8))+--(AND(M456&lt;&gt;"",M456&lt;=8))+--(AND(N456&lt;&gt;"",N456&lt;=8))+--(AND(O456&lt;&gt;"",O456&lt;=8)))</f>
        <v/>
      </c>
    </row>
    <row r="457" customFormat="false" ht="15" hidden="false" customHeight="false" outlineLevel="0" collapsed="false">
      <c r="AZ457" s="5" t="str">
        <f aca="false">IF($B457="","",SUMPRODUCT(($AL457:$AO457&lt;&gt;"")*(COUNTIF($AP457:$AX457,$AL457:$AO457)&gt;0)))</f>
        <v/>
      </c>
      <c r="BA457" s="5" t="str">
        <f aca="false">IF($B457="","",IF(AZ457&gt;0,1,0))</f>
        <v/>
      </c>
      <c r="BB457" s="5" t="str">
        <f aca="false">IF($AP457="","",IF((($AP457="Engineering and Technology")+($AP457="Science and Mathematics")+($AP457="Computer Science, IT and Allied Fields")+($AP457="Life Sciences /Medicine and Healthcare")+($AP457="Paramedical")+($AP457="Architecture")+($AP457="Environmental Service")+($AP457="Agriculture, Food Industry and Forestry"))&gt;0,"Science",IF((($AP457="Banking and Finance")+($AP457="Management and Administration")+($AP457="Marketing")+($AP457="Sales")+($AP457="Entrepreneurship")+($AP457="Hospitality and Tourism"))&gt;0,"Commerce",IF((($AP457="Social Sciences and Humanities")+($AP457="Law Studies")+($AP457="Education and Training")+($AP457="Art, Design")+($AP457="Entertainment and Mass Media")+($AP457="Community and Social Service")+($AP457="Personal Care and Services")+($AP457="Government and Public Administration")+($AP457="Defence/ Protective Service")+($AP457="Sports"))&gt;0,"Arts / Humanities",""))))</f>
        <v/>
      </c>
      <c r="BC457" s="5" t="str">
        <f aca="false">IF($AL457="","",IF((($AL457="Engineering and Technology")+($AL457="Science and Mathematics")+($AL457="Computer Science, IT and Allied Fields")+($AL457="Life Sciences /Medicine and Healthcare")+($AL457="Paramedical")+($AL457="Architecture")+($AL457="Environmental Service")+($AL457="Agriculture, Food Industry and Forestry"))&gt;0,"Science",IF((($AL457="Banking and Finance")+($AL457="Management and Administration")+($AL457="Marketing")+($AL457="Sales")+($AL457="Entrepreneurship")+($AL457="Hospitality and Tourism"))&gt;0,"Commerce",IF((($AL457="Social Sciences and Humanities")+($AL457="Law Studies")+($AL457="Education and Training")+($AL457="Art, Design")+($AL457="Entertainment and Mass Media")+($AL457="Community and Social Service")+($AL457="Personal Care and Services")+($AL457="Government and Public Administration")+($AL457="Defence/ Protective Service")+($AL457="Sports"))&gt;0,"Arts / Humanities",""))))</f>
        <v/>
      </c>
      <c r="BD457" s="5" t="str">
        <f aca="false">IF($B457="","",--(F457&gt;=10)+--(G457&gt;=10)+--(H457&gt;=10)+--(I457&gt;=10)+--(J457&gt;=10)+--(K457&gt;=10)+--(L457&gt;=10)+--(M457&gt;=10)+--(N457&gt;=10)+--(O457&gt;=10))</f>
        <v/>
      </c>
      <c r="BE457" s="5" t="str">
        <f aca="false">IF($B457="","",--(AND(F457&lt;&gt;"",F457&lt;=8))+--(AND(G457&lt;&gt;"",G457&lt;=8))+--(AND(H457&lt;&gt;"",H457&lt;=8))+--(AND(I457&lt;&gt;"",I457&lt;=8))+--(AND(J457&lt;&gt;"",J457&lt;=8))+--(AND(K457&lt;&gt;"",K457&lt;=8))+--(AND(L457&lt;&gt;"",L457&lt;=8))+--(AND(M457&lt;&gt;"",M457&lt;=8))+--(AND(N457&lt;&gt;"",N457&lt;=8))+--(AND(O457&lt;&gt;"",O457&lt;=8)))</f>
        <v/>
      </c>
    </row>
    <row r="458" customFormat="false" ht="15" hidden="false" customHeight="false" outlineLevel="0" collapsed="false">
      <c r="AZ458" s="5" t="str">
        <f aca="false">IF($B458="","",SUMPRODUCT(($AL458:$AO458&lt;&gt;"")*(COUNTIF($AP458:$AX458,$AL458:$AO458)&gt;0)))</f>
        <v/>
      </c>
      <c r="BA458" s="5" t="str">
        <f aca="false">IF($B458="","",IF(AZ458&gt;0,1,0))</f>
        <v/>
      </c>
      <c r="BB458" s="5" t="str">
        <f aca="false">IF($AP458="","",IF((($AP458="Engineering and Technology")+($AP458="Science and Mathematics")+($AP458="Computer Science, IT and Allied Fields")+($AP458="Life Sciences /Medicine and Healthcare")+($AP458="Paramedical")+($AP458="Architecture")+($AP458="Environmental Service")+($AP458="Agriculture, Food Industry and Forestry"))&gt;0,"Science",IF((($AP458="Banking and Finance")+($AP458="Management and Administration")+($AP458="Marketing")+($AP458="Sales")+($AP458="Entrepreneurship")+($AP458="Hospitality and Tourism"))&gt;0,"Commerce",IF((($AP458="Social Sciences and Humanities")+($AP458="Law Studies")+($AP458="Education and Training")+($AP458="Art, Design")+($AP458="Entertainment and Mass Media")+($AP458="Community and Social Service")+($AP458="Personal Care and Services")+($AP458="Government and Public Administration")+($AP458="Defence/ Protective Service")+($AP458="Sports"))&gt;0,"Arts / Humanities",""))))</f>
        <v/>
      </c>
      <c r="BC458" s="5" t="str">
        <f aca="false">IF($AL458="","",IF((($AL458="Engineering and Technology")+($AL458="Science and Mathematics")+($AL458="Computer Science, IT and Allied Fields")+($AL458="Life Sciences /Medicine and Healthcare")+($AL458="Paramedical")+($AL458="Architecture")+($AL458="Environmental Service")+($AL458="Agriculture, Food Industry and Forestry"))&gt;0,"Science",IF((($AL458="Banking and Finance")+($AL458="Management and Administration")+($AL458="Marketing")+($AL458="Sales")+($AL458="Entrepreneurship")+($AL458="Hospitality and Tourism"))&gt;0,"Commerce",IF((($AL458="Social Sciences and Humanities")+($AL458="Law Studies")+($AL458="Education and Training")+($AL458="Art, Design")+($AL458="Entertainment and Mass Media")+($AL458="Community and Social Service")+($AL458="Personal Care and Services")+($AL458="Government and Public Administration")+($AL458="Defence/ Protective Service")+($AL458="Sports"))&gt;0,"Arts / Humanities",""))))</f>
        <v/>
      </c>
      <c r="BD458" s="5" t="str">
        <f aca="false">IF($B458="","",--(F458&gt;=10)+--(G458&gt;=10)+--(H458&gt;=10)+--(I458&gt;=10)+--(J458&gt;=10)+--(K458&gt;=10)+--(L458&gt;=10)+--(M458&gt;=10)+--(N458&gt;=10)+--(O458&gt;=10))</f>
        <v/>
      </c>
      <c r="BE458" s="5" t="str">
        <f aca="false">IF($B458="","",--(AND(F458&lt;&gt;"",F458&lt;=8))+--(AND(G458&lt;&gt;"",G458&lt;=8))+--(AND(H458&lt;&gt;"",H458&lt;=8))+--(AND(I458&lt;&gt;"",I458&lt;=8))+--(AND(J458&lt;&gt;"",J458&lt;=8))+--(AND(K458&lt;&gt;"",K458&lt;=8))+--(AND(L458&lt;&gt;"",L458&lt;=8))+--(AND(M458&lt;&gt;"",M458&lt;=8))+--(AND(N458&lt;&gt;"",N458&lt;=8))+--(AND(O458&lt;&gt;"",O458&lt;=8)))</f>
        <v/>
      </c>
    </row>
    <row r="459" customFormat="false" ht="15" hidden="false" customHeight="false" outlineLevel="0" collapsed="false">
      <c r="AZ459" s="5" t="str">
        <f aca="false">IF($B459="","",SUMPRODUCT(($AL459:$AO459&lt;&gt;"")*(COUNTIF($AP459:$AX459,$AL459:$AO459)&gt;0)))</f>
        <v/>
      </c>
      <c r="BA459" s="5" t="str">
        <f aca="false">IF($B459="","",IF(AZ459&gt;0,1,0))</f>
        <v/>
      </c>
      <c r="BB459" s="5" t="str">
        <f aca="false">IF($AP459="","",IF((($AP459="Engineering and Technology")+($AP459="Science and Mathematics")+($AP459="Computer Science, IT and Allied Fields")+($AP459="Life Sciences /Medicine and Healthcare")+($AP459="Paramedical")+($AP459="Architecture")+($AP459="Environmental Service")+($AP459="Agriculture, Food Industry and Forestry"))&gt;0,"Science",IF((($AP459="Banking and Finance")+($AP459="Management and Administration")+($AP459="Marketing")+($AP459="Sales")+($AP459="Entrepreneurship")+($AP459="Hospitality and Tourism"))&gt;0,"Commerce",IF((($AP459="Social Sciences and Humanities")+($AP459="Law Studies")+($AP459="Education and Training")+($AP459="Art, Design")+($AP459="Entertainment and Mass Media")+($AP459="Community and Social Service")+($AP459="Personal Care and Services")+($AP459="Government and Public Administration")+($AP459="Defence/ Protective Service")+($AP459="Sports"))&gt;0,"Arts / Humanities",""))))</f>
        <v/>
      </c>
      <c r="BC459" s="5" t="str">
        <f aca="false">IF($AL459="","",IF((($AL459="Engineering and Technology")+($AL459="Science and Mathematics")+($AL459="Computer Science, IT and Allied Fields")+($AL459="Life Sciences /Medicine and Healthcare")+($AL459="Paramedical")+($AL459="Architecture")+($AL459="Environmental Service")+($AL459="Agriculture, Food Industry and Forestry"))&gt;0,"Science",IF((($AL459="Banking and Finance")+($AL459="Management and Administration")+($AL459="Marketing")+($AL459="Sales")+($AL459="Entrepreneurship")+($AL459="Hospitality and Tourism"))&gt;0,"Commerce",IF((($AL459="Social Sciences and Humanities")+($AL459="Law Studies")+($AL459="Education and Training")+($AL459="Art, Design")+($AL459="Entertainment and Mass Media")+($AL459="Community and Social Service")+($AL459="Personal Care and Services")+($AL459="Government and Public Administration")+($AL459="Defence/ Protective Service")+($AL459="Sports"))&gt;0,"Arts / Humanities",""))))</f>
        <v/>
      </c>
      <c r="BD459" s="5" t="str">
        <f aca="false">IF($B459="","",--(F459&gt;=10)+--(G459&gt;=10)+--(H459&gt;=10)+--(I459&gt;=10)+--(J459&gt;=10)+--(K459&gt;=10)+--(L459&gt;=10)+--(M459&gt;=10)+--(N459&gt;=10)+--(O459&gt;=10))</f>
        <v/>
      </c>
      <c r="BE459" s="5" t="str">
        <f aca="false">IF($B459="","",--(AND(F459&lt;&gt;"",F459&lt;=8))+--(AND(G459&lt;&gt;"",G459&lt;=8))+--(AND(H459&lt;&gt;"",H459&lt;=8))+--(AND(I459&lt;&gt;"",I459&lt;=8))+--(AND(J459&lt;&gt;"",J459&lt;=8))+--(AND(K459&lt;&gt;"",K459&lt;=8))+--(AND(L459&lt;&gt;"",L459&lt;=8))+--(AND(M459&lt;&gt;"",M459&lt;=8))+--(AND(N459&lt;&gt;"",N459&lt;=8))+--(AND(O459&lt;&gt;"",O459&lt;=8)))</f>
        <v/>
      </c>
    </row>
    <row r="460" customFormat="false" ht="15" hidden="false" customHeight="false" outlineLevel="0" collapsed="false">
      <c r="AZ460" s="5" t="str">
        <f aca="false">IF($B460="","",SUMPRODUCT(($AL460:$AO460&lt;&gt;"")*(COUNTIF($AP460:$AX460,$AL460:$AO460)&gt;0)))</f>
        <v/>
      </c>
      <c r="BA460" s="5" t="str">
        <f aca="false">IF($B460="","",IF(AZ460&gt;0,1,0))</f>
        <v/>
      </c>
      <c r="BB460" s="5" t="str">
        <f aca="false">IF($AP460="","",IF((($AP460="Engineering and Technology")+($AP460="Science and Mathematics")+($AP460="Computer Science, IT and Allied Fields")+($AP460="Life Sciences /Medicine and Healthcare")+($AP460="Paramedical")+($AP460="Architecture")+($AP460="Environmental Service")+($AP460="Agriculture, Food Industry and Forestry"))&gt;0,"Science",IF((($AP460="Banking and Finance")+($AP460="Management and Administration")+($AP460="Marketing")+($AP460="Sales")+($AP460="Entrepreneurship")+($AP460="Hospitality and Tourism"))&gt;0,"Commerce",IF((($AP460="Social Sciences and Humanities")+($AP460="Law Studies")+($AP460="Education and Training")+($AP460="Art, Design")+($AP460="Entertainment and Mass Media")+($AP460="Community and Social Service")+($AP460="Personal Care and Services")+($AP460="Government and Public Administration")+($AP460="Defence/ Protective Service")+($AP460="Sports"))&gt;0,"Arts / Humanities",""))))</f>
        <v/>
      </c>
      <c r="BC460" s="5" t="str">
        <f aca="false">IF($AL460="","",IF((($AL460="Engineering and Technology")+($AL460="Science and Mathematics")+($AL460="Computer Science, IT and Allied Fields")+($AL460="Life Sciences /Medicine and Healthcare")+($AL460="Paramedical")+($AL460="Architecture")+($AL460="Environmental Service")+($AL460="Agriculture, Food Industry and Forestry"))&gt;0,"Science",IF((($AL460="Banking and Finance")+($AL460="Management and Administration")+($AL460="Marketing")+($AL460="Sales")+($AL460="Entrepreneurship")+($AL460="Hospitality and Tourism"))&gt;0,"Commerce",IF((($AL460="Social Sciences and Humanities")+($AL460="Law Studies")+($AL460="Education and Training")+($AL460="Art, Design")+($AL460="Entertainment and Mass Media")+($AL460="Community and Social Service")+($AL460="Personal Care and Services")+($AL460="Government and Public Administration")+($AL460="Defence/ Protective Service")+($AL460="Sports"))&gt;0,"Arts / Humanities",""))))</f>
        <v/>
      </c>
      <c r="BD460" s="5" t="str">
        <f aca="false">IF($B460="","",--(F460&gt;=10)+--(G460&gt;=10)+--(H460&gt;=10)+--(I460&gt;=10)+--(J460&gt;=10)+--(K460&gt;=10)+--(L460&gt;=10)+--(M460&gt;=10)+--(N460&gt;=10)+--(O460&gt;=10))</f>
        <v/>
      </c>
      <c r="BE460" s="5" t="str">
        <f aca="false">IF($B460="","",--(AND(F460&lt;&gt;"",F460&lt;=8))+--(AND(G460&lt;&gt;"",G460&lt;=8))+--(AND(H460&lt;&gt;"",H460&lt;=8))+--(AND(I460&lt;&gt;"",I460&lt;=8))+--(AND(J460&lt;&gt;"",J460&lt;=8))+--(AND(K460&lt;&gt;"",K460&lt;=8))+--(AND(L460&lt;&gt;"",L460&lt;=8))+--(AND(M460&lt;&gt;"",M460&lt;=8))+--(AND(N460&lt;&gt;"",N460&lt;=8))+--(AND(O460&lt;&gt;"",O460&lt;=8)))</f>
        <v/>
      </c>
    </row>
    <row r="461" customFormat="false" ht="15" hidden="false" customHeight="false" outlineLevel="0" collapsed="false">
      <c r="AZ461" s="5" t="str">
        <f aca="false">IF($B461="","",SUMPRODUCT(($AL461:$AO461&lt;&gt;"")*(COUNTIF($AP461:$AX461,$AL461:$AO461)&gt;0)))</f>
        <v/>
      </c>
      <c r="BA461" s="5" t="str">
        <f aca="false">IF($B461="","",IF(AZ461&gt;0,1,0))</f>
        <v/>
      </c>
      <c r="BB461" s="5" t="str">
        <f aca="false">IF($AP461="","",IF((($AP461="Engineering and Technology")+($AP461="Science and Mathematics")+($AP461="Computer Science, IT and Allied Fields")+($AP461="Life Sciences /Medicine and Healthcare")+($AP461="Paramedical")+($AP461="Architecture")+($AP461="Environmental Service")+($AP461="Agriculture, Food Industry and Forestry"))&gt;0,"Science",IF((($AP461="Banking and Finance")+($AP461="Management and Administration")+($AP461="Marketing")+($AP461="Sales")+($AP461="Entrepreneurship")+($AP461="Hospitality and Tourism"))&gt;0,"Commerce",IF((($AP461="Social Sciences and Humanities")+($AP461="Law Studies")+($AP461="Education and Training")+($AP461="Art, Design")+($AP461="Entertainment and Mass Media")+($AP461="Community and Social Service")+($AP461="Personal Care and Services")+($AP461="Government and Public Administration")+($AP461="Defence/ Protective Service")+($AP461="Sports"))&gt;0,"Arts / Humanities",""))))</f>
        <v/>
      </c>
      <c r="BC461" s="5" t="str">
        <f aca="false">IF($AL461="","",IF((($AL461="Engineering and Technology")+($AL461="Science and Mathematics")+($AL461="Computer Science, IT and Allied Fields")+($AL461="Life Sciences /Medicine and Healthcare")+($AL461="Paramedical")+($AL461="Architecture")+($AL461="Environmental Service")+($AL461="Agriculture, Food Industry and Forestry"))&gt;0,"Science",IF((($AL461="Banking and Finance")+($AL461="Management and Administration")+($AL461="Marketing")+($AL461="Sales")+($AL461="Entrepreneurship")+($AL461="Hospitality and Tourism"))&gt;0,"Commerce",IF((($AL461="Social Sciences and Humanities")+($AL461="Law Studies")+($AL461="Education and Training")+($AL461="Art, Design")+($AL461="Entertainment and Mass Media")+($AL461="Community and Social Service")+($AL461="Personal Care and Services")+($AL461="Government and Public Administration")+($AL461="Defence/ Protective Service")+($AL461="Sports"))&gt;0,"Arts / Humanities",""))))</f>
        <v/>
      </c>
      <c r="BD461" s="5" t="str">
        <f aca="false">IF($B461="","",--(F461&gt;=10)+--(G461&gt;=10)+--(H461&gt;=10)+--(I461&gt;=10)+--(J461&gt;=10)+--(K461&gt;=10)+--(L461&gt;=10)+--(M461&gt;=10)+--(N461&gt;=10)+--(O461&gt;=10))</f>
        <v/>
      </c>
      <c r="BE461" s="5" t="str">
        <f aca="false">IF($B461="","",--(AND(F461&lt;&gt;"",F461&lt;=8))+--(AND(G461&lt;&gt;"",G461&lt;=8))+--(AND(H461&lt;&gt;"",H461&lt;=8))+--(AND(I461&lt;&gt;"",I461&lt;=8))+--(AND(J461&lt;&gt;"",J461&lt;=8))+--(AND(K461&lt;&gt;"",K461&lt;=8))+--(AND(L461&lt;&gt;"",L461&lt;=8))+--(AND(M461&lt;&gt;"",M461&lt;=8))+--(AND(N461&lt;&gt;"",N461&lt;=8))+--(AND(O461&lt;&gt;"",O461&lt;=8)))</f>
        <v/>
      </c>
    </row>
    <row r="462" customFormat="false" ht="15" hidden="false" customHeight="false" outlineLevel="0" collapsed="false">
      <c r="AZ462" s="5" t="str">
        <f aca="false">IF($B462="","",SUMPRODUCT(($AL462:$AO462&lt;&gt;"")*(COUNTIF($AP462:$AX462,$AL462:$AO462)&gt;0)))</f>
        <v/>
      </c>
      <c r="BA462" s="5" t="str">
        <f aca="false">IF($B462="","",IF(AZ462&gt;0,1,0))</f>
        <v/>
      </c>
      <c r="BB462" s="5" t="str">
        <f aca="false">IF($AP462="","",IF((($AP462="Engineering and Technology")+($AP462="Science and Mathematics")+($AP462="Computer Science, IT and Allied Fields")+($AP462="Life Sciences /Medicine and Healthcare")+($AP462="Paramedical")+($AP462="Architecture")+($AP462="Environmental Service")+($AP462="Agriculture, Food Industry and Forestry"))&gt;0,"Science",IF((($AP462="Banking and Finance")+($AP462="Management and Administration")+($AP462="Marketing")+($AP462="Sales")+($AP462="Entrepreneurship")+($AP462="Hospitality and Tourism"))&gt;0,"Commerce",IF((($AP462="Social Sciences and Humanities")+($AP462="Law Studies")+($AP462="Education and Training")+($AP462="Art, Design")+($AP462="Entertainment and Mass Media")+($AP462="Community and Social Service")+($AP462="Personal Care and Services")+($AP462="Government and Public Administration")+($AP462="Defence/ Protective Service")+($AP462="Sports"))&gt;0,"Arts / Humanities",""))))</f>
        <v/>
      </c>
      <c r="BC462" s="5" t="str">
        <f aca="false">IF($AL462="","",IF((($AL462="Engineering and Technology")+($AL462="Science and Mathematics")+($AL462="Computer Science, IT and Allied Fields")+($AL462="Life Sciences /Medicine and Healthcare")+($AL462="Paramedical")+($AL462="Architecture")+($AL462="Environmental Service")+($AL462="Agriculture, Food Industry and Forestry"))&gt;0,"Science",IF((($AL462="Banking and Finance")+($AL462="Management and Administration")+($AL462="Marketing")+($AL462="Sales")+($AL462="Entrepreneurship")+($AL462="Hospitality and Tourism"))&gt;0,"Commerce",IF((($AL462="Social Sciences and Humanities")+($AL462="Law Studies")+($AL462="Education and Training")+($AL462="Art, Design")+($AL462="Entertainment and Mass Media")+($AL462="Community and Social Service")+($AL462="Personal Care and Services")+($AL462="Government and Public Administration")+($AL462="Defence/ Protective Service")+($AL462="Sports"))&gt;0,"Arts / Humanities",""))))</f>
        <v/>
      </c>
      <c r="BD462" s="5" t="str">
        <f aca="false">IF($B462="","",--(F462&gt;=10)+--(G462&gt;=10)+--(H462&gt;=10)+--(I462&gt;=10)+--(J462&gt;=10)+--(K462&gt;=10)+--(L462&gt;=10)+--(M462&gt;=10)+--(N462&gt;=10)+--(O462&gt;=10))</f>
        <v/>
      </c>
      <c r="BE462" s="5" t="str">
        <f aca="false">IF($B462="","",--(AND(F462&lt;&gt;"",F462&lt;=8))+--(AND(G462&lt;&gt;"",G462&lt;=8))+--(AND(H462&lt;&gt;"",H462&lt;=8))+--(AND(I462&lt;&gt;"",I462&lt;=8))+--(AND(J462&lt;&gt;"",J462&lt;=8))+--(AND(K462&lt;&gt;"",K462&lt;=8))+--(AND(L462&lt;&gt;"",L462&lt;=8))+--(AND(M462&lt;&gt;"",M462&lt;=8))+--(AND(N462&lt;&gt;"",N462&lt;=8))+--(AND(O462&lt;&gt;"",O462&lt;=8)))</f>
        <v/>
      </c>
    </row>
    <row r="463" customFormat="false" ht="15" hidden="false" customHeight="false" outlineLevel="0" collapsed="false">
      <c r="AZ463" s="5" t="str">
        <f aca="false">IF($B463="","",SUMPRODUCT(($AL463:$AO463&lt;&gt;"")*(COUNTIF($AP463:$AX463,$AL463:$AO463)&gt;0)))</f>
        <v/>
      </c>
      <c r="BA463" s="5" t="str">
        <f aca="false">IF($B463="","",IF(AZ463&gt;0,1,0))</f>
        <v/>
      </c>
      <c r="BB463" s="5" t="str">
        <f aca="false">IF($AP463="","",IF((($AP463="Engineering and Technology")+($AP463="Science and Mathematics")+($AP463="Computer Science, IT and Allied Fields")+($AP463="Life Sciences /Medicine and Healthcare")+($AP463="Paramedical")+($AP463="Architecture")+($AP463="Environmental Service")+($AP463="Agriculture, Food Industry and Forestry"))&gt;0,"Science",IF((($AP463="Banking and Finance")+($AP463="Management and Administration")+($AP463="Marketing")+($AP463="Sales")+($AP463="Entrepreneurship")+($AP463="Hospitality and Tourism"))&gt;0,"Commerce",IF((($AP463="Social Sciences and Humanities")+($AP463="Law Studies")+($AP463="Education and Training")+($AP463="Art, Design")+($AP463="Entertainment and Mass Media")+($AP463="Community and Social Service")+($AP463="Personal Care and Services")+($AP463="Government and Public Administration")+($AP463="Defence/ Protective Service")+($AP463="Sports"))&gt;0,"Arts / Humanities",""))))</f>
        <v/>
      </c>
      <c r="BC463" s="5" t="str">
        <f aca="false">IF($AL463="","",IF((($AL463="Engineering and Technology")+($AL463="Science and Mathematics")+($AL463="Computer Science, IT and Allied Fields")+($AL463="Life Sciences /Medicine and Healthcare")+($AL463="Paramedical")+($AL463="Architecture")+($AL463="Environmental Service")+($AL463="Agriculture, Food Industry and Forestry"))&gt;0,"Science",IF((($AL463="Banking and Finance")+($AL463="Management and Administration")+($AL463="Marketing")+($AL463="Sales")+($AL463="Entrepreneurship")+($AL463="Hospitality and Tourism"))&gt;0,"Commerce",IF((($AL463="Social Sciences and Humanities")+($AL463="Law Studies")+($AL463="Education and Training")+($AL463="Art, Design")+($AL463="Entertainment and Mass Media")+($AL463="Community and Social Service")+($AL463="Personal Care and Services")+($AL463="Government and Public Administration")+($AL463="Defence/ Protective Service")+($AL463="Sports"))&gt;0,"Arts / Humanities",""))))</f>
        <v/>
      </c>
      <c r="BD463" s="5" t="str">
        <f aca="false">IF($B463="","",--(F463&gt;=10)+--(G463&gt;=10)+--(H463&gt;=10)+--(I463&gt;=10)+--(J463&gt;=10)+--(K463&gt;=10)+--(L463&gt;=10)+--(M463&gt;=10)+--(N463&gt;=10)+--(O463&gt;=10))</f>
        <v/>
      </c>
      <c r="BE463" s="5" t="str">
        <f aca="false">IF($B463="","",--(AND(F463&lt;&gt;"",F463&lt;=8))+--(AND(G463&lt;&gt;"",G463&lt;=8))+--(AND(H463&lt;&gt;"",H463&lt;=8))+--(AND(I463&lt;&gt;"",I463&lt;=8))+--(AND(J463&lt;&gt;"",J463&lt;=8))+--(AND(K463&lt;&gt;"",K463&lt;=8))+--(AND(L463&lt;&gt;"",L463&lt;=8))+--(AND(M463&lt;&gt;"",M463&lt;=8))+--(AND(N463&lt;&gt;"",N463&lt;=8))+--(AND(O463&lt;&gt;"",O463&lt;=8)))</f>
        <v/>
      </c>
    </row>
    <row r="464" customFormat="false" ht="15" hidden="false" customHeight="false" outlineLevel="0" collapsed="false">
      <c r="AZ464" s="5" t="str">
        <f aca="false">IF($B464="","",SUMPRODUCT(($AL464:$AO464&lt;&gt;"")*(COUNTIF($AP464:$AX464,$AL464:$AO464)&gt;0)))</f>
        <v/>
      </c>
      <c r="BA464" s="5" t="str">
        <f aca="false">IF($B464="","",IF(AZ464&gt;0,1,0))</f>
        <v/>
      </c>
      <c r="BB464" s="5" t="str">
        <f aca="false">IF($AP464="","",IF((($AP464="Engineering and Technology")+($AP464="Science and Mathematics")+($AP464="Computer Science, IT and Allied Fields")+($AP464="Life Sciences /Medicine and Healthcare")+($AP464="Paramedical")+($AP464="Architecture")+($AP464="Environmental Service")+($AP464="Agriculture, Food Industry and Forestry"))&gt;0,"Science",IF((($AP464="Banking and Finance")+($AP464="Management and Administration")+($AP464="Marketing")+($AP464="Sales")+($AP464="Entrepreneurship")+($AP464="Hospitality and Tourism"))&gt;0,"Commerce",IF((($AP464="Social Sciences and Humanities")+($AP464="Law Studies")+($AP464="Education and Training")+($AP464="Art, Design")+($AP464="Entertainment and Mass Media")+($AP464="Community and Social Service")+($AP464="Personal Care and Services")+($AP464="Government and Public Administration")+($AP464="Defence/ Protective Service")+($AP464="Sports"))&gt;0,"Arts / Humanities",""))))</f>
        <v/>
      </c>
      <c r="BC464" s="5" t="str">
        <f aca="false">IF($AL464="","",IF((($AL464="Engineering and Technology")+($AL464="Science and Mathematics")+($AL464="Computer Science, IT and Allied Fields")+($AL464="Life Sciences /Medicine and Healthcare")+($AL464="Paramedical")+($AL464="Architecture")+($AL464="Environmental Service")+($AL464="Agriculture, Food Industry and Forestry"))&gt;0,"Science",IF((($AL464="Banking and Finance")+($AL464="Management and Administration")+($AL464="Marketing")+($AL464="Sales")+($AL464="Entrepreneurship")+($AL464="Hospitality and Tourism"))&gt;0,"Commerce",IF((($AL464="Social Sciences and Humanities")+($AL464="Law Studies")+($AL464="Education and Training")+($AL464="Art, Design")+($AL464="Entertainment and Mass Media")+($AL464="Community and Social Service")+($AL464="Personal Care and Services")+($AL464="Government and Public Administration")+($AL464="Defence/ Protective Service")+($AL464="Sports"))&gt;0,"Arts / Humanities",""))))</f>
        <v/>
      </c>
      <c r="BD464" s="5" t="str">
        <f aca="false">IF($B464="","",--(F464&gt;=10)+--(G464&gt;=10)+--(H464&gt;=10)+--(I464&gt;=10)+--(J464&gt;=10)+--(K464&gt;=10)+--(L464&gt;=10)+--(M464&gt;=10)+--(N464&gt;=10)+--(O464&gt;=10))</f>
        <v/>
      </c>
      <c r="BE464" s="5" t="str">
        <f aca="false">IF($B464="","",--(AND(F464&lt;&gt;"",F464&lt;=8))+--(AND(G464&lt;&gt;"",G464&lt;=8))+--(AND(H464&lt;&gt;"",H464&lt;=8))+--(AND(I464&lt;&gt;"",I464&lt;=8))+--(AND(J464&lt;&gt;"",J464&lt;=8))+--(AND(K464&lt;&gt;"",K464&lt;=8))+--(AND(L464&lt;&gt;"",L464&lt;=8))+--(AND(M464&lt;&gt;"",M464&lt;=8))+--(AND(N464&lt;&gt;"",N464&lt;=8))+--(AND(O464&lt;&gt;"",O464&lt;=8)))</f>
        <v/>
      </c>
    </row>
    <row r="465" customFormat="false" ht="15" hidden="false" customHeight="false" outlineLevel="0" collapsed="false">
      <c r="AZ465" s="5" t="str">
        <f aca="false">IF($B465="","",SUMPRODUCT(($AL465:$AO465&lt;&gt;"")*(COUNTIF($AP465:$AX465,$AL465:$AO465)&gt;0)))</f>
        <v/>
      </c>
      <c r="BA465" s="5" t="str">
        <f aca="false">IF($B465="","",IF(AZ465&gt;0,1,0))</f>
        <v/>
      </c>
      <c r="BB465" s="5" t="str">
        <f aca="false">IF($AP465="","",IF((($AP465="Engineering and Technology")+($AP465="Science and Mathematics")+($AP465="Computer Science, IT and Allied Fields")+($AP465="Life Sciences /Medicine and Healthcare")+($AP465="Paramedical")+($AP465="Architecture")+($AP465="Environmental Service")+($AP465="Agriculture, Food Industry and Forestry"))&gt;0,"Science",IF((($AP465="Banking and Finance")+($AP465="Management and Administration")+($AP465="Marketing")+($AP465="Sales")+($AP465="Entrepreneurship")+($AP465="Hospitality and Tourism"))&gt;0,"Commerce",IF((($AP465="Social Sciences and Humanities")+($AP465="Law Studies")+($AP465="Education and Training")+($AP465="Art, Design")+($AP465="Entertainment and Mass Media")+($AP465="Community and Social Service")+($AP465="Personal Care and Services")+($AP465="Government and Public Administration")+($AP465="Defence/ Protective Service")+($AP465="Sports"))&gt;0,"Arts / Humanities",""))))</f>
        <v/>
      </c>
      <c r="BC465" s="5" t="str">
        <f aca="false">IF($AL465="","",IF((($AL465="Engineering and Technology")+($AL465="Science and Mathematics")+($AL465="Computer Science, IT and Allied Fields")+($AL465="Life Sciences /Medicine and Healthcare")+($AL465="Paramedical")+($AL465="Architecture")+($AL465="Environmental Service")+($AL465="Agriculture, Food Industry and Forestry"))&gt;0,"Science",IF((($AL465="Banking and Finance")+($AL465="Management and Administration")+($AL465="Marketing")+($AL465="Sales")+($AL465="Entrepreneurship")+($AL465="Hospitality and Tourism"))&gt;0,"Commerce",IF((($AL465="Social Sciences and Humanities")+($AL465="Law Studies")+($AL465="Education and Training")+($AL465="Art, Design")+($AL465="Entertainment and Mass Media")+($AL465="Community and Social Service")+($AL465="Personal Care and Services")+($AL465="Government and Public Administration")+($AL465="Defence/ Protective Service")+($AL465="Sports"))&gt;0,"Arts / Humanities",""))))</f>
        <v/>
      </c>
      <c r="BD465" s="5" t="str">
        <f aca="false">IF($B465="","",--(F465&gt;=10)+--(G465&gt;=10)+--(H465&gt;=10)+--(I465&gt;=10)+--(J465&gt;=10)+--(K465&gt;=10)+--(L465&gt;=10)+--(M465&gt;=10)+--(N465&gt;=10)+--(O465&gt;=10))</f>
        <v/>
      </c>
      <c r="BE465" s="5" t="str">
        <f aca="false">IF($B465="","",--(AND(F465&lt;&gt;"",F465&lt;=8))+--(AND(G465&lt;&gt;"",G465&lt;=8))+--(AND(H465&lt;&gt;"",H465&lt;=8))+--(AND(I465&lt;&gt;"",I465&lt;=8))+--(AND(J465&lt;&gt;"",J465&lt;=8))+--(AND(K465&lt;&gt;"",K465&lt;=8))+--(AND(L465&lt;&gt;"",L465&lt;=8))+--(AND(M465&lt;&gt;"",M465&lt;=8))+--(AND(N465&lt;&gt;"",N465&lt;=8))+--(AND(O465&lt;&gt;"",O465&lt;=8)))</f>
        <v/>
      </c>
    </row>
    <row r="466" customFormat="false" ht="15" hidden="false" customHeight="false" outlineLevel="0" collapsed="false">
      <c r="AZ466" s="5" t="str">
        <f aca="false">IF($B466="","",SUMPRODUCT(($AL466:$AO466&lt;&gt;"")*(COUNTIF($AP466:$AX466,$AL466:$AO466)&gt;0)))</f>
        <v/>
      </c>
      <c r="BA466" s="5" t="str">
        <f aca="false">IF($B466="","",IF(AZ466&gt;0,1,0))</f>
        <v/>
      </c>
      <c r="BB466" s="5" t="str">
        <f aca="false">IF($AP466="","",IF((($AP466="Engineering and Technology")+($AP466="Science and Mathematics")+($AP466="Computer Science, IT and Allied Fields")+($AP466="Life Sciences /Medicine and Healthcare")+($AP466="Paramedical")+($AP466="Architecture")+($AP466="Environmental Service")+($AP466="Agriculture, Food Industry and Forestry"))&gt;0,"Science",IF((($AP466="Banking and Finance")+($AP466="Management and Administration")+($AP466="Marketing")+($AP466="Sales")+($AP466="Entrepreneurship")+($AP466="Hospitality and Tourism"))&gt;0,"Commerce",IF((($AP466="Social Sciences and Humanities")+($AP466="Law Studies")+($AP466="Education and Training")+($AP466="Art, Design")+($AP466="Entertainment and Mass Media")+($AP466="Community and Social Service")+($AP466="Personal Care and Services")+($AP466="Government and Public Administration")+($AP466="Defence/ Protective Service")+($AP466="Sports"))&gt;0,"Arts / Humanities",""))))</f>
        <v/>
      </c>
      <c r="BC466" s="5" t="str">
        <f aca="false">IF($AL466="","",IF((($AL466="Engineering and Technology")+($AL466="Science and Mathematics")+($AL466="Computer Science, IT and Allied Fields")+($AL466="Life Sciences /Medicine and Healthcare")+($AL466="Paramedical")+($AL466="Architecture")+($AL466="Environmental Service")+($AL466="Agriculture, Food Industry and Forestry"))&gt;0,"Science",IF((($AL466="Banking and Finance")+($AL466="Management and Administration")+($AL466="Marketing")+($AL466="Sales")+($AL466="Entrepreneurship")+($AL466="Hospitality and Tourism"))&gt;0,"Commerce",IF((($AL466="Social Sciences and Humanities")+($AL466="Law Studies")+($AL466="Education and Training")+($AL466="Art, Design")+($AL466="Entertainment and Mass Media")+($AL466="Community and Social Service")+($AL466="Personal Care and Services")+($AL466="Government and Public Administration")+($AL466="Defence/ Protective Service")+($AL466="Sports"))&gt;0,"Arts / Humanities",""))))</f>
        <v/>
      </c>
      <c r="BD466" s="5" t="str">
        <f aca="false">IF($B466="","",--(F466&gt;=10)+--(G466&gt;=10)+--(H466&gt;=10)+--(I466&gt;=10)+--(J466&gt;=10)+--(K466&gt;=10)+--(L466&gt;=10)+--(M466&gt;=10)+--(N466&gt;=10)+--(O466&gt;=10))</f>
        <v/>
      </c>
      <c r="BE466" s="5" t="str">
        <f aca="false">IF($B466="","",--(AND(F466&lt;&gt;"",F466&lt;=8))+--(AND(G466&lt;&gt;"",G466&lt;=8))+--(AND(H466&lt;&gt;"",H466&lt;=8))+--(AND(I466&lt;&gt;"",I466&lt;=8))+--(AND(J466&lt;&gt;"",J466&lt;=8))+--(AND(K466&lt;&gt;"",K466&lt;=8))+--(AND(L466&lt;&gt;"",L466&lt;=8))+--(AND(M466&lt;&gt;"",M466&lt;=8))+--(AND(N466&lt;&gt;"",N466&lt;=8))+--(AND(O466&lt;&gt;"",O466&lt;=8)))</f>
        <v/>
      </c>
    </row>
    <row r="467" customFormat="false" ht="15" hidden="false" customHeight="false" outlineLevel="0" collapsed="false">
      <c r="AZ467" s="5" t="str">
        <f aca="false">IF($B467="","",SUMPRODUCT(($AL467:$AO467&lt;&gt;"")*(COUNTIF($AP467:$AX467,$AL467:$AO467)&gt;0)))</f>
        <v/>
      </c>
      <c r="BA467" s="5" t="str">
        <f aca="false">IF($B467="","",IF(AZ467&gt;0,1,0))</f>
        <v/>
      </c>
      <c r="BB467" s="5" t="str">
        <f aca="false">IF($AP467="","",IF((($AP467="Engineering and Technology")+($AP467="Science and Mathematics")+($AP467="Computer Science, IT and Allied Fields")+($AP467="Life Sciences /Medicine and Healthcare")+($AP467="Paramedical")+($AP467="Architecture")+($AP467="Environmental Service")+($AP467="Agriculture, Food Industry and Forestry"))&gt;0,"Science",IF((($AP467="Banking and Finance")+($AP467="Management and Administration")+($AP467="Marketing")+($AP467="Sales")+($AP467="Entrepreneurship")+($AP467="Hospitality and Tourism"))&gt;0,"Commerce",IF((($AP467="Social Sciences and Humanities")+($AP467="Law Studies")+($AP467="Education and Training")+($AP467="Art, Design")+($AP467="Entertainment and Mass Media")+($AP467="Community and Social Service")+($AP467="Personal Care and Services")+($AP467="Government and Public Administration")+($AP467="Defence/ Protective Service")+($AP467="Sports"))&gt;0,"Arts / Humanities",""))))</f>
        <v/>
      </c>
      <c r="BC467" s="5" t="str">
        <f aca="false">IF($AL467="","",IF((($AL467="Engineering and Technology")+($AL467="Science and Mathematics")+($AL467="Computer Science, IT and Allied Fields")+($AL467="Life Sciences /Medicine and Healthcare")+($AL467="Paramedical")+($AL467="Architecture")+($AL467="Environmental Service")+($AL467="Agriculture, Food Industry and Forestry"))&gt;0,"Science",IF((($AL467="Banking and Finance")+($AL467="Management and Administration")+($AL467="Marketing")+($AL467="Sales")+($AL467="Entrepreneurship")+($AL467="Hospitality and Tourism"))&gt;0,"Commerce",IF((($AL467="Social Sciences and Humanities")+($AL467="Law Studies")+($AL467="Education and Training")+($AL467="Art, Design")+($AL467="Entertainment and Mass Media")+($AL467="Community and Social Service")+($AL467="Personal Care and Services")+($AL467="Government and Public Administration")+($AL467="Defence/ Protective Service")+($AL467="Sports"))&gt;0,"Arts / Humanities",""))))</f>
        <v/>
      </c>
      <c r="BD467" s="5" t="str">
        <f aca="false">IF($B467="","",--(F467&gt;=10)+--(G467&gt;=10)+--(H467&gt;=10)+--(I467&gt;=10)+--(J467&gt;=10)+--(K467&gt;=10)+--(L467&gt;=10)+--(M467&gt;=10)+--(N467&gt;=10)+--(O467&gt;=10))</f>
        <v/>
      </c>
      <c r="BE467" s="5" t="str">
        <f aca="false">IF($B467="","",--(AND(F467&lt;&gt;"",F467&lt;=8))+--(AND(G467&lt;&gt;"",G467&lt;=8))+--(AND(H467&lt;&gt;"",H467&lt;=8))+--(AND(I467&lt;&gt;"",I467&lt;=8))+--(AND(J467&lt;&gt;"",J467&lt;=8))+--(AND(K467&lt;&gt;"",K467&lt;=8))+--(AND(L467&lt;&gt;"",L467&lt;=8))+--(AND(M467&lt;&gt;"",M467&lt;=8))+--(AND(N467&lt;&gt;"",N467&lt;=8))+--(AND(O467&lt;&gt;"",O467&lt;=8)))</f>
        <v/>
      </c>
    </row>
    <row r="468" customFormat="false" ht="15" hidden="false" customHeight="false" outlineLevel="0" collapsed="false">
      <c r="AZ468" s="5" t="str">
        <f aca="false">IF($B468="","",SUMPRODUCT(($AL468:$AO468&lt;&gt;"")*(COUNTIF($AP468:$AX468,$AL468:$AO468)&gt;0)))</f>
        <v/>
      </c>
      <c r="BA468" s="5" t="str">
        <f aca="false">IF($B468="","",IF(AZ468&gt;0,1,0))</f>
        <v/>
      </c>
      <c r="BB468" s="5" t="str">
        <f aca="false">IF($AP468="","",IF((($AP468="Engineering and Technology")+($AP468="Science and Mathematics")+($AP468="Computer Science, IT and Allied Fields")+($AP468="Life Sciences /Medicine and Healthcare")+($AP468="Paramedical")+($AP468="Architecture")+($AP468="Environmental Service")+($AP468="Agriculture, Food Industry and Forestry"))&gt;0,"Science",IF((($AP468="Banking and Finance")+($AP468="Management and Administration")+($AP468="Marketing")+($AP468="Sales")+($AP468="Entrepreneurship")+($AP468="Hospitality and Tourism"))&gt;0,"Commerce",IF((($AP468="Social Sciences and Humanities")+($AP468="Law Studies")+($AP468="Education and Training")+($AP468="Art, Design")+($AP468="Entertainment and Mass Media")+($AP468="Community and Social Service")+($AP468="Personal Care and Services")+($AP468="Government and Public Administration")+($AP468="Defence/ Protective Service")+($AP468="Sports"))&gt;0,"Arts / Humanities",""))))</f>
        <v/>
      </c>
      <c r="BC468" s="5" t="str">
        <f aca="false">IF($AL468="","",IF((($AL468="Engineering and Technology")+($AL468="Science and Mathematics")+($AL468="Computer Science, IT and Allied Fields")+($AL468="Life Sciences /Medicine and Healthcare")+($AL468="Paramedical")+($AL468="Architecture")+($AL468="Environmental Service")+($AL468="Agriculture, Food Industry and Forestry"))&gt;0,"Science",IF((($AL468="Banking and Finance")+($AL468="Management and Administration")+($AL468="Marketing")+($AL468="Sales")+($AL468="Entrepreneurship")+($AL468="Hospitality and Tourism"))&gt;0,"Commerce",IF((($AL468="Social Sciences and Humanities")+($AL468="Law Studies")+($AL468="Education and Training")+($AL468="Art, Design")+($AL468="Entertainment and Mass Media")+($AL468="Community and Social Service")+($AL468="Personal Care and Services")+($AL468="Government and Public Administration")+($AL468="Defence/ Protective Service")+($AL468="Sports"))&gt;0,"Arts / Humanities",""))))</f>
        <v/>
      </c>
      <c r="BD468" s="5" t="str">
        <f aca="false">IF($B468="","",--(F468&gt;=10)+--(G468&gt;=10)+--(H468&gt;=10)+--(I468&gt;=10)+--(J468&gt;=10)+--(K468&gt;=10)+--(L468&gt;=10)+--(M468&gt;=10)+--(N468&gt;=10)+--(O468&gt;=10))</f>
        <v/>
      </c>
      <c r="BE468" s="5" t="str">
        <f aca="false">IF($B468="","",--(AND(F468&lt;&gt;"",F468&lt;=8))+--(AND(G468&lt;&gt;"",G468&lt;=8))+--(AND(H468&lt;&gt;"",H468&lt;=8))+--(AND(I468&lt;&gt;"",I468&lt;=8))+--(AND(J468&lt;&gt;"",J468&lt;=8))+--(AND(K468&lt;&gt;"",K468&lt;=8))+--(AND(L468&lt;&gt;"",L468&lt;=8))+--(AND(M468&lt;&gt;"",M468&lt;=8))+--(AND(N468&lt;&gt;"",N468&lt;=8))+--(AND(O468&lt;&gt;"",O468&lt;=8)))</f>
        <v/>
      </c>
    </row>
    <row r="469" customFormat="false" ht="15" hidden="false" customHeight="false" outlineLevel="0" collapsed="false">
      <c r="AZ469" s="5" t="str">
        <f aca="false">IF($B469="","",SUMPRODUCT(($AL469:$AO469&lt;&gt;"")*(COUNTIF($AP469:$AX469,$AL469:$AO469)&gt;0)))</f>
        <v/>
      </c>
      <c r="BA469" s="5" t="str">
        <f aca="false">IF($B469="","",IF(AZ469&gt;0,1,0))</f>
        <v/>
      </c>
      <c r="BB469" s="5" t="str">
        <f aca="false">IF($AP469="","",IF((($AP469="Engineering and Technology")+($AP469="Science and Mathematics")+($AP469="Computer Science, IT and Allied Fields")+($AP469="Life Sciences /Medicine and Healthcare")+($AP469="Paramedical")+($AP469="Architecture")+($AP469="Environmental Service")+($AP469="Agriculture, Food Industry and Forestry"))&gt;0,"Science",IF((($AP469="Banking and Finance")+($AP469="Management and Administration")+($AP469="Marketing")+($AP469="Sales")+($AP469="Entrepreneurship")+($AP469="Hospitality and Tourism"))&gt;0,"Commerce",IF((($AP469="Social Sciences and Humanities")+($AP469="Law Studies")+($AP469="Education and Training")+($AP469="Art, Design")+($AP469="Entertainment and Mass Media")+($AP469="Community and Social Service")+($AP469="Personal Care and Services")+($AP469="Government and Public Administration")+($AP469="Defence/ Protective Service")+($AP469="Sports"))&gt;0,"Arts / Humanities",""))))</f>
        <v/>
      </c>
      <c r="BC469" s="5" t="str">
        <f aca="false">IF($AL469="","",IF((($AL469="Engineering and Technology")+($AL469="Science and Mathematics")+($AL469="Computer Science, IT and Allied Fields")+($AL469="Life Sciences /Medicine and Healthcare")+($AL469="Paramedical")+($AL469="Architecture")+($AL469="Environmental Service")+($AL469="Agriculture, Food Industry and Forestry"))&gt;0,"Science",IF((($AL469="Banking and Finance")+($AL469="Management and Administration")+($AL469="Marketing")+($AL469="Sales")+($AL469="Entrepreneurship")+($AL469="Hospitality and Tourism"))&gt;0,"Commerce",IF((($AL469="Social Sciences and Humanities")+($AL469="Law Studies")+($AL469="Education and Training")+($AL469="Art, Design")+($AL469="Entertainment and Mass Media")+($AL469="Community and Social Service")+($AL469="Personal Care and Services")+($AL469="Government and Public Administration")+($AL469="Defence/ Protective Service")+($AL469="Sports"))&gt;0,"Arts / Humanities",""))))</f>
        <v/>
      </c>
      <c r="BD469" s="5" t="str">
        <f aca="false">IF($B469="","",--(F469&gt;=10)+--(G469&gt;=10)+--(H469&gt;=10)+--(I469&gt;=10)+--(J469&gt;=10)+--(K469&gt;=10)+--(L469&gt;=10)+--(M469&gt;=10)+--(N469&gt;=10)+--(O469&gt;=10))</f>
        <v/>
      </c>
      <c r="BE469" s="5" t="str">
        <f aca="false">IF($B469="","",--(AND(F469&lt;&gt;"",F469&lt;=8))+--(AND(G469&lt;&gt;"",G469&lt;=8))+--(AND(H469&lt;&gt;"",H469&lt;=8))+--(AND(I469&lt;&gt;"",I469&lt;=8))+--(AND(J469&lt;&gt;"",J469&lt;=8))+--(AND(K469&lt;&gt;"",K469&lt;=8))+--(AND(L469&lt;&gt;"",L469&lt;=8))+--(AND(M469&lt;&gt;"",M469&lt;=8))+--(AND(N469&lt;&gt;"",N469&lt;=8))+--(AND(O469&lt;&gt;"",O469&lt;=8)))</f>
        <v/>
      </c>
    </row>
    <row r="470" customFormat="false" ht="15" hidden="false" customHeight="false" outlineLevel="0" collapsed="false">
      <c r="AZ470" s="5" t="str">
        <f aca="false">IF($B470="","",SUMPRODUCT(($AL470:$AO470&lt;&gt;"")*(COUNTIF($AP470:$AX470,$AL470:$AO470)&gt;0)))</f>
        <v/>
      </c>
      <c r="BA470" s="5" t="str">
        <f aca="false">IF($B470="","",IF(AZ470&gt;0,1,0))</f>
        <v/>
      </c>
      <c r="BB470" s="5" t="str">
        <f aca="false">IF($AP470="","",IF((($AP470="Engineering and Technology")+($AP470="Science and Mathematics")+($AP470="Computer Science, IT and Allied Fields")+($AP470="Life Sciences /Medicine and Healthcare")+($AP470="Paramedical")+($AP470="Architecture")+($AP470="Environmental Service")+($AP470="Agriculture, Food Industry and Forestry"))&gt;0,"Science",IF((($AP470="Banking and Finance")+($AP470="Management and Administration")+($AP470="Marketing")+($AP470="Sales")+($AP470="Entrepreneurship")+($AP470="Hospitality and Tourism"))&gt;0,"Commerce",IF((($AP470="Social Sciences and Humanities")+($AP470="Law Studies")+($AP470="Education and Training")+($AP470="Art, Design")+($AP470="Entertainment and Mass Media")+($AP470="Community and Social Service")+($AP470="Personal Care and Services")+($AP470="Government and Public Administration")+($AP470="Defence/ Protective Service")+($AP470="Sports"))&gt;0,"Arts / Humanities",""))))</f>
        <v/>
      </c>
      <c r="BC470" s="5" t="str">
        <f aca="false">IF($AL470="","",IF((($AL470="Engineering and Technology")+($AL470="Science and Mathematics")+($AL470="Computer Science, IT and Allied Fields")+($AL470="Life Sciences /Medicine and Healthcare")+($AL470="Paramedical")+($AL470="Architecture")+($AL470="Environmental Service")+($AL470="Agriculture, Food Industry and Forestry"))&gt;0,"Science",IF((($AL470="Banking and Finance")+($AL470="Management and Administration")+($AL470="Marketing")+($AL470="Sales")+($AL470="Entrepreneurship")+($AL470="Hospitality and Tourism"))&gt;0,"Commerce",IF((($AL470="Social Sciences and Humanities")+($AL470="Law Studies")+($AL470="Education and Training")+($AL470="Art, Design")+($AL470="Entertainment and Mass Media")+($AL470="Community and Social Service")+($AL470="Personal Care and Services")+($AL470="Government and Public Administration")+($AL470="Defence/ Protective Service")+($AL470="Sports"))&gt;0,"Arts / Humanities",""))))</f>
        <v/>
      </c>
      <c r="BD470" s="5" t="str">
        <f aca="false">IF($B470="","",--(F470&gt;=10)+--(G470&gt;=10)+--(H470&gt;=10)+--(I470&gt;=10)+--(J470&gt;=10)+--(K470&gt;=10)+--(L470&gt;=10)+--(M470&gt;=10)+--(N470&gt;=10)+--(O470&gt;=10))</f>
        <v/>
      </c>
      <c r="BE470" s="5" t="str">
        <f aca="false">IF($B470="","",--(AND(F470&lt;&gt;"",F470&lt;=8))+--(AND(G470&lt;&gt;"",G470&lt;=8))+--(AND(H470&lt;&gt;"",H470&lt;=8))+--(AND(I470&lt;&gt;"",I470&lt;=8))+--(AND(J470&lt;&gt;"",J470&lt;=8))+--(AND(K470&lt;&gt;"",K470&lt;=8))+--(AND(L470&lt;&gt;"",L470&lt;=8))+--(AND(M470&lt;&gt;"",M470&lt;=8))+--(AND(N470&lt;&gt;"",N470&lt;=8))+--(AND(O470&lt;&gt;"",O470&lt;=8)))</f>
        <v/>
      </c>
    </row>
    <row r="471" customFormat="false" ht="15" hidden="false" customHeight="false" outlineLevel="0" collapsed="false">
      <c r="AZ471" s="5" t="str">
        <f aca="false">IF($B471="","",SUMPRODUCT(($AL471:$AO471&lt;&gt;"")*(COUNTIF($AP471:$AX471,$AL471:$AO471)&gt;0)))</f>
        <v/>
      </c>
      <c r="BA471" s="5" t="str">
        <f aca="false">IF($B471="","",IF(AZ471&gt;0,1,0))</f>
        <v/>
      </c>
      <c r="BB471" s="5" t="str">
        <f aca="false">IF($AP471="","",IF((($AP471="Engineering and Technology")+($AP471="Science and Mathematics")+($AP471="Computer Science, IT and Allied Fields")+($AP471="Life Sciences /Medicine and Healthcare")+($AP471="Paramedical")+($AP471="Architecture")+($AP471="Environmental Service")+($AP471="Agriculture, Food Industry and Forestry"))&gt;0,"Science",IF((($AP471="Banking and Finance")+($AP471="Management and Administration")+($AP471="Marketing")+($AP471="Sales")+($AP471="Entrepreneurship")+($AP471="Hospitality and Tourism"))&gt;0,"Commerce",IF((($AP471="Social Sciences and Humanities")+($AP471="Law Studies")+($AP471="Education and Training")+($AP471="Art, Design")+($AP471="Entertainment and Mass Media")+($AP471="Community and Social Service")+($AP471="Personal Care and Services")+($AP471="Government and Public Administration")+($AP471="Defence/ Protective Service")+($AP471="Sports"))&gt;0,"Arts / Humanities",""))))</f>
        <v/>
      </c>
      <c r="BC471" s="5" t="str">
        <f aca="false">IF($AL471="","",IF((($AL471="Engineering and Technology")+($AL471="Science and Mathematics")+($AL471="Computer Science, IT and Allied Fields")+($AL471="Life Sciences /Medicine and Healthcare")+($AL471="Paramedical")+($AL471="Architecture")+($AL471="Environmental Service")+($AL471="Agriculture, Food Industry and Forestry"))&gt;0,"Science",IF((($AL471="Banking and Finance")+($AL471="Management and Administration")+($AL471="Marketing")+($AL471="Sales")+($AL471="Entrepreneurship")+($AL471="Hospitality and Tourism"))&gt;0,"Commerce",IF((($AL471="Social Sciences and Humanities")+($AL471="Law Studies")+($AL471="Education and Training")+($AL471="Art, Design")+($AL471="Entertainment and Mass Media")+($AL471="Community and Social Service")+($AL471="Personal Care and Services")+($AL471="Government and Public Administration")+($AL471="Defence/ Protective Service")+($AL471="Sports"))&gt;0,"Arts / Humanities",""))))</f>
        <v/>
      </c>
      <c r="BD471" s="5" t="str">
        <f aca="false">IF($B471="","",--(F471&gt;=10)+--(G471&gt;=10)+--(H471&gt;=10)+--(I471&gt;=10)+--(J471&gt;=10)+--(K471&gt;=10)+--(L471&gt;=10)+--(M471&gt;=10)+--(N471&gt;=10)+--(O471&gt;=10))</f>
        <v/>
      </c>
      <c r="BE471" s="5" t="str">
        <f aca="false">IF($B471="","",--(AND(F471&lt;&gt;"",F471&lt;=8))+--(AND(G471&lt;&gt;"",G471&lt;=8))+--(AND(H471&lt;&gt;"",H471&lt;=8))+--(AND(I471&lt;&gt;"",I471&lt;=8))+--(AND(J471&lt;&gt;"",J471&lt;=8))+--(AND(K471&lt;&gt;"",K471&lt;=8))+--(AND(L471&lt;&gt;"",L471&lt;=8))+--(AND(M471&lt;&gt;"",M471&lt;=8))+--(AND(N471&lt;&gt;"",N471&lt;=8))+--(AND(O471&lt;&gt;"",O471&lt;=8)))</f>
        <v/>
      </c>
    </row>
    <row r="472" customFormat="false" ht="15" hidden="false" customHeight="false" outlineLevel="0" collapsed="false">
      <c r="AZ472" s="5" t="str">
        <f aca="false">IF($B472="","",SUMPRODUCT(($AL472:$AO472&lt;&gt;"")*(COUNTIF($AP472:$AX472,$AL472:$AO472)&gt;0)))</f>
        <v/>
      </c>
      <c r="BA472" s="5" t="str">
        <f aca="false">IF($B472="","",IF(AZ472&gt;0,1,0))</f>
        <v/>
      </c>
      <c r="BB472" s="5" t="str">
        <f aca="false">IF($AP472="","",IF((($AP472="Engineering and Technology")+($AP472="Science and Mathematics")+($AP472="Computer Science, IT and Allied Fields")+($AP472="Life Sciences /Medicine and Healthcare")+($AP472="Paramedical")+($AP472="Architecture")+($AP472="Environmental Service")+($AP472="Agriculture, Food Industry and Forestry"))&gt;0,"Science",IF((($AP472="Banking and Finance")+($AP472="Management and Administration")+($AP472="Marketing")+($AP472="Sales")+($AP472="Entrepreneurship")+($AP472="Hospitality and Tourism"))&gt;0,"Commerce",IF((($AP472="Social Sciences and Humanities")+($AP472="Law Studies")+($AP472="Education and Training")+($AP472="Art, Design")+($AP472="Entertainment and Mass Media")+($AP472="Community and Social Service")+($AP472="Personal Care and Services")+($AP472="Government and Public Administration")+($AP472="Defence/ Protective Service")+($AP472="Sports"))&gt;0,"Arts / Humanities",""))))</f>
        <v/>
      </c>
      <c r="BC472" s="5" t="str">
        <f aca="false">IF($AL472="","",IF((($AL472="Engineering and Technology")+($AL472="Science and Mathematics")+($AL472="Computer Science, IT and Allied Fields")+($AL472="Life Sciences /Medicine and Healthcare")+($AL472="Paramedical")+($AL472="Architecture")+($AL472="Environmental Service")+($AL472="Agriculture, Food Industry and Forestry"))&gt;0,"Science",IF((($AL472="Banking and Finance")+($AL472="Management and Administration")+($AL472="Marketing")+($AL472="Sales")+($AL472="Entrepreneurship")+($AL472="Hospitality and Tourism"))&gt;0,"Commerce",IF((($AL472="Social Sciences and Humanities")+($AL472="Law Studies")+($AL472="Education and Training")+($AL472="Art, Design")+($AL472="Entertainment and Mass Media")+($AL472="Community and Social Service")+($AL472="Personal Care and Services")+($AL472="Government and Public Administration")+($AL472="Defence/ Protective Service")+($AL472="Sports"))&gt;0,"Arts / Humanities",""))))</f>
        <v/>
      </c>
      <c r="BD472" s="5" t="str">
        <f aca="false">IF($B472="","",--(F472&gt;=10)+--(G472&gt;=10)+--(H472&gt;=10)+--(I472&gt;=10)+--(J472&gt;=10)+--(K472&gt;=10)+--(L472&gt;=10)+--(M472&gt;=10)+--(N472&gt;=10)+--(O472&gt;=10))</f>
        <v/>
      </c>
      <c r="BE472" s="5" t="str">
        <f aca="false">IF($B472="","",--(AND(F472&lt;&gt;"",F472&lt;=8))+--(AND(G472&lt;&gt;"",G472&lt;=8))+--(AND(H472&lt;&gt;"",H472&lt;=8))+--(AND(I472&lt;&gt;"",I472&lt;=8))+--(AND(J472&lt;&gt;"",J472&lt;=8))+--(AND(K472&lt;&gt;"",K472&lt;=8))+--(AND(L472&lt;&gt;"",L472&lt;=8))+--(AND(M472&lt;&gt;"",M472&lt;=8))+--(AND(N472&lt;&gt;"",N472&lt;=8))+--(AND(O472&lt;&gt;"",O472&lt;=8)))</f>
        <v/>
      </c>
    </row>
    <row r="473" customFormat="false" ht="15" hidden="false" customHeight="false" outlineLevel="0" collapsed="false">
      <c r="AZ473" s="5" t="str">
        <f aca="false">IF($B473="","",SUMPRODUCT(($AL473:$AO473&lt;&gt;"")*(COUNTIF($AP473:$AX473,$AL473:$AO473)&gt;0)))</f>
        <v/>
      </c>
      <c r="BA473" s="5" t="str">
        <f aca="false">IF($B473="","",IF(AZ473&gt;0,1,0))</f>
        <v/>
      </c>
      <c r="BB473" s="5" t="str">
        <f aca="false">IF($AP473="","",IF((($AP473="Engineering and Technology")+($AP473="Science and Mathematics")+($AP473="Computer Science, IT and Allied Fields")+($AP473="Life Sciences /Medicine and Healthcare")+($AP473="Paramedical")+($AP473="Architecture")+($AP473="Environmental Service")+($AP473="Agriculture, Food Industry and Forestry"))&gt;0,"Science",IF((($AP473="Banking and Finance")+($AP473="Management and Administration")+($AP473="Marketing")+($AP473="Sales")+($AP473="Entrepreneurship")+($AP473="Hospitality and Tourism"))&gt;0,"Commerce",IF((($AP473="Social Sciences and Humanities")+($AP473="Law Studies")+($AP473="Education and Training")+($AP473="Art, Design")+($AP473="Entertainment and Mass Media")+($AP473="Community and Social Service")+($AP473="Personal Care and Services")+($AP473="Government and Public Administration")+($AP473="Defence/ Protective Service")+($AP473="Sports"))&gt;0,"Arts / Humanities",""))))</f>
        <v/>
      </c>
      <c r="BC473" s="5" t="str">
        <f aca="false">IF($AL473="","",IF((($AL473="Engineering and Technology")+($AL473="Science and Mathematics")+($AL473="Computer Science, IT and Allied Fields")+($AL473="Life Sciences /Medicine and Healthcare")+($AL473="Paramedical")+($AL473="Architecture")+($AL473="Environmental Service")+($AL473="Agriculture, Food Industry and Forestry"))&gt;0,"Science",IF((($AL473="Banking and Finance")+($AL473="Management and Administration")+($AL473="Marketing")+($AL473="Sales")+($AL473="Entrepreneurship")+($AL473="Hospitality and Tourism"))&gt;0,"Commerce",IF((($AL473="Social Sciences and Humanities")+($AL473="Law Studies")+($AL473="Education and Training")+($AL473="Art, Design")+($AL473="Entertainment and Mass Media")+($AL473="Community and Social Service")+($AL473="Personal Care and Services")+($AL473="Government and Public Administration")+($AL473="Defence/ Protective Service")+($AL473="Sports"))&gt;0,"Arts / Humanities",""))))</f>
        <v/>
      </c>
      <c r="BD473" s="5" t="str">
        <f aca="false">IF($B473="","",--(F473&gt;=10)+--(G473&gt;=10)+--(H473&gt;=10)+--(I473&gt;=10)+--(J473&gt;=10)+--(K473&gt;=10)+--(L473&gt;=10)+--(M473&gt;=10)+--(N473&gt;=10)+--(O473&gt;=10))</f>
        <v/>
      </c>
      <c r="BE473" s="5" t="str">
        <f aca="false">IF($B473="","",--(AND(F473&lt;&gt;"",F473&lt;=8))+--(AND(G473&lt;&gt;"",G473&lt;=8))+--(AND(H473&lt;&gt;"",H473&lt;=8))+--(AND(I473&lt;&gt;"",I473&lt;=8))+--(AND(J473&lt;&gt;"",J473&lt;=8))+--(AND(K473&lt;&gt;"",K473&lt;=8))+--(AND(L473&lt;&gt;"",L473&lt;=8))+--(AND(M473&lt;&gt;"",M473&lt;=8))+--(AND(N473&lt;&gt;"",N473&lt;=8))+--(AND(O473&lt;&gt;"",O473&lt;=8)))</f>
        <v/>
      </c>
    </row>
    <row r="474" customFormat="false" ht="15" hidden="false" customHeight="false" outlineLevel="0" collapsed="false">
      <c r="AZ474" s="5" t="str">
        <f aca="false">IF($B474="","",SUMPRODUCT(($AL474:$AO474&lt;&gt;"")*(COUNTIF($AP474:$AX474,$AL474:$AO474)&gt;0)))</f>
        <v/>
      </c>
      <c r="BA474" s="5" t="str">
        <f aca="false">IF($B474="","",IF(AZ474&gt;0,1,0))</f>
        <v/>
      </c>
      <c r="BB474" s="5" t="str">
        <f aca="false">IF($AP474="","",IF((($AP474="Engineering and Technology")+($AP474="Science and Mathematics")+($AP474="Computer Science, IT and Allied Fields")+($AP474="Life Sciences /Medicine and Healthcare")+($AP474="Paramedical")+($AP474="Architecture")+($AP474="Environmental Service")+($AP474="Agriculture, Food Industry and Forestry"))&gt;0,"Science",IF((($AP474="Banking and Finance")+($AP474="Management and Administration")+($AP474="Marketing")+($AP474="Sales")+($AP474="Entrepreneurship")+($AP474="Hospitality and Tourism"))&gt;0,"Commerce",IF((($AP474="Social Sciences and Humanities")+($AP474="Law Studies")+($AP474="Education and Training")+($AP474="Art, Design")+($AP474="Entertainment and Mass Media")+($AP474="Community and Social Service")+($AP474="Personal Care and Services")+($AP474="Government and Public Administration")+($AP474="Defence/ Protective Service")+($AP474="Sports"))&gt;0,"Arts / Humanities",""))))</f>
        <v/>
      </c>
      <c r="BC474" s="5" t="str">
        <f aca="false">IF($AL474="","",IF((($AL474="Engineering and Technology")+($AL474="Science and Mathematics")+($AL474="Computer Science, IT and Allied Fields")+($AL474="Life Sciences /Medicine and Healthcare")+($AL474="Paramedical")+($AL474="Architecture")+($AL474="Environmental Service")+($AL474="Agriculture, Food Industry and Forestry"))&gt;0,"Science",IF((($AL474="Banking and Finance")+($AL474="Management and Administration")+($AL474="Marketing")+($AL474="Sales")+($AL474="Entrepreneurship")+($AL474="Hospitality and Tourism"))&gt;0,"Commerce",IF((($AL474="Social Sciences and Humanities")+($AL474="Law Studies")+($AL474="Education and Training")+($AL474="Art, Design")+($AL474="Entertainment and Mass Media")+($AL474="Community and Social Service")+($AL474="Personal Care and Services")+($AL474="Government and Public Administration")+($AL474="Defence/ Protective Service")+($AL474="Sports"))&gt;0,"Arts / Humanities",""))))</f>
        <v/>
      </c>
      <c r="BD474" s="5" t="str">
        <f aca="false">IF($B474="","",--(F474&gt;=10)+--(G474&gt;=10)+--(H474&gt;=10)+--(I474&gt;=10)+--(J474&gt;=10)+--(K474&gt;=10)+--(L474&gt;=10)+--(M474&gt;=10)+--(N474&gt;=10)+--(O474&gt;=10))</f>
        <v/>
      </c>
      <c r="BE474" s="5" t="str">
        <f aca="false">IF($B474="","",--(AND(F474&lt;&gt;"",F474&lt;=8))+--(AND(G474&lt;&gt;"",G474&lt;=8))+--(AND(H474&lt;&gt;"",H474&lt;=8))+--(AND(I474&lt;&gt;"",I474&lt;=8))+--(AND(J474&lt;&gt;"",J474&lt;=8))+--(AND(K474&lt;&gt;"",K474&lt;=8))+--(AND(L474&lt;&gt;"",L474&lt;=8))+--(AND(M474&lt;&gt;"",M474&lt;=8))+--(AND(N474&lt;&gt;"",N474&lt;=8))+--(AND(O474&lt;&gt;"",O474&lt;=8)))</f>
        <v/>
      </c>
    </row>
    <row r="475" customFormat="false" ht="15" hidden="false" customHeight="false" outlineLevel="0" collapsed="false">
      <c r="AZ475" s="5" t="str">
        <f aca="false">IF($B475="","",SUMPRODUCT(($AL475:$AO475&lt;&gt;"")*(COUNTIF($AP475:$AX475,$AL475:$AO475)&gt;0)))</f>
        <v/>
      </c>
      <c r="BA475" s="5" t="str">
        <f aca="false">IF($B475="","",IF(AZ475&gt;0,1,0))</f>
        <v/>
      </c>
      <c r="BB475" s="5" t="str">
        <f aca="false">IF($AP475="","",IF((($AP475="Engineering and Technology")+($AP475="Science and Mathematics")+($AP475="Computer Science, IT and Allied Fields")+($AP475="Life Sciences /Medicine and Healthcare")+($AP475="Paramedical")+($AP475="Architecture")+($AP475="Environmental Service")+($AP475="Agriculture, Food Industry and Forestry"))&gt;0,"Science",IF((($AP475="Banking and Finance")+($AP475="Management and Administration")+($AP475="Marketing")+($AP475="Sales")+($AP475="Entrepreneurship")+($AP475="Hospitality and Tourism"))&gt;0,"Commerce",IF((($AP475="Social Sciences and Humanities")+($AP475="Law Studies")+($AP475="Education and Training")+($AP475="Art, Design")+($AP475="Entertainment and Mass Media")+($AP475="Community and Social Service")+($AP475="Personal Care and Services")+($AP475="Government and Public Administration")+($AP475="Defence/ Protective Service")+($AP475="Sports"))&gt;0,"Arts / Humanities",""))))</f>
        <v/>
      </c>
      <c r="BC475" s="5" t="str">
        <f aca="false">IF($AL475="","",IF((($AL475="Engineering and Technology")+($AL475="Science and Mathematics")+($AL475="Computer Science, IT and Allied Fields")+($AL475="Life Sciences /Medicine and Healthcare")+($AL475="Paramedical")+($AL475="Architecture")+($AL475="Environmental Service")+($AL475="Agriculture, Food Industry and Forestry"))&gt;0,"Science",IF((($AL475="Banking and Finance")+($AL475="Management and Administration")+($AL475="Marketing")+($AL475="Sales")+($AL475="Entrepreneurship")+($AL475="Hospitality and Tourism"))&gt;0,"Commerce",IF((($AL475="Social Sciences and Humanities")+($AL475="Law Studies")+($AL475="Education and Training")+($AL475="Art, Design")+($AL475="Entertainment and Mass Media")+($AL475="Community and Social Service")+($AL475="Personal Care and Services")+($AL475="Government and Public Administration")+($AL475="Defence/ Protective Service")+($AL475="Sports"))&gt;0,"Arts / Humanities",""))))</f>
        <v/>
      </c>
      <c r="BD475" s="5" t="str">
        <f aca="false">IF($B475="","",--(F475&gt;=10)+--(G475&gt;=10)+--(H475&gt;=10)+--(I475&gt;=10)+--(J475&gt;=10)+--(K475&gt;=10)+--(L475&gt;=10)+--(M475&gt;=10)+--(N475&gt;=10)+--(O475&gt;=10))</f>
        <v/>
      </c>
      <c r="BE475" s="5" t="str">
        <f aca="false">IF($B475="","",--(AND(F475&lt;&gt;"",F475&lt;=8))+--(AND(G475&lt;&gt;"",G475&lt;=8))+--(AND(H475&lt;&gt;"",H475&lt;=8))+--(AND(I475&lt;&gt;"",I475&lt;=8))+--(AND(J475&lt;&gt;"",J475&lt;=8))+--(AND(K475&lt;&gt;"",K475&lt;=8))+--(AND(L475&lt;&gt;"",L475&lt;=8))+--(AND(M475&lt;&gt;"",M475&lt;=8))+--(AND(N475&lt;&gt;"",N475&lt;=8))+--(AND(O475&lt;&gt;"",O475&lt;=8)))</f>
        <v/>
      </c>
    </row>
    <row r="476" customFormat="false" ht="15" hidden="false" customHeight="false" outlineLevel="0" collapsed="false">
      <c r="AZ476" s="5" t="str">
        <f aca="false">IF($B476="","",SUMPRODUCT(($AL476:$AO476&lt;&gt;"")*(COUNTIF($AP476:$AX476,$AL476:$AO476)&gt;0)))</f>
        <v/>
      </c>
      <c r="BA476" s="5" t="str">
        <f aca="false">IF($B476="","",IF(AZ476&gt;0,1,0))</f>
        <v/>
      </c>
      <c r="BB476" s="5" t="str">
        <f aca="false">IF($AP476="","",IF((($AP476="Engineering and Technology")+($AP476="Science and Mathematics")+($AP476="Computer Science, IT and Allied Fields")+($AP476="Life Sciences /Medicine and Healthcare")+($AP476="Paramedical")+($AP476="Architecture")+($AP476="Environmental Service")+($AP476="Agriculture, Food Industry and Forestry"))&gt;0,"Science",IF((($AP476="Banking and Finance")+($AP476="Management and Administration")+($AP476="Marketing")+($AP476="Sales")+($AP476="Entrepreneurship")+($AP476="Hospitality and Tourism"))&gt;0,"Commerce",IF((($AP476="Social Sciences and Humanities")+($AP476="Law Studies")+($AP476="Education and Training")+($AP476="Art, Design")+($AP476="Entertainment and Mass Media")+($AP476="Community and Social Service")+($AP476="Personal Care and Services")+($AP476="Government and Public Administration")+($AP476="Defence/ Protective Service")+($AP476="Sports"))&gt;0,"Arts / Humanities",""))))</f>
        <v/>
      </c>
      <c r="BC476" s="5" t="str">
        <f aca="false">IF($AL476="","",IF((($AL476="Engineering and Technology")+($AL476="Science and Mathematics")+($AL476="Computer Science, IT and Allied Fields")+($AL476="Life Sciences /Medicine and Healthcare")+($AL476="Paramedical")+($AL476="Architecture")+($AL476="Environmental Service")+($AL476="Agriculture, Food Industry and Forestry"))&gt;0,"Science",IF((($AL476="Banking and Finance")+($AL476="Management and Administration")+($AL476="Marketing")+($AL476="Sales")+($AL476="Entrepreneurship")+($AL476="Hospitality and Tourism"))&gt;0,"Commerce",IF((($AL476="Social Sciences and Humanities")+($AL476="Law Studies")+($AL476="Education and Training")+($AL476="Art, Design")+($AL476="Entertainment and Mass Media")+($AL476="Community and Social Service")+($AL476="Personal Care and Services")+($AL476="Government and Public Administration")+($AL476="Defence/ Protective Service")+($AL476="Sports"))&gt;0,"Arts / Humanities",""))))</f>
        <v/>
      </c>
      <c r="BD476" s="5" t="str">
        <f aca="false">IF($B476="","",--(F476&gt;=10)+--(G476&gt;=10)+--(H476&gt;=10)+--(I476&gt;=10)+--(J476&gt;=10)+--(K476&gt;=10)+--(L476&gt;=10)+--(M476&gt;=10)+--(N476&gt;=10)+--(O476&gt;=10))</f>
        <v/>
      </c>
      <c r="BE476" s="5" t="str">
        <f aca="false">IF($B476="","",--(AND(F476&lt;&gt;"",F476&lt;=8))+--(AND(G476&lt;&gt;"",G476&lt;=8))+--(AND(H476&lt;&gt;"",H476&lt;=8))+--(AND(I476&lt;&gt;"",I476&lt;=8))+--(AND(J476&lt;&gt;"",J476&lt;=8))+--(AND(K476&lt;&gt;"",K476&lt;=8))+--(AND(L476&lt;&gt;"",L476&lt;=8))+--(AND(M476&lt;&gt;"",M476&lt;=8))+--(AND(N476&lt;&gt;"",N476&lt;=8))+--(AND(O476&lt;&gt;"",O476&lt;=8)))</f>
        <v/>
      </c>
    </row>
    <row r="477" customFormat="false" ht="15" hidden="false" customHeight="false" outlineLevel="0" collapsed="false">
      <c r="AZ477" s="5" t="str">
        <f aca="false">IF($B477="","",SUMPRODUCT(($AL477:$AO477&lt;&gt;"")*(COUNTIF($AP477:$AX477,$AL477:$AO477)&gt;0)))</f>
        <v/>
      </c>
      <c r="BA477" s="5" t="str">
        <f aca="false">IF($B477="","",IF(AZ477&gt;0,1,0))</f>
        <v/>
      </c>
      <c r="BB477" s="5" t="str">
        <f aca="false">IF($AP477="","",IF((($AP477="Engineering and Technology")+($AP477="Science and Mathematics")+($AP477="Computer Science, IT and Allied Fields")+($AP477="Life Sciences /Medicine and Healthcare")+($AP477="Paramedical")+($AP477="Architecture")+($AP477="Environmental Service")+($AP477="Agriculture, Food Industry and Forestry"))&gt;0,"Science",IF((($AP477="Banking and Finance")+($AP477="Management and Administration")+($AP477="Marketing")+($AP477="Sales")+($AP477="Entrepreneurship")+($AP477="Hospitality and Tourism"))&gt;0,"Commerce",IF((($AP477="Social Sciences and Humanities")+($AP477="Law Studies")+($AP477="Education and Training")+($AP477="Art, Design")+($AP477="Entertainment and Mass Media")+($AP477="Community and Social Service")+($AP477="Personal Care and Services")+($AP477="Government and Public Administration")+($AP477="Defence/ Protective Service")+($AP477="Sports"))&gt;0,"Arts / Humanities",""))))</f>
        <v/>
      </c>
      <c r="BC477" s="5" t="str">
        <f aca="false">IF($AL477="","",IF((($AL477="Engineering and Technology")+($AL477="Science and Mathematics")+($AL477="Computer Science, IT and Allied Fields")+($AL477="Life Sciences /Medicine and Healthcare")+($AL477="Paramedical")+($AL477="Architecture")+($AL477="Environmental Service")+($AL477="Agriculture, Food Industry and Forestry"))&gt;0,"Science",IF((($AL477="Banking and Finance")+($AL477="Management and Administration")+($AL477="Marketing")+($AL477="Sales")+($AL477="Entrepreneurship")+($AL477="Hospitality and Tourism"))&gt;0,"Commerce",IF((($AL477="Social Sciences and Humanities")+($AL477="Law Studies")+($AL477="Education and Training")+($AL477="Art, Design")+($AL477="Entertainment and Mass Media")+($AL477="Community and Social Service")+($AL477="Personal Care and Services")+($AL477="Government and Public Administration")+($AL477="Defence/ Protective Service")+($AL477="Sports"))&gt;0,"Arts / Humanities",""))))</f>
        <v/>
      </c>
      <c r="BD477" s="5" t="str">
        <f aca="false">IF($B477="","",--(F477&gt;=10)+--(G477&gt;=10)+--(H477&gt;=10)+--(I477&gt;=10)+--(J477&gt;=10)+--(K477&gt;=10)+--(L477&gt;=10)+--(M477&gt;=10)+--(N477&gt;=10)+--(O477&gt;=10))</f>
        <v/>
      </c>
      <c r="BE477" s="5" t="str">
        <f aca="false">IF($B477="","",--(AND(F477&lt;&gt;"",F477&lt;=8))+--(AND(G477&lt;&gt;"",G477&lt;=8))+--(AND(H477&lt;&gt;"",H477&lt;=8))+--(AND(I477&lt;&gt;"",I477&lt;=8))+--(AND(J477&lt;&gt;"",J477&lt;=8))+--(AND(K477&lt;&gt;"",K477&lt;=8))+--(AND(L477&lt;&gt;"",L477&lt;=8))+--(AND(M477&lt;&gt;"",M477&lt;=8))+--(AND(N477&lt;&gt;"",N477&lt;=8))+--(AND(O477&lt;&gt;"",O477&lt;=8)))</f>
        <v/>
      </c>
    </row>
    <row r="478" customFormat="false" ht="15" hidden="false" customHeight="false" outlineLevel="0" collapsed="false">
      <c r="AZ478" s="5" t="str">
        <f aca="false">IF($B478="","",SUMPRODUCT(($AL478:$AO478&lt;&gt;"")*(COUNTIF($AP478:$AX478,$AL478:$AO478)&gt;0)))</f>
        <v/>
      </c>
      <c r="BA478" s="5" t="str">
        <f aca="false">IF($B478="","",IF(AZ478&gt;0,1,0))</f>
        <v/>
      </c>
      <c r="BB478" s="5" t="str">
        <f aca="false">IF($AP478="","",IF((($AP478="Engineering and Technology")+($AP478="Science and Mathematics")+($AP478="Computer Science, IT and Allied Fields")+($AP478="Life Sciences /Medicine and Healthcare")+($AP478="Paramedical")+($AP478="Architecture")+($AP478="Environmental Service")+($AP478="Agriculture, Food Industry and Forestry"))&gt;0,"Science",IF((($AP478="Banking and Finance")+($AP478="Management and Administration")+($AP478="Marketing")+($AP478="Sales")+($AP478="Entrepreneurship")+($AP478="Hospitality and Tourism"))&gt;0,"Commerce",IF((($AP478="Social Sciences and Humanities")+($AP478="Law Studies")+($AP478="Education and Training")+($AP478="Art, Design")+($AP478="Entertainment and Mass Media")+($AP478="Community and Social Service")+($AP478="Personal Care and Services")+($AP478="Government and Public Administration")+($AP478="Defence/ Protective Service")+($AP478="Sports"))&gt;0,"Arts / Humanities",""))))</f>
        <v/>
      </c>
      <c r="BC478" s="5" t="str">
        <f aca="false">IF($AL478="","",IF((($AL478="Engineering and Technology")+($AL478="Science and Mathematics")+($AL478="Computer Science, IT and Allied Fields")+($AL478="Life Sciences /Medicine and Healthcare")+($AL478="Paramedical")+($AL478="Architecture")+($AL478="Environmental Service")+($AL478="Agriculture, Food Industry and Forestry"))&gt;0,"Science",IF((($AL478="Banking and Finance")+($AL478="Management and Administration")+($AL478="Marketing")+($AL478="Sales")+($AL478="Entrepreneurship")+($AL478="Hospitality and Tourism"))&gt;0,"Commerce",IF((($AL478="Social Sciences and Humanities")+($AL478="Law Studies")+($AL478="Education and Training")+($AL478="Art, Design")+($AL478="Entertainment and Mass Media")+($AL478="Community and Social Service")+($AL478="Personal Care and Services")+($AL478="Government and Public Administration")+($AL478="Defence/ Protective Service")+($AL478="Sports"))&gt;0,"Arts / Humanities",""))))</f>
        <v/>
      </c>
      <c r="BD478" s="5" t="str">
        <f aca="false">IF($B478="","",--(F478&gt;=10)+--(G478&gt;=10)+--(H478&gt;=10)+--(I478&gt;=10)+--(J478&gt;=10)+--(K478&gt;=10)+--(L478&gt;=10)+--(M478&gt;=10)+--(N478&gt;=10)+--(O478&gt;=10))</f>
        <v/>
      </c>
      <c r="BE478" s="5" t="str">
        <f aca="false">IF($B478="","",--(AND(F478&lt;&gt;"",F478&lt;=8))+--(AND(G478&lt;&gt;"",G478&lt;=8))+--(AND(H478&lt;&gt;"",H478&lt;=8))+--(AND(I478&lt;&gt;"",I478&lt;=8))+--(AND(J478&lt;&gt;"",J478&lt;=8))+--(AND(K478&lt;&gt;"",K478&lt;=8))+--(AND(L478&lt;&gt;"",L478&lt;=8))+--(AND(M478&lt;&gt;"",M478&lt;=8))+--(AND(N478&lt;&gt;"",N478&lt;=8))+--(AND(O478&lt;&gt;"",O478&lt;=8)))</f>
        <v/>
      </c>
    </row>
    <row r="479" customFormat="false" ht="15" hidden="false" customHeight="false" outlineLevel="0" collapsed="false">
      <c r="AZ479" s="5" t="str">
        <f aca="false">IF($B479="","",SUMPRODUCT(($AL479:$AO479&lt;&gt;"")*(COUNTIF($AP479:$AX479,$AL479:$AO479)&gt;0)))</f>
        <v/>
      </c>
      <c r="BA479" s="5" t="str">
        <f aca="false">IF($B479="","",IF(AZ479&gt;0,1,0))</f>
        <v/>
      </c>
      <c r="BB479" s="5" t="str">
        <f aca="false">IF($AP479="","",IF((($AP479="Engineering and Technology")+($AP479="Science and Mathematics")+($AP479="Computer Science, IT and Allied Fields")+($AP479="Life Sciences /Medicine and Healthcare")+($AP479="Paramedical")+($AP479="Architecture")+($AP479="Environmental Service")+($AP479="Agriculture, Food Industry and Forestry"))&gt;0,"Science",IF((($AP479="Banking and Finance")+($AP479="Management and Administration")+($AP479="Marketing")+($AP479="Sales")+($AP479="Entrepreneurship")+($AP479="Hospitality and Tourism"))&gt;0,"Commerce",IF((($AP479="Social Sciences and Humanities")+($AP479="Law Studies")+($AP479="Education and Training")+($AP479="Art, Design")+($AP479="Entertainment and Mass Media")+($AP479="Community and Social Service")+($AP479="Personal Care and Services")+($AP479="Government and Public Administration")+($AP479="Defence/ Protective Service")+($AP479="Sports"))&gt;0,"Arts / Humanities",""))))</f>
        <v/>
      </c>
      <c r="BC479" s="5" t="str">
        <f aca="false">IF($AL479="","",IF((($AL479="Engineering and Technology")+($AL479="Science and Mathematics")+($AL479="Computer Science, IT and Allied Fields")+($AL479="Life Sciences /Medicine and Healthcare")+($AL479="Paramedical")+($AL479="Architecture")+($AL479="Environmental Service")+($AL479="Agriculture, Food Industry and Forestry"))&gt;0,"Science",IF((($AL479="Banking and Finance")+($AL479="Management and Administration")+($AL479="Marketing")+($AL479="Sales")+($AL479="Entrepreneurship")+($AL479="Hospitality and Tourism"))&gt;0,"Commerce",IF((($AL479="Social Sciences and Humanities")+($AL479="Law Studies")+($AL479="Education and Training")+($AL479="Art, Design")+($AL479="Entertainment and Mass Media")+($AL479="Community and Social Service")+($AL479="Personal Care and Services")+($AL479="Government and Public Administration")+($AL479="Defence/ Protective Service")+($AL479="Sports"))&gt;0,"Arts / Humanities",""))))</f>
        <v/>
      </c>
      <c r="BD479" s="5" t="str">
        <f aca="false">IF($B479="","",--(F479&gt;=10)+--(G479&gt;=10)+--(H479&gt;=10)+--(I479&gt;=10)+--(J479&gt;=10)+--(K479&gt;=10)+--(L479&gt;=10)+--(M479&gt;=10)+--(N479&gt;=10)+--(O479&gt;=10))</f>
        <v/>
      </c>
      <c r="BE479" s="5" t="str">
        <f aca="false">IF($B479="","",--(AND(F479&lt;&gt;"",F479&lt;=8))+--(AND(G479&lt;&gt;"",G479&lt;=8))+--(AND(H479&lt;&gt;"",H479&lt;=8))+--(AND(I479&lt;&gt;"",I479&lt;=8))+--(AND(J479&lt;&gt;"",J479&lt;=8))+--(AND(K479&lt;&gt;"",K479&lt;=8))+--(AND(L479&lt;&gt;"",L479&lt;=8))+--(AND(M479&lt;&gt;"",M479&lt;=8))+--(AND(N479&lt;&gt;"",N479&lt;=8))+--(AND(O479&lt;&gt;"",O479&lt;=8)))</f>
        <v/>
      </c>
    </row>
    <row r="480" customFormat="false" ht="15" hidden="false" customHeight="false" outlineLevel="0" collapsed="false">
      <c r="AZ480" s="5" t="str">
        <f aca="false">IF($B480="","",SUMPRODUCT(($AL480:$AO480&lt;&gt;"")*(COUNTIF($AP480:$AX480,$AL480:$AO480)&gt;0)))</f>
        <v/>
      </c>
      <c r="BA480" s="5" t="str">
        <f aca="false">IF($B480="","",IF(AZ480&gt;0,1,0))</f>
        <v/>
      </c>
      <c r="BB480" s="5" t="str">
        <f aca="false">IF($AP480="","",IF((($AP480="Engineering and Technology")+($AP480="Science and Mathematics")+($AP480="Computer Science, IT and Allied Fields")+($AP480="Life Sciences /Medicine and Healthcare")+($AP480="Paramedical")+($AP480="Architecture")+($AP480="Environmental Service")+($AP480="Agriculture, Food Industry and Forestry"))&gt;0,"Science",IF((($AP480="Banking and Finance")+($AP480="Management and Administration")+($AP480="Marketing")+($AP480="Sales")+($AP480="Entrepreneurship")+($AP480="Hospitality and Tourism"))&gt;0,"Commerce",IF((($AP480="Social Sciences and Humanities")+($AP480="Law Studies")+($AP480="Education and Training")+($AP480="Art, Design")+($AP480="Entertainment and Mass Media")+($AP480="Community and Social Service")+($AP480="Personal Care and Services")+($AP480="Government and Public Administration")+($AP480="Defence/ Protective Service")+($AP480="Sports"))&gt;0,"Arts / Humanities",""))))</f>
        <v/>
      </c>
      <c r="BC480" s="5" t="str">
        <f aca="false">IF($AL480="","",IF((($AL480="Engineering and Technology")+($AL480="Science and Mathematics")+($AL480="Computer Science, IT and Allied Fields")+($AL480="Life Sciences /Medicine and Healthcare")+($AL480="Paramedical")+($AL480="Architecture")+($AL480="Environmental Service")+($AL480="Agriculture, Food Industry and Forestry"))&gt;0,"Science",IF((($AL480="Banking and Finance")+($AL480="Management and Administration")+($AL480="Marketing")+($AL480="Sales")+($AL480="Entrepreneurship")+($AL480="Hospitality and Tourism"))&gt;0,"Commerce",IF((($AL480="Social Sciences and Humanities")+($AL480="Law Studies")+($AL480="Education and Training")+($AL480="Art, Design")+($AL480="Entertainment and Mass Media")+($AL480="Community and Social Service")+($AL480="Personal Care and Services")+($AL480="Government and Public Administration")+($AL480="Defence/ Protective Service")+($AL480="Sports"))&gt;0,"Arts / Humanities",""))))</f>
        <v/>
      </c>
      <c r="BD480" s="5" t="str">
        <f aca="false">IF($B480="","",--(F480&gt;=10)+--(G480&gt;=10)+--(H480&gt;=10)+--(I480&gt;=10)+--(J480&gt;=10)+--(K480&gt;=10)+--(L480&gt;=10)+--(M480&gt;=10)+--(N480&gt;=10)+--(O480&gt;=10))</f>
        <v/>
      </c>
      <c r="BE480" s="5" t="str">
        <f aca="false">IF($B480="","",--(AND(F480&lt;&gt;"",F480&lt;=8))+--(AND(G480&lt;&gt;"",G480&lt;=8))+--(AND(H480&lt;&gt;"",H480&lt;=8))+--(AND(I480&lt;&gt;"",I480&lt;=8))+--(AND(J480&lt;&gt;"",J480&lt;=8))+--(AND(K480&lt;&gt;"",K480&lt;=8))+--(AND(L480&lt;&gt;"",L480&lt;=8))+--(AND(M480&lt;&gt;"",M480&lt;=8))+--(AND(N480&lt;&gt;"",N480&lt;=8))+--(AND(O480&lt;&gt;"",O480&lt;=8)))</f>
        <v/>
      </c>
    </row>
    <row r="481" customFormat="false" ht="15" hidden="false" customHeight="false" outlineLevel="0" collapsed="false">
      <c r="AZ481" s="5" t="str">
        <f aca="false">IF($B481="","",SUMPRODUCT(($AL481:$AO481&lt;&gt;"")*(COUNTIF($AP481:$AX481,$AL481:$AO481)&gt;0)))</f>
        <v/>
      </c>
      <c r="BA481" s="5" t="str">
        <f aca="false">IF($B481="","",IF(AZ481&gt;0,1,0))</f>
        <v/>
      </c>
      <c r="BB481" s="5" t="str">
        <f aca="false">IF($AP481="","",IF((($AP481="Engineering and Technology")+($AP481="Science and Mathematics")+($AP481="Computer Science, IT and Allied Fields")+($AP481="Life Sciences /Medicine and Healthcare")+($AP481="Paramedical")+($AP481="Architecture")+($AP481="Environmental Service")+($AP481="Agriculture, Food Industry and Forestry"))&gt;0,"Science",IF((($AP481="Banking and Finance")+($AP481="Management and Administration")+($AP481="Marketing")+($AP481="Sales")+($AP481="Entrepreneurship")+($AP481="Hospitality and Tourism"))&gt;0,"Commerce",IF((($AP481="Social Sciences and Humanities")+($AP481="Law Studies")+($AP481="Education and Training")+($AP481="Art, Design")+($AP481="Entertainment and Mass Media")+($AP481="Community and Social Service")+($AP481="Personal Care and Services")+($AP481="Government and Public Administration")+($AP481="Defence/ Protective Service")+($AP481="Sports"))&gt;0,"Arts / Humanities",""))))</f>
        <v/>
      </c>
      <c r="BC481" s="5" t="str">
        <f aca="false">IF($AL481="","",IF((($AL481="Engineering and Technology")+($AL481="Science and Mathematics")+($AL481="Computer Science, IT and Allied Fields")+($AL481="Life Sciences /Medicine and Healthcare")+($AL481="Paramedical")+($AL481="Architecture")+($AL481="Environmental Service")+($AL481="Agriculture, Food Industry and Forestry"))&gt;0,"Science",IF((($AL481="Banking and Finance")+($AL481="Management and Administration")+($AL481="Marketing")+($AL481="Sales")+($AL481="Entrepreneurship")+($AL481="Hospitality and Tourism"))&gt;0,"Commerce",IF((($AL481="Social Sciences and Humanities")+($AL481="Law Studies")+($AL481="Education and Training")+($AL481="Art, Design")+($AL481="Entertainment and Mass Media")+($AL481="Community and Social Service")+($AL481="Personal Care and Services")+($AL481="Government and Public Administration")+($AL481="Defence/ Protective Service")+($AL481="Sports"))&gt;0,"Arts / Humanities",""))))</f>
        <v/>
      </c>
      <c r="BD481" s="5" t="str">
        <f aca="false">IF($B481="","",--(F481&gt;=10)+--(G481&gt;=10)+--(H481&gt;=10)+--(I481&gt;=10)+--(J481&gt;=10)+--(K481&gt;=10)+--(L481&gt;=10)+--(M481&gt;=10)+--(N481&gt;=10)+--(O481&gt;=10))</f>
        <v/>
      </c>
      <c r="BE481" s="5" t="str">
        <f aca="false">IF($B481="","",--(AND(F481&lt;&gt;"",F481&lt;=8))+--(AND(G481&lt;&gt;"",G481&lt;=8))+--(AND(H481&lt;&gt;"",H481&lt;=8))+--(AND(I481&lt;&gt;"",I481&lt;=8))+--(AND(J481&lt;&gt;"",J481&lt;=8))+--(AND(K481&lt;&gt;"",K481&lt;=8))+--(AND(L481&lt;&gt;"",L481&lt;=8))+--(AND(M481&lt;&gt;"",M481&lt;=8))+--(AND(N481&lt;&gt;"",N481&lt;=8))+--(AND(O481&lt;&gt;"",O481&lt;=8)))</f>
        <v/>
      </c>
    </row>
    <row r="482" customFormat="false" ht="15" hidden="false" customHeight="false" outlineLevel="0" collapsed="false">
      <c r="AZ482" s="5" t="str">
        <f aca="false">IF($B482="","",SUMPRODUCT(($AL482:$AO482&lt;&gt;"")*(COUNTIF($AP482:$AX482,$AL482:$AO482)&gt;0)))</f>
        <v/>
      </c>
      <c r="BA482" s="5" t="str">
        <f aca="false">IF($B482="","",IF(AZ482&gt;0,1,0))</f>
        <v/>
      </c>
      <c r="BB482" s="5" t="str">
        <f aca="false">IF($AP482="","",IF((($AP482="Engineering and Technology")+($AP482="Science and Mathematics")+($AP482="Computer Science, IT and Allied Fields")+($AP482="Life Sciences /Medicine and Healthcare")+($AP482="Paramedical")+($AP482="Architecture")+($AP482="Environmental Service")+($AP482="Agriculture, Food Industry and Forestry"))&gt;0,"Science",IF((($AP482="Banking and Finance")+($AP482="Management and Administration")+($AP482="Marketing")+($AP482="Sales")+($AP482="Entrepreneurship")+($AP482="Hospitality and Tourism"))&gt;0,"Commerce",IF((($AP482="Social Sciences and Humanities")+($AP482="Law Studies")+($AP482="Education and Training")+($AP482="Art, Design")+($AP482="Entertainment and Mass Media")+($AP482="Community and Social Service")+($AP482="Personal Care and Services")+($AP482="Government and Public Administration")+($AP482="Defence/ Protective Service")+($AP482="Sports"))&gt;0,"Arts / Humanities",""))))</f>
        <v/>
      </c>
      <c r="BC482" s="5" t="str">
        <f aca="false">IF($AL482="","",IF((($AL482="Engineering and Technology")+($AL482="Science and Mathematics")+($AL482="Computer Science, IT and Allied Fields")+($AL482="Life Sciences /Medicine and Healthcare")+($AL482="Paramedical")+($AL482="Architecture")+($AL482="Environmental Service")+($AL482="Agriculture, Food Industry and Forestry"))&gt;0,"Science",IF((($AL482="Banking and Finance")+($AL482="Management and Administration")+($AL482="Marketing")+($AL482="Sales")+($AL482="Entrepreneurship")+($AL482="Hospitality and Tourism"))&gt;0,"Commerce",IF((($AL482="Social Sciences and Humanities")+($AL482="Law Studies")+($AL482="Education and Training")+($AL482="Art, Design")+($AL482="Entertainment and Mass Media")+($AL482="Community and Social Service")+($AL482="Personal Care and Services")+($AL482="Government and Public Administration")+($AL482="Defence/ Protective Service")+($AL482="Sports"))&gt;0,"Arts / Humanities",""))))</f>
        <v/>
      </c>
      <c r="BD482" s="5" t="str">
        <f aca="false">IF($B482="","",--(F482&gt;=10)+--(G482&gt;=10)+--(H482&gt;=10)+--(I482&gt;=10)+--(J482&gt;=10)+--(K482&gt;=10)+--(L482&gt;=10)+--(M482&gt;=10)+--(N482&gt;=10)+--(O482&gt;=10))</f>
        <v/>
      </c>
      <c r="BE482" s="5" t="str">
        <f aca="false">IF($B482="","",--(AND(F482&lt;&gt;"",F482&lt;=8))+--(AND(G482&lt;&gt;"",G482&lt;=8))+--(AND(H482&lt;&gt;"",H482&lt;=8))+--(AND(I482&lt;&gt;"",I482&lt;=8))+--(AND(J482&lt;&gt;"",J482&lt;=8))+--(AND(K482&lt;&gt;"",K482&lt;=8))+--(AND(L482&lt;&gt;"",L482&lt;=8))+--(AND(M482&lt;&gt;"",M482&lt;=8))+--(AND(N482&lt;&gt;"",N482&lt;=8))+--(AND(O482&lt;&gt;"",O482&lt;=8)))</f>
        <v/>
      </c>
    </row>
    <row r="483" customFormat="false" ht="15" hidden="false" customHeight="false" outlineLevel="0" collapsed="false">
      <c r="AZ483" s="5" t="str">
        <f aca="false">IF($B483="","",SUMPRODUCT(($AL483:$AO483&lt;&gt;"")*(COUNTIF($AP483:$AX483,$AL483:$AO483)&gt;0)))</f>
        <v/>
      </c>
      <c r="BA483" s="5" t="str">
        <f aca="false">IF($B483="","",IF(AZ483&gt;0,1,0))</f>
        <v/>
      </c>
      <c r="BB483" s="5" t="str">
        <f aca="false">IF($AP483="","",IF((($AP483="Engineering and Technology")+($AP483="Science and Mathematics")+($AP483="Computer Science, IT and Allied Fields")+($AP483="Life Sciences /Medicine and Healthcare")+($AP483="Paramedical")+($AP483="Architecture")+($AP483="Environmental Service")+($AP483="Agriculture, Food Industry and Forestry"))&gt;0,"Science",IF((($AP483="Banking and Finance")+($AP483="Management and Administration")+($AP483="Marketing")+($AP483="Sales")+($AP483="Entrepreneurship")+($AP483="Hospitality and Tourism"))&gt;0,"Commerce",IF((($AP483="Social Sciences and Humanities")+($AP483="Law Studies")+($AP483="Education and Training")+($AP483="Art, Design")+($AP483="Entertainment and Mass Media")+($AP483="Community and Social Service")+($AP483="Personal Care and Services")+($AP483="Government and Public Administration")+($AP483="Defence/ Protective Service")+($AP483="Sports"))&gt;0,"Arts / Humanities",""))))</f>
        <v/>
      </c>
      <c r="BC483" s="5" t="str">
        <f aca="false">IF($AL483="","",IF((($AL483="Engineering and Technology")+($AL483="Science and Mathematics")+($AL483="Computer Science, IT and Allied Fields")+($AL483="Life Sciences /Medicine and Healthcare")+($AL483="Paramedical")+($AL483="Architecture")+($AL483="Environmental Service")+($AL483="Agriculture, Food Industry and Forestry"))&gt;0,"Science",IF((($AL483="Banking and Finance")+($AL483="Management and Administration")+($AL483="Marketing")+($AL483="Sales")+($AL483="Entrepreneurship")+($AL483="Hospitality and Tourism"))&gt;0,"Commerce",IF((($AL483="Social Sciences and Humanities")+($AL483="Law Studies")+($AL483="Education and Training")+($AL483="Art, Design")+($AL483="Entertainment and Mass Media")+($AL483="Community and Social Service")+($AL483="Personal Care and Services")+($AL483="Government and Public Administration")+($AL483="Defence/ Protective Service")+($AL483="Sports"))&gt;0,"Arts / Humanities",""))))</f>
        <v/>
      </c>
      <c r="BD483" s="5" t="str">
        <f aca="false">IF($B483="","",--(F483&gt;=10)+--(G483&gt;=10)+--(H483&gt;=10)+--(I483&gt;=10)+--(J483&gt;=10)+--(K483&gt;=10)+--(L483&gt;=10)+--(M483&gt;=10)+--(N483&gt;=10)+--(O483&gt;=10))</f>
        <v/>
      </c>
      <c r="BE483" s="5" t="str">
        <f aca="false">IF($B483="","",--(AND(F483&lt;&gt;"",F483&lt;=8))+--(AND(G483&lt;&gt;"",G483&lt;=8))+--(AND(H483&lt;&gt;"",H483&lt;=8))+--(AND(I483&lt;&gt;"",I483&lt;=8))+--(AND(J483&lt;&gt;"",J483&lt;=8))+--(AND(K483&lt;&gt;"",K483&lt;=8))+--(AND(L483&lt;&gt;"",L483&lt;=8))+--(AND(M483&lt;&gt;"",M483&lt;=8))+--(AND(N483&lt;&gt;"",N483&lt;=8))+--(AND(O483&lt;&gt;"",O483&lt;=8)))</f>
        <v/>
      </c>
    </row>
    <row r="484" customFormat="false" ht="15" hidden="false" customHeight="false" outlineLevel="0" collapsed="false">
      <c r="AZ484" s="5" t="str">
        <f aca="false">IF($B484="","",SUMPRODUCT(($AL484:$AO484&lt;&gt;"")*(COUNTIF($AP484:$AX484,$AL484:$AO484)&gt;0)))</f>
        <v/>
      </c>
      <c r="BA484" s="5" t="str">
        <f aca="false">IF($B484="","",IF(AZ484&gt;0,1,0))</f>
        <v/>
      </c>
      <c r="BB484" s="5" t="str">
        <f aca="false">IF($AP484="","",IF((($AP484="Engineering and Technology")+($AP484="Science and Mathematics")+($AP484="Computer Science, IT and Allied Fields")+($AP484="Life Sciences /Medicine and Healthcare")+($AP484="Paramedical")+($AP484="Architecture")+($AP484="Environmental Service")+($AP484="Agriculture, Food Industry and Forestry"))&gt;0,"Science",IF((($AP484="Banking and Finance")+($AP484="Management and Administration")+($AP484="Marketing")+($AP484="Sales")+($AP484="Entrepreneurship")+($AP484="Hospitality and Tourism"))&gt;0,"Commerce",IF((($AP484="Social Sciences and Humanities")+($AP484="Law Studies")+($AP484="Education and Training")+($AP484="Art, Design")+($AP484="Entertainment and Mass Media")+($AP484="Community and Social Service")+($AP484="Personal Care and Services")+($AP484="Government and Public Administration")+($AP484="Defence/ Protective Service")+($AP484="Sports"))&gt;0,"Arts / Humanities",""))))</f>
        <v/>
      </c>
      <c r="BC484" s="5" t="str">
        <f aca="false">IF($AL484="","",IF((($AL484="Engineering and Technology")+($AL484="Science and Mathematics")+($AL484="Computer Science, IT and Allied Fields")+($AL484="Life Sciences /Medicine and Healthcare")+($AL484="Paramedical")+($AL484="Architecture")+($AL484="Environmental Service")+($AL484="Agriculture, Food Industry and Forestry"))&gt;0,"Science",IF((($AL484="Banking and Finance")+($AL484="Management and Administration")+($AL484="Marketing")+($AL484="Sales")+($AL484="Entrepreneurship")+($AL484="Hospitality and Tourism"))&gt;0,"Commerce",IF((($AL484="Social Sciences and Humanities")+($AL484="Law Studies")+($AL484="Education and Training")+($AL484="Art, Design")+($AL484="Entertainment and Mass Media")+($AL484="Community and Social Service")+($AL484="Personal Care and Services")+($AL484="Government and Public Administration")+($AL484="Defence/ Protective Service")+($AL484="Sports"))&gt;0,"Arts / Humanities",""))))</f>
        <v/>
      </c>
      <c r="BD484" s="5" t="str">
        <f aca="false">IF($B484="","",--(F484&gt;=10)+--(G484&gt;=10)+--(H484&gt;=10)+--(I484&gt;=10)+--(J484&gt;=10)+--(K484&gt;=10)+--(L484&gt;=10)+--(M484&gt;=10)+--(N484&gt;=10)+--(O484&gt;=10))</f>
        <v/>
      </c>
      <c r="BE484" s="5" t="str">
        <f aca="false">IF($B484="","",--(AND(F484&lt;&gt;"",F484&lt;=8))+--(AND(G484&lt;&gt;"",G484&lt;=8))+--(AND(H484&lt;&gt;"",H484&lt;=8))+--(AND(I484&lt;&gt;"",I484&lt;=8))+--(AND(J484&lt;&gt;"",J484&lt;=8))+--(AND(K484&lt;&gt;"",K484&lt;=8))+--(AND(L484&lt;&gt;"",L484&lt;=8))+--(AND(M484&lt;&gt;"",M484&lt;=8))+--(AND(N484&lt;&gt;"",N484&lt;=8))+--(AND(O484&lt;&gt;"",O484&lt;=8)))</f>
        <v/>
      </c>
    </row>
    <row r="485" customFormat="false" ht="15" hidden="false" customHeight="false" outlineLevel="0" collapsed="false">
      <c r="AZ485" s="5" t="str">
        <f aca="false">IF($B485="","",SUMPRODUCT(($AL485:$AO485&lt;&gt;"")*(COUNTIF($AP485:$AX485,$AL485:$AO485)&gt;0)))</f>
        <v/>
      </c>
      <c r="BA485" s="5" t="str">
        <f aca="false">IF($B485="","",IF(AZ485&gt;0,1,0))</f>
        <v/>
      </c>
      <c r="BB485" s="5" t="str">
        <f aca="false">IF($AP485="","",IF((($AP485="Engineering and Technology")+($AP485="Science and Mathematics")+($AP485="Computer Science, IT and Allied Fields")+($AP485="Life Sciences /Medicine and Healthcare")+($AP485="Paramedical")+($AP485="Architecture")+($AP485="Environmental Service")+($AP485="Agriculture, Food Industry and Forestry"))&gt;0,"Science",IF((($AP485="Banking and Finance")+($AP485="Management and Administration")+($AP485="Marketing")+($AP485="Sales")+($AP485="Entrepreneurship")+($AP485="Hospitality and Tourism"))&gt;0,"Commerce",IF((($AP485="Social Sciences and Humanities")+($AP485="Law Studies")+($AP485="Education and Training")+($AP485="Art, Design")+($AP485="Entertainment and Mass Media")+($AP485="Community and Social Service")+($AP485="Personal Care and Services")+($AP485="Government and Public Administration")+($AP485="Defence/ Protective Service")+($AP485="Sports"))&gt;0,"Arts / Humanities",""))))</f>
        <v/>
      </c>
      <c r="BC485" s="5" t="str">
        <f aca="false">IF($AL485="","",IF((($AL485="Engineering and Technology")+($AL485="Science and Mathematics")+($AL485="Computer Science, IT and Allied Fields")+($AL485="Life Sciences /Medicine and Healthcare")+($AL485="Paramedical")+($AL485="Architecture")+($AL485="Environmental Service")+($AL485="Agriculture, Food Industry and Forestry"))&gt;0,"Science",IF((($AL485="Banking and Finance")+($AL485="Management and Administration")+($AL485="Marketing")+($AL485="Sales")+($AL485="Entrepreneurship")+($AL485="Hospitality and Tourism"))&gt;0,"Commerce",IF((($AL485="Social Sciences and Humanities")+($AL485="Law Studies")+($AL485="Education and Training")+($AL485="Art, Design")+($AL485="Entertainment and Mass Media")+($AL485="Community and Social Service")+($AL485="Personal Care and Services")+($AL485="Government and Public Administration")+($AL485="Defence/ Protective Service")+($AL485="Sports"))&gt;0,"Arts / Humanities",""))))</f>
        <v/>
      </c>
      <c r="BD485" s="5" t="str">
        <f aca="false">IF($B485="","",--(F485&gt;=10)+--(G485&gt;=10)+--(H485&gt;=10)+--(I485&gt;=10)+--(J485&gt;=10)+--(K485&gt;=10)+--(L485&gt;=10)+--(M485&gt;=10)+--(N485&gt;=10)+--(O485&gt;=10))</f>
        <v/>
      </c>
      <c r="BE485" s="5" t="str">
        <f aca="false">IF($B485="","",--(AND(F485&lt;&gt;"",F485&lt;=8))+--(AND(G485&lt;&gt;"",G485&lt;=8))+--(AND(H485&lt;&gt;"",H485&lt;=8))+--(AND(I485&lt;&gt;"",I485&lt;=8))+--(AND(J485&lt;&gt;"",J485&lt;=8))+--(AND(K485&lt;&gt;"",K485&lt;=8))+--(AND(L485&lt;&gt;"",L485&lt;=8))+--(AND(M485&lt;&gt;"",M485&lt;=8))+--(AND(N485&lt;&gt;"",N485&lt;=8))+--(AND(O485&lt;&gt;"",O485&lt;=8)))</f>
        <v/>
      </c>
    </row>
    <row r="486" customFormat="false" ht="15" hidden="false" customHeight="false" outlineLevel="0" collapsed="false">
      <c r="AZ486" s="5" t="str">
        <f aca="false">IF($B486="","",SUMPRODUCT(($AL486:$AO486&lt;&gt;"")*(COUNTIF($AP486:$AX486,$AL486:$AO486)&gt;0)))</f>
        <v/>
      </c>
      <c r="BA486" s="5" t="str">
        <f aca="false">IF($B486="","",IF(AZ486&gt;0,1,0))</f>
        <v/>
      </c>
      <c r="BB486" s="5" t="str">
        <f aca="false">IF($AP486="","",IF((($AP486="Engineering and Technology")+($AP486="Science and Mathematics")+($AP486="Computer Science, IT and Allied Fields")+($AP486="Life Sciences /Medicine and Healthcare")+($AP486="Paramedical")+($AP486="Architecture")+($AP486="Environmental Service")+($AP486="Agriculture, Food Industry and Forestry"))&gt;0,"Science",IF((($AP486="Banking and Finance")+($AP486="Management and Administration")+($AP486="Marketing")+($AP486="Sales")+($AP486="Entrepreneurship")+($AP486="Hospitality and Tourism"))&gt;0,"Commerce",IF((($AP486="Social Sciences and Humanities")+($AP486="Law Studies")+($AP486="Education and Training")+($AP486="Art, Design")+($AP486="Entertainment and Mass Media")+($AP486="Community and Social Service")+($AP486="Personal Care and Services")+($AP486="Government and Public Administration")+($AP486="Defence/ Protective Service")+($AP486="Sports"))&gt;0,"Arts / Humanities",""))))</f>
        <v/>
      </c>
      <c r="BC486" s="5" t="str">
        <f aca="false">IF($AL486="","",IF((($AL486="Engineering and Technology")+($AL486="Science and Mathematics")+($AL486="Computer Science, IT and Allied Fields")+($AL486="Life Sciences /Medicine and Healthcare")+($AL486="Paramedical")+($AL486="Architecture")+($AL486="Environmental Service")+($AL486="Agriculture, Food Industry and Forestry"))&gt;0,"Science",IF((($AL486="Banking and Finance")+($AL486="Management and Administration")+($AL486="Marketing")+($AL486="Sales")+($AL486="Entrepreneurship")+($AL486="Hospitality and Tourism"))&gt;0,"Commerce",IF((($AL486="Social Sciences and Humanities")+($AL486="Law Studies")+($AL486="Education and Training")+($AL486="Art, Design")+($AL486="Entertainment and Mass Media")+($AL486="Community and Social Service")+($AL486="Personal Care and Services")+($AL486="Government and Public Administration")+($AL486="Defence/ Protective Service")+($AL486="Sports"))&gt;0,"Arts / Humanities",""))))</f>
        <v/>
      </c>
      <c r="BD486" s="5" t="str">
        <f aca="false">IF($B486="","",--(F486&gt;=10)+--(G486&gt;=10)+--(H486&gt;=10)+--(I486&gt;=10)+--(J486&gt;=10)+--(K486&gt;=10)+--(L486&gt;=10)+--(M486&gt;=10)+--(N486&gt;=10)+--(O486&gt;=10))</f>
        <v/>
      </c>
      <c r="BE486" s="5" t="str">
        <f aca="false">IF($B486="","",--(AND(F486&lt;&gt;"",F486&lt;=8))+--(AND(G486&lt;&gt;"",G486&lt;=8))+--(AND(H486&lt;&gt;"",H486&lt;=8))+--(AND(I486&lt;&gt;"",I486&lt;=8))+--(AND(J486&lt;&gt;"",J486&lt;=8))+--(AND(K486&lt;&gt;"",K486&lt;=8))+--(AND(L486&lt;&gt;"",L486&lt;=8))+--(AND(M486&lt;&gt;"",M486&lt;=8))+--(AND(N486&lt;&gt;"",N486&lt;=8))+--(AND(O486&lt;&gt;"",O486&lt;=8)))</f>
        <v/>
      </c>
    </row>
    <row r="487" customFormat="false" ht="15" hidden="false" customHeight="false" outlineLevel="0" collapsed="false">
      <c r="AZ487" s="5" t="str">
        <f aca="false">IF($B487="","",SUMPRODUCT(($AL487:$AO487&lt;&gt;"")*(COUNTIF($AP487:$AX487,$AL487:$AO487)&gt;0)))</f>
        <v/>
      </c>
      <c r="BA487" s="5" t="str">
        <f aca="false">IF($B487="","",IF(AZ487&gt;0,1,0))</f>
        <v/>
      </c>
      <c r="BB487" s="5" t="str">
        <f aca="false">IF($AP487="","",IF((($AP487="Engineering and Technology")+($AP487="Science and Mathematics")+($AP487="Computer Science, IT and Allied Fields")+($AP487="Life Sciences /Medicine and Healthcare")+($AP487="Paramedical")+($AP487="Architecture")+($AP487="Environmental Service")+($AP487="Agriculture, Food Industry and Forestry"))&gt;0,"Science",IF((($AP487="Banking and Finance")+($AP487="Management and Administration")+($AP487="Marketing")+($AP487="Sales")+($AP487="Entrepreneurship")+($AP487="Hospitality and Tourism"))&gt;0,"Commerce",IF((($AP487="Social Sciences and Humanities")+($AP487="Law Studies")+($AP487="Education and Training")+($AP487="Art, Design")+($AP487="Entertainment and Mass Media")+($AP487="Community and Social Service")+($AP487="Personal Care and Services")+($AP487="Government and Public Administration")+($AP487="Defence/ Protective Service")+($AP487="Sports"))&gt;0,"Arts / Humanities",""))))</f>
        <v/>
      </c>
      <c r="BC487" s="5" t="str">
        <f aca="false">IF($AL487="","",IF((($AL487="Engineering and Technology")+($AL487="Science and Mathematics")+($AL487="Computer Science, IT and Allied Fields")+($AL487="Life Sciences /Medicine and Healthcare")+($AL487="Paramedical")+($AL487="Architecture")+($AL487="Environmental Service")+($AL487="Agriculture, Food Industry and Forestry"))&gt;0,"Science",IF((($AL487="Banking and Finance")+($AL487="Management and Administration")+($AL487="Marketing")+($AL487="Sales")+($AL487="Entrepreneurship")+($AL487="Hospitality and Tourism"))&gt;0,"Commerce",IF((($AL487="Social Sciences and Humanities")+($AL487="Law Studies")+($AL487="Education and Training")+($AL487="Art, Design")+($AL487="Entertainment and Mass Media")+($AL487="Community and Social Service")+($AL487="Personal Care and Services")+($AL487="Government and Public Administration")+($AL487="Defence/ Protective Service")+($AL487="Sports"))&gt;0,"Arts / Humanities",""))))</f>
        <v/>
      </c>
      <c r="BD487" s="5" t="str">
        <f aca="false">IF($B487="","",--(F487&gt;=10)+--(G487&gt;=10)+--(H487&gt;=10)+--(I487&gt;=10)+--(J487&gt;=10)+--(K487&gt;=10)+--(L487&gt;=10)+--(M487&gt;=10)+--(N487&gt;=10)+--(O487&gt;=10))</f>
        <v/>
      </c>
      <c r="BE487" s="5" t="str">
        <f aca="false">IF($B487="","",--(AND(F487&lt;&gt;"",F487&lt;=8))+--(AND(G487&lt;&gt;"",G487&lt;=8))+--(AND(H487&lt;&gt;"",H487&lt;=8))+--(AND(I487&lt;&gt;"",I487&lt;=8))+--(AND(J487&lt;&gt;"",J487&lt;=8))+--(AND(K487&lt;&gt;"",K487&lt;=8))+--(AND(L487&lt;&gt;"",L487&lt;=8))+--(AND(M487&lt;&gt;"",M487&lt;=8))+--(AND(N487&lt;&gt;"",N487&lt;=8))+--(AND(O487&lt;&gt;"",O487&lt;=8)))</f>
        <v/>
      </c>
    </row>
    <row r="488" customFormat="false" ht="15" hidden="false" customHeight="false" outlineLevel="0" collapsed="false">
      <c r="AZ488" s="5" t="str">
        <f aca="false">IF($B488="","",SUMPRODUCT(($AL488:$AO488&lt;&gt;"")*(COUNTIF($AP488:$AX488,$AL488:$AO488)&gt;0)))</f>
        <v/>
      </c>
      <c r="BA488" s="5" t="str">
        <f aca="false">IF($B488="","",IF(AZ488&gt;0,1,0))</f>
        <v/>
      </c>
      <c r="BB488" s="5" t="str">
        <f aca="false">IF($AP488="","",IF((($AP488="Engineering and Technology")+($AP488="Science and Mathematics")+($AP488="Computer Science, IT and Allied Fields")+($AP488="Life Sciences /Medicine and Healthcare")+($AP488="Paramedical")+($AP488="Architecture")+($AP488="Environmental Service")+($AP488="Agriculture, Food Industry and Forestry"))&gt;0,"Science",IF((($AP488="Banking and Finance")+($AP488="Management and Administration")+($AP488="Marketing")+($AP488="Sales")+($AP488="Entrepreneurship")+($AP488="Hospitality and Tourism"))&gt;0,"Commerce",IF((($AP488="Social Sciences and Humanities")+($AP488="Law Studies")+($AP488="Education and Training")+($AP488="Art, Design")+($AP488="Entertainment and Mass Media")+($AP488="Community and Social Service")+($AP488="Personal Care and Services")+($AP488="Government and Public Administration")+($AP488="Defence/ Protective Service")+($AP488="Sports"))&gt;0,"Arts / Humanities",""))))</f>
        <v/>
      </c>
      <c r="BC488" s="5" t="str">
        <f aca="false">IF($AL488="","",IF((($AL488="Engineering and Technology")+($AL488="Science and Mathematics")+($AL488="Computer Science, IT and Allied Fields")+($AL488="Life Sciences /Medicine and Healthcare")+($AL488="Paramedical")+($AL488="Architecture")+($AL488="Environmental Service")+($AL488="Agriculture, Food Industry and Forestry"))&gt;0,"Science",IF((($AL488="Banking and Finance")+($AL488="Management and Administration")+($AL488="Marketing")+($AL488="Sales")+($AL488="Entrepreneurship")+($AL488="Hospitality and Tourism"))&gt;0,"Commerce",IF((($AL488="Social Sciences and Humanities")+($AL488="Law Studies")+($AL488="Education and Training")+($AL488="Art, Design")+($AL488="Entertainment and Mass Media")+($AL488="Community and Social Service")+($AL488="Personal Care and Services")+($AL488="Government and Public Administration")+($AL488="Defence/ Protective Service")+($AL488="Sports"))&gt;0,"Arts / Humanities",""))))</f>
        <v/>
      </c>
      <c r="BD488" s="5" t="str">
        <f aca="false">IF($B488="","",--(F488&gt;=10)+--(G488&gt;=10)+--(H488&gt;=10)+--(I488&gt;=10)+--(J488&gt;=10)+--(K488&gt;=10)+--(L488&gt;=10)+--(M488&gt;=10)+--(N488&gt;=10)+--(O488&gt;=10))</f>
        <v/>
      </c>
      <c r="BE488" s="5" t="str">
        <f aca="false">IF($B488="","",--(AND(F488&lt;&gt;"",F488&lt;=8))+--(AND(G488&lt;&gt;"",G488&lt;=8))+--(AND(H488&lt;&gt;"",H488&lt;=8))+--(AND(I488&lt;&gt;"",I488&lt;=8))+--(AND(J488&lt;&gt;"",J488&lt;=8))+--(AND(K488&lt;&gt;"",K488&lt;=8))+--(AND(L488&lt;&gt;"",L488&lt;=8))+--(AND(M488&lt;&gt;"",M488&lt;=8))+--(AND(N488&lt;&gt;"",N488&lt;=8))+--(AND(O488&lt;&gt;"",O488&lt;=8)))</f>
        <v/>
      </c>
    </row>
    <row r="489" customFormat="false" ht="15" hidden="false" customHeight="false" outlineLevel="0" collapsed="false">
      <c r="AZ489" s="5" t="str">
        <f aca="false">IF($B489="","",SUMPRODUCT(($AL489:$AO489&lt;&gt;"")*(COUNTIF($AP489:$AX489,$AL489:$AO489)&gt;0)))</f>
        <v/>
      </c>
      <c r="BA489" s="5" t="str">
        <f aca="false">IF($B489="","",IF(AZ489&gt;0,1,0))</f>
        <v/>
      </c>
      <c r="BB489" s="5" t="str">
        <f aca="false">IF($AP489="","",IF((($AP489="Engineering and Technology")+($AP489="Science and Mathematics")+($AP489="Computer Science, IT and Allied Fields")+($AP489="Life Sciences /Medicine and Healthcare")+($AP489="Paramedical")+($AP489="Architecture")+($AP489="Environmental Service")+($AP489="Agriculture, Food Industry and Forestry"))&gt;0,"Science",IF((($AP489="Banking and Finance")+($AP489="Management and Administration")+($AP489="Marketing")+($AP489="Sales")+($AP489="Entrepreneurship")+($AP489="Hospitality and Tourism"))&gt;0,"Commerce",IF((($AP489="Social Sciences and Humanities")+($AP489="Law Studies")+($AP489="Education and Training")+($AP489="Art, Design")+($AP489="Entertainment and Mass Media")+($AP489="Community and Social Service")+($AP489="Personal Care and Services")+($AP489="Government and Public Administration")+($AP489="Defence/ Protective Service")+($AP489="Sports"))&gt;0,"Arts / Humanities",""))))</f>
        <v/>
      </c>
      <c r="BC489" s="5" t="str">
        <f aca="false">IF($AL489="","",IF((($AL489="Engineering and Technology")+($AL489="Science and Mathematics")+($AL489="Computer Science, IT and Allied Fields")+($AL489="Life Sciences /Medicine and Healthcare")+($AL489="Paramedical")+($AL489="Architecture")+($AL489="Environmental Service")+($AL489="Agriculture, Food Industry and Forestry"))&gt;0,"Science",IF((($AL489="Banking and Finance")+($AL489="Management and Administration")+($AL489="Marketing")+($AL489="Sales")+($AL489="Entrepreneurship")+($AL489="Hospitality and Tourism"))&gt;0,"Commerce",IF((($AL489="Social Sciences and Humanities")+($AL489="Law Studies")+($AL489="Education and Training")+($AL489="Art, Design")+($AL489="Entertainment and Mass Media")+($AL489="Community and Social Service")+($AL489="Personal Care and Services")+($AL489="Government and Public Administration")+($AL489="Defence/ Protective Service")+($AL489="Sports"))&gt;0,"Arts / Humanities",""))))</f>
        <v/>
      </c>
      <c r="BD489" s="5" t="str">
        <f aca="false">IF($B489="","",--(F489&gt;=10)+--(G489&gt;=10)+--(H489&gt;=10)+--(I489&gt;=10)+--(J489&gt;=10)+--(K489&gt;=10)+--(L489&gt;=10)+--(M489&gt;=10)+--(N489&gt;=10)+--(O489&gt;=10))</f>
        <v/>
      </c>
      <c r="BE489" s="5" t="str">
        <f aca="false">IF($B489="","",--(AND(F489&lt;&gt;"",F489&lt;=8))+--(AND(G489&lt;&gt;"",G489&lt;=8))+--(AND(H489&lt;&gt;"",H489&lt;=8))+--(AND(I489&lt;&gt;"",I489&lt;=8))+--(AND(J489&lt;&gt;"",J489&lt;=8))+--(AND(K489&lt;&gt;"",K489&lt;=8))+--(AND(L489&lt;&gt;"",L489&lt;=8))+--(AND(M489&lt;&gt;"",M489&lt;=8))+--(AND(N489&lt;&gt;"",N489&lt;=8))+--(AND(O489&lt;&gt;"",O489&lt;=8)))</f>
        <v/>
      </c>
    </row>
    <row r="490" customFormat="false" ht="15" hidden="false" customHeight="false" outlineLevel="0" collapsed="false">
      <c r="AZ490" s="5" t="str">
        <f aca="false">IF($B490="","",SUMPRODUCT(($AL490:$AO490&lt;&gt;"")*(COUNTIF($AP490:$AX490,$AL490:$AO490)&gt;0)))</f>
        <v/>
      </c>
      <c r="BA490" s="5" t="str">
        <f aca="false">IF($B490="","",IF(AZ490&gt;0,1,0))</f>
        <v/>
      </c>
      <c r="BB490" s="5" t="str">
        <f aca="false">IF($AP490="","",IF((($AP490="Engineering and Technology")+($AP490="Science and Mathematics")+($AP490="Computer Science, IT and Allied Fields")+($AP490="Life Sciences /Medicine and Healthcare")+($AP490="Paramedical")+($AP490="Architecture")+($AP490="Environmental Service")+($AP490="Agriculture, Food Industry and Forestry"))&gt;0,"Science",IF((($AP490="Banking and Finance")+($AP490="Management and Administration")+($AP490="Marketing")+($AP490="Sales")+($AP490="Entrepreneurship")+($AP490="Hospitality and Tourism"))&gt;0,"Commerce",IF((($AP490="Social Sciences and Humanities")+($AP490="Law Studies")+($AP490="Education and Training")+($AP490="Art, Design")+($AP490="Entertainment and Mass Media")+($AP490="Community and Social Service")+($AP490="Personal Care and Services")+($AP490="Government and Public Administration")+($AP490="Defence/ Protective Service")+($AP490="Sports"))&gt;0,"Arts / Humanities",""))))</f>
        <v/>
      </c>
      <c r="BC490" s="5" t="str">
        <f aca="false">IF($AL490="","",IF((($AL490="Engineering and Technology")+($AL490="Science and Mathematics")+($AL490="Computer Science, IT and Allied Fields")+($AL490="Life Sciences /Medicine and Healthcare")+($AL490="Paramedical")+($AL490="Architecture")+($AL490="Environmental Service")+($AL490="Agriculture, Food Industry and Forestry"))&gt;0,"Science",IF((($AL490="Banking and Finance")+($AL490="Management and Administration")+($AL490="Marketing")+($AL490="Sales")+($AL490="Entrepreneurship")+($AL490="Hospitality and Tourism"))&gt;0,"Commerce",IF((($AL490="Social Sciences and Humanities")+($AL490="Law Studies")+($AL490="Education and Training")+($AL490="Art, Design")+($AL490="Entertainment and Mass Media")+($AL490="Community and Social Service")+($AL490="Personal Care and Services")+($AL490="Government and Public Administration")+($AL490="Defence/ Protective Service")+($AL490="Sports"))&gt;0,"Arts / Humanities",""))))</f>
        <v/>
      </c>
      <c r="BD490" s="5" t="str">
        <f aca="false">IF($B490="","",--(F490&gt;=10)+--(G490&gt;=10)+--(H490&gt;=10)+--(I490&gt;=10)+--(J490&gt;=10)+--(K490&gt;=10)+--(L490&gt;=10)+--(M490&gt;=10)+--(N490&gt;=10)+--(O490&gt;=10))</f>
        <v/>
      </c>
      <c r="BE490" s="5" t="str">
        <f aca="false">IF($B490="","",--(AND(F490&lt;&gt;"",F490&lt;=8))+--(AND(G490&lt;&gt;"",G490&lt;=8))+--(AND(H490&lt;&gt;"",H490&lt;=8))+--(AND(I490&lt;&gt;"",I490&lt;=8))+--(AND(J490&lt;&gt;"",J490&lt;=8))+--(AND(K490&lt;&gt;"",K490&lt;=8))+--(AND(L490&lt;&gt;"",L490&lt;=8))+--(AND(M490&lt;&gt;"",M490&lt;=8))+--(AND(N490&lt;&gt;"",N490&lt;=8))+--(AND(O490&lt;&gt;"",O490&lt;=8)))</f>
        <v/>
      </c>
    </row>
    <row r="491" customFormat="false" ht="15" hidden="false" customHeight="false" outlineLevel="0" collapsed="false">
      <c r="AZ491" s="5" t="str">
        <f aca="false">IF($B491="","",SUMPRODUCT(($AL491:$AO491&lt;&gt;"")*(COUNTIF($AP491:$AX491,$AL491:$AO491)&gt;0)))</f>
        <v/>
      </c>
      <c r="BA491" s="5" t="str">
        <f aca="false">IF($B491="","",IF(AZ491&gt;0,1,0))</f>
        <v/>
      </c>
      <c r="BB491" s="5" t="str">
        <f aca="false">IF($AP491="","",IF((($AP491="Engineering and Technology")+($AP491="Science and Mathematics")+($AP491="Computer Science, IT and Allied Fields")+($AP491="Life Sciences /Medicine and Healthcare")+($AP491="Paramedical")+($AP491="Architecture")+($AP491="Environmental Service")+($AP491="Agriculture, Food Industry and Forestry"))&gt;0,"Science",IF((($AP491="Banking and Finance")+($AP491="Management and Administration")+($AP491="Marketing")+($AP491="Sales")+($AP491="Entrepreneurship")+($AP491="Hospitality and Tourism"))&gt;0,"Commerce",IF((($AP491="Social Sciences and Humanities")+($AP491="Law Studies")+($AP491="Education and Training")+($AP491="Art, Design")+($AP491="Entertainment and Mass Media")+($AP491="Community and Social Service")+($AP491="Personal Care and Services")+($AP491="Government and Public Administration")+($AP491="Defence/ Protective Service")+($AP491="Sports"))&gt;0,"Arts / Humanities",""))))</f>
        <v/>
      </c>
      <c r="BC491" s="5" t="str">
        <f aca="false">IF($AL491="","",IF((($AL491="Engineering and Technology")+($AL491="Science and Mathematics")+($AL491="Computer Science, IT and Allied Fields")+($AL491="Life Sciences /Medicine and Healthcare")+($AL491="Paramedical")+($AL491="Architecture")+($AL491="Environmental Service")+($AL491="Agriculture, Food Industry and Forestry"))&gt;0,"Science",IF((($AL491="Banking and Finance")+($AL491="Management and Administration")+($AL491="Marketing")+($AL491="Sales")+($AL491="Entrepreneurship")+($AL491="Hospitality and Tourism"))&gt;0,"Commerce",IF((($AL491="Social Sciences and Humanities")+($AL491="Law Studies")+($AL491="Education and Training")+($AL491="Art, Design")+($AL491="Entertainment and Mass Media")+($AL491="Community and Social Service")+($AL491="Personal Care and Services")+($AL491="Government and Public Administration")+($AL491="Defence/ Protective Service")+($AL491="Sports"))&gt;0,"Arts / Humanities",""))))</f>
        <v/>
      </c>
      <c r="BD491" s="5" t="str">
        <f aca="false">IF($B491="","",--(F491&gt;=10)+--(G491&gt;=10)+--(H491&gt;=10)+--(I491&gt;=10)+--(J491&gt;=10)+--(K491&gt;=10)+--(L491&gt;=10)+--(M491&gt;=10)+--(N491&gt;=10)+--(O491&gt;=10))</f>
        <v/>
      </c>
      <c r="BE491" s="5" t="str">
        <f aca="false">IF($B491="","",--(AND(F491&lt;&gt;"",F491&lt;=8))+--(AND(G491&lt;&gt;"",G491&lt;=8))+--(AND(H491&lt;&gt;"",H491&lt;=8))+--(AND(I491&lt;&gt;"",I491&lt;=8))+--(AND(J491&lt;&gt;"",J491&lt;=8))+--(AND(K491&lt;&gt;"",K491&lt;=8))+--(AND(L491&lt;&gt;"",L491&lt;=8))+--(AND(M491&lt;&gt;"",M491&lt;=8))+--(AND(N491&lt;&gt;"",N491&lt;=8))+--(AND(O491&lt;&gt;"",O491&lt;=8)))</f>
        <v/>
      </c>
    </row>
    <row r="492" customFormat="false" ht="15" hidden="false" customHeight="false" outlineLevel="0" collapsed="false">
      <c r="AZ492" s="5" t="str">
        <f aca="false">IF($B492="","",SUMPRODUCT(($AL492:$AO492&lt;&gt;"")*(COUNTIF($AP492:$AX492,$AL492:$AO492)&gt;0)))</f>
        <v/>
      </c>
      <c r="BA492" s="5" t="str">
        <f aca="false">IF($B492="","",IF(AZ492&gt;0,1,0))</f>
        <v/>
      </c>
      <c r="BB492" s="5" t="str">
        <f aca="false">IF($AP492="","",IF((($AP492="Engineering and Technology")+($AP492="Science and Mathematics")+($AP492="Computer Science, IT and Allied Fields")+($AP492="Life Sciences /Medicine and Healthcare")+($AP492="Paramedical")+($AP492="Architecture")+($AP492="Environmental Service")+($AP492="Agriculture, Food Industry and Forestry"))&gt;0,"Science",IF((($AP492="Banking and Finance")+($AP492="Management and Administration")+($AP492="Marketing")+($AP492="Sales")+($AP492="Entrepreneurship")+($AP492="Hospitality and Tourism"))&gt;0,"Commerce",IF((($AP492="Social Sciences and Humanities")+($AP492="Law Studies")+($AP492="Education and Training")+($AP492="Art, Design")+($AP492="Entertainment and Mass Media")+($AP492="Community and Social Service")+($AP492="Personal Care and Services")+($AP492="Government and Public Administration")+($AP492="Defence/ Protective Service")+($AP492="Sports"))&gt;0,"Arts / Humanities",""))))</f>
        <v/>
      </c>
      <c r="BC492" s="5" t="str">
        <f aca="false">IF($AL492="","",IF((($AL492="Engineering and Technology")+($AL492="Science and Mathematics")+($AL492="Computer Science, IT and Allied Fields")+($AL492="Life Sciences /Medicine and Healthcare")+($AL492="Paramedical")+($AL492="Architecture")+($AL492="Environmental Service")+($AL492="Agriculture, Food Industry and Forestry"))&gt;0,"Science",IF((($AL492="Banking and Finance")+($AL492="Management and Administration")+($AL492="Marketing")+($AL492="Sales")+($AL492="Entrepreneurship")+($AL492="Hospitality and Tourism"))&gt;0,"Commerce",IF((($AL492="Social Sciences and Humanities")+($AL492="Law Studies")+($AL492="Education and Training")+($AL492="Art, Design")+($AL492="Entertainment and Mass Media")+($AL492="Community and Social Service")+($AL492="Personal Care and Services")+($AL492="Government and Public Administration")+($AL492="Defence/ Protective Service")+($AL492="Sports"))&gt;0,"Arts / Humanities",""))))</f>
        <v/>
      </c>
      <c r="BD492" s="5" t="str">
        <f aca="false">IF($B492="","",--(F492&gt;=10)+--(G492&gt;=10)+--(H492&gt;=10)+--(I492&gt;=10)+--(J492&gt;=10)+--(K492&gt;=10)+--(L492&gt;=10)+--(M492&gt;=10)+--(N492&gt;=10)+--(O492&gt;=10))</f>
        <v/>
      </c>
      <c r="BE492" s="5" t="str">
        <f aca="false">IF($B492="","",--(AND(F492&lt;&gt;"",F492&lt;=8))+--(AND(G492&lt;&gt;"",G492&lt;=8))+--(AND(H492&lt;&gt;"",H492&lt;=8))+--(AND(I492&lt;&gt;"",I492&lt;=8))+--(AND(J492&lt;&gt;"",J492&lt;=8))+--(AND(K492&lt;&gt;"",K492&lt;=8))+--(AND(L492&lt;&gt;"",L492&lt;=8))+--(AND(M492&lt;&gt;"",M492&lt;=8))+--(AND(N492&lt;&gt;"",N492&lt;=8))+--(AND(O492&lt;&gt;"",O492&lt;=8)))</f>
        <v/>
      </c>
    </row>
    <row r="493" customFormat="false" ht="15" hidden="false" customHeight="false" outlineLevel="0" collapsed="false">
      <c r="AZ493" s="5" t="str">
        <f aca="false">IF($B493="","",SUMPRODUCT(($AL493:$AO493&lt;&gt;"")*(COUNTIF($AP493:$AX493,$AL493:$AO493)&gt;0)))</f>
        <v/>
      </c>
      <c r="BA493" s="5" t="str">
        <f aca="false">IF($B493="","",IF(AZ493&gt;0,1,0))</f>
        <v/>
      </c>
      <c r="BB493" s="5" t="str">
        <f aca="false">IF($AP493="","",IF((($AP493="Engineering and Technology")+($AP493="Science and Mathematics")+($AP493="Computer Science, IT and Allied Fields")+($AP493="Life Sciences /Medicine and Healthcare")+($AP493="Paramedical")+($AP493="Architecture")+($AP493="Environmental Service")+($AP493="Agriculture, Food Industry and Forestry"))&gt;0,"Science",IF((($AP493="Banking and Finance")+($AP493="Management and Administration")+($AP493="Marketing")+($AP493="Sales")+($AP493="Entrepreneurship")+($AP493="Hospitality and Tourism"))&gt;0,"Commerce",IF((($AP493="Social Sciences and Humanities")+($AP493="Law Studies")+($AP493="Education and Training")+($AP493="Art, Design")+($AP493="Entertainment and Mass Media")+($AP493="Community and Social Service")+($AP493="Personal Care and Services")+($AP493="Government and Public Administration")+($AP493="Defence/ Protective Service")+($AP493="Sports"))&gt;0,"Arts / Humanities",""))))</f>
        <v/>
      </c>
      <c r="BC493" s="5" t="str">
        <f aca="false">IF($AL493="","",IF((($AL493="Engineering and Technology")+($AL493="Science and Mathematics")+($AL493="Computer Science, IT and Allied Fields")+($AL493="Life Sciences /Medicine and Healthcare")+($AL493="Paramedical")+($AL493="Architecture")+($AL493="Environmental Service")+($AL493="Agriculture, Food Industry and Forestry"))&gt;0,"Science",IF((($AL493="Banking and Finance")+($AL493="Management and Administration")+($AL493="Marketing")+($AL493="Sales")+($AL493="Entrepreneurship")+($AL493="Hospitality and Tourism"))&gt;0,"Commerce",IF((($AL493="Social Sciences and Humanities")+($AL493="Law Studies")+($AL493="Education and Training")+($AL493="Art, Design")+($AL493="Entertainment and Mass Media")+($AL493="Community and Social Service")+($AL493="Personal Care and Services")+($AL493="Government and Public Administration")+($AL493="Defence/ Protective Service")+($AL493="Sports"))&gt;0,"Arts / Humanities",""))))</f>
        <v/>
      </c>
      <c r="BD493" s="5" t="str">
        <f aca="false">IF($B493="","",--(F493&gt;=10)+--(G493&gt;=10)+--(H493&gt;=10)+--(I493&gt;=10)+--(J493&gt;=10)+--(K493&gt;=10)+--(L493&gt;=10)+--(M493&gt;=10)+--(N493&gt;=10)+--(O493&gt;=10))</f>
        <v/>
      </c>
      <c r="BE493" s="5" t="str">
        <f aca="false">IF($B493="","",--(AND(F493&lt;&gt;"",F493&lt;=8))+--(AND(G493&lt;&gt;"",G493&lt;=8))+--(AND(H493&lt;&gt;"",H493&lt;=8))+--(AND(I493&lt;&gt;"",I493&lt;=8))+--(AND(J493&lt;&gt;"",J493&lt;=8))+--(AND(K493&lt;&gt;"",K493&lt;=8))+--(AND(L493&lt;&gt;"",L493&lt;=8))+--(AND(M493&lt;&gt;"",M493&lt;=8))+--(AND(N493&lt;&gt;"",N493&lt;=8))+--(AND(O493&lt;&gt;"",O493&lt;=8)))</f>
        <v/>
      </c>
    </row>
    <row r="494" customFormat="false" ht="15" hidden="false" customHeight="false" outlineLevel="0" collapsed="false">
      <c r="AZ494" s="5" t="str">
        <f aca="false">IF($B494="","",SUMPRODUCT(($AL494:$AO494&lt;&gt;"")*(COUNTIF($AP494:$AX494,$AL494:$AO494)&gt;0)))</f>
        <v/>
      </c>
      <c r="BA494" s="5" t="str">
        <f aca="false">IF($B494="","",IF(AZ494&gt;0,1,0))</f>
        <v/>
      </c>
      <c r="BB494" s="5" t="str">
        <f aca="false">IF($AP494="","",IF((($AP494="Engineering and Technology")+($AP494="Science and Mathematics")+($AP494="Computer Science, IT and Allied Fields")+($AP494="Life Sciences /Medicine and Healthcare")+($AP494="Paramedical")+($AP494="Architecture")+($AP494="Environmental Service")+($AP494="Agriculture, Food Industry and Forestry"))&gt;0,"Science",IF((($AP494="Banking and Finance")+($AP494="Management and Administration")+($AP494="Marketing")+($AP494="Sales")+($AP494="Entrepreneurship")+($AP494="Hospitality and Tourism"))&gt;0,"Commerce",IF((($AP494="Social Sciences and Humanities")+($AP494="Law Studies")+($AP494="Education and Training")+($AP494="Art, Design")+($AP494="Entertainment and Mass Media")+($AP494="Community and Social Service")+($AP494="Personal Care and Services")+($AP494="Government and Public Administration")+($AP494="Defence/ Protective Service")+($AP494="Sports"))&gt;0,"Arts / Humanities",""))))</f>
        <v/>
      </c>
      <c r="BC494" s="5" t="str">
        <f aca="false">IF($AL494="","",IF((($AL494="Engineering and Technology")+($AL494="Science and Mathematics")+($AL494="Computer Science, IT and Allied Fields")+($AL494="Life Sciences /Medicine and Healthcare")+($AL494="Paramedical")+($AL494="Architecture")+($AL494="Environmental Service")+($AL494="Agriculture, Food Industry and Forestry"))&gt;0,"Science",IF((($AL494="Banking and Finance")+($AL494="Management and Administration")+($AL494="Marketing")+($AL494="Sales")+($AL494="Entrepreneurship")+($AL494="Hospitality and Tourism"))&gt;0,"Commerce",IF((($AL494="Social Sciences and Humanities")+($AL494="Law Studies")+($AL494="Education and Training")+($AL494="Art, Design")+($AL494="Entertainment and Mass Media")+($AL494="Community and Social Service")+($AL494="Personal Care and Services")+($AL494="Government and Public Administration")+($AL494="Defence/ Protective Service")+($AL494="Sports"))&gt;0,"Arts / Humanities",""))))</f>
        <v/>
      </c>
      <c r="BD494" s="5" t="str">
        <f aca="false">IF($B494="","",--(F494&gt;=10)+--(G494&gt;=10)+--(H494&gt;=10)+--(I494&gt;=10)+--(J494&gt;=10)+--(K494&gt;=10)+--(L494&gt;=10)+--(M494&gt;=10)+--(N494&gt;=10)+--(O494&gt;=10))</f>
        <v/>
      </c>
      <c r="BE494" s="5" t="str">
        <f aca="false">IF($B494="","",--(AND(F494&lt;&gt;"",F494&lt;=8))+--(AND(G494&lt;&gt;"",G494&lt;=8))+--(AND(H494&lt;&gt;"",H494&lt;=8))+--(AND(I494&lt;&gt;"",I494&lt;=8))+--(AND(J494&lt;&gt;"",J494&lt;=8))+--(AND(K494&lt;&gt;"",K494&lt;=8))+--(AND(L494&lt;&gt;"",L494&lt;=8))+--(AND(M494&lt;&gt;"",M494&lt;=8))+--(AND(N494&lt;&gt;"",N494&lt;=8))+--(AND(O494&lt;&gt;"",O494&lt;=8)))</f>
        <v/>
      </c>
    </row>
    <row r="495" customFormat="false" ht="15" hidden="false" customHeight="false" outlineLevel="0" collapsed="false">
      <c r="AZ495" s="5" t="str">
        <f aca="false">IF($B495="","",SUMPRODUCT(($AL495:$AO495&lt;&gt;"")*(COUNTIF($AP495:$AX495,$AL495:$AO495)&gt;0)))</f>
        <v/>
      </c>
      <c r="BA495" s="5" t="str">
        <f aca="false">IF($B495="","",IF(AZ495&gt;0,1,0))</f>
        <v/>
      </c>
      <c r="BB495" s="5" t="str">
        <f aca="false">IF($AP495="","",IF((($AP495="Engineering and Technology")+($AP495="Science and Mathematics")+($AP495="Computer Science, IT and Allied Fields")+($AP495="Life Sciences /Medicine and Healthcare")+($AP495="Paramedical")+($AP495="Architecture")+($AP495="Environmental Service")+($AP495="Agriculture, Food Industry and Forestry"))&gt;0,"Science",IF((($AP495="Banking and Finance")+($AP495="Management and Administration")+($AP495="Marketing")+($AP495="Sales")+($AP495="Entrepreneurship")+($AP495="Hospitality and Tourism"))&gt;0,"Commerce",IF((($AP495="Social Sciences and Humanities")+($AP495="Law Studies")+($AP495="Education and Training")+($AP495="Art, Design")+($AP495="Entertainment and Mass Media")+($AP495="Community and Social Service")+($AP495="Personal Care and Services")+($AP495="Government and Public Administration")+($AP495="Defence/ Protective Service")+($AP495="Sports"))&gt;0,"Arts / Humanities",""))))</f>
        <v/>
      </c>
      <c r="BC495" s="5" t="str">
        <f aca="false">IF($AL495="","",IF((($AL495="Engineering and Technology")+($AL495="Science and Mathematics")+($AL495="Computer Science, IT and Allied Fields")+($AL495="Life Sciences /Medicine and Healthcare")+($AL495="Paramedical")+($AL495="Architecture")+($AL495="Environmental Service")+($AL495="Agriculture, Food Industry and Forestry"))&gt;0,"Science",IF((($AL495="Banking and Finance")+($AL495="Management and Administration")+($AL495="Marketing")+($AL495="Sales")+($AL495="Entrepreneurship")+($AL495="Hospitality and Tourism"))&gt;0,"Commerce",IF((($AL495="Social Sciences and Humanities")+($AL495="Law Studies")+($AL495="Education and Training")+($AL495="Art, Design")+($AL495="Entertainment and Mass Media")+($AL495="Community and Social Service")+($AL495="Personal Care and Services")+($AL495="Government and Public Administration")+($AL495="Defence/ Protective Service")+($AL495="Sports"))&gt;0,"Arts / Humanities",""))))</f>
        <v/>
      </c>
      <c r="BD495" s="5" t="str">
        <f aca="false">IF($B495="","",--(F495&gt;=10)+--(G495&gt;=10)+--(H495&gt;=10)+--(I495&gt;=10)+--(J495&gt;=10)+--(K495&gt;=10)+--(L495&gt;=10)+--(M495&gt;=10)+--(N495&gt;=10)+--(O495&gt;=10))</f>
        <v/>
      </c>
      <c r="BE495" s="5" t="str">
        <f aca="false">IF($B495="","",--(AND(F495&lt;&gt;"",F495&lt;=8))+--(AND(G495&lt;&gt;"",G495&lt;=8))+--(AND(H495&lt;&gt;"",H495&lt;=8))+--(AND(I495&lt;&gt;"",I495&lt;=8))+--(AND(J495&lt;&gt;"",J495&lt;=8))+--(AND(K495&lt;&gt;"",K495&lt;=8))+--(AND(L495&lt;&gt;"",L495&lt;=8))+--(AND(M495&lt;&gt;"",M495&lt;=8))+--(AND(N495&lt;&gt;"",N495&lt;=8))+--(AND(O495&lt;&gt;"",O495&lt;=8)))</f>
        <v/>
      </c>
    </row>
    <row r="496" customFormat="false" ht="15" hidden="false" customHeight="false" outlineLevel="0" collapsed="false">
      <c r="AZ496" s="5" t="str">
        <f aca="false">IF($B496="","",SUMPRODUCT(($AL496:$AO496&lt;&gt;"")*(COUNTIF($AP496:$AX496,$AL496:$AO496)&gt;0)))</f>
        <v/>
      </c>
      <c r="BA496" s="5" t="str">
        <f aca="false">IF($B496="","",IF(AZ496&gt;0,1,0))</f>
        <v/>
      </c>
      <c r="BB496" s="5" t="str">
        <f aca="false">IF($AP496="","",IF((($AP496="Engineering and Technology")+($AP496="Science and Mathematics")+($AP496="Computer Science, IT and Allied Fields")+($AP496="Life Sciences /Medicine and Healthcare")+($AP496="Paramedical")+($AP496="Architecture")+($AP496="Environmental Service")+($AP496="Agriculture, Food Industry and Forestry"))&gt;0,"Science",IF((($AP496="Banking and Finance")+($AP496="Management and Administration")+($AP496="Marketing")+($AP496="Sales")+($AP496="Entrepreneurship")+($AP496="Hospitality and Tourism"))&gt;0,"Commerce",IF((($AP496="Social Sciences and Humanities")+($AP496="Law Studies")+($AP496="Education and Training")+($AP496="Art, Design")+($AP496="Entertainment and Mass Media")+($AP496="Community and Social Service")+($AP496="Personal Care and Services")+($AP496="Government and Public Administration")+($AP496="Defence/ Protective Service")+($AP496="Sports"))&gt;0,"Arts / Humanities",""))))</f>
        <v/>
      </c>
      <c r="BC496" s="5" t="str">
        <f aca="false">IF($AL496="","",IF((($AL496="Engineering and Technology")+($AL496="Science and Mathematics")+($AL496="Computer Science, IT and Allied Fields")+($AL496="Life Sciences /Medicine and Healthcare")+($AL496="Paramedical")+($AL496="Architecture")+($AL496="Environmental Service")+($AL496="Agriculture, Food Industry and Forestry"))&gt;0,"Science",IF((($AL496="Banking and Finance")+($AL496="Management and Administration")+($AL496="Marketing")+($AL496="Sales")+($AL496="Entrepreneurship")+($AL496="Hospitality and Tourism"))&gt;0,"Commerce",IF((($AL496="Social Sciences and Humanities")+($AL496="Law Studies")+($AL496="Education and Training")+($AL496="Art, Design")+($AL496="Entertainment and Mass Media")+($AL496="Community and Social Service")+($AL496="Personal Care and Services")+($AL496="Government and Public Administration")+($AL496="Defence/ Protective Service")+($AL496="Sports"))&gt;0,"Arts / Humanities",""))))</f>
        <v/>
      </c>
      <c r="BD496" s="5" t="str">
        <f aca="false">IF($B496="","",--(F496&gt;=10)+--(G496&gt;=10)+--(H496&gt;=10)+--(I496&gt;=10)+--(J496&gt;=10)+--(K496&gt;=10)+--(L496&gt;=10)+--(M496&gt;=10)+--(N496&gt;=10)+--(O496&gt;=10))</f>
        <v/>
      </c>
      <c r="BE496" s="5" t="str">
        <f aca="false">IF($B496="","",--(AND(F496&lt;&gt;"",F496&lt;=8))+--(AND(G496&lt;&gt;"",G496&lt;=8))+--(AND(H496&lt;&gt;"",H496&lt;=8))+--(AND(I496&lt;&gt;"",I496&lt;=8))+--(AND(J496&lt;&gt;"",J496&lt;=8))+--(AND(K496&lt;&gt;"",K496&lt;=8))+--(AND(L496&lt;&gt;"",L496&lt;=8))+--(AND(M496&lt;&gt;"",M496&lt;=8))+--(AND(N496&lt;&gt;"",N496&lt;=8))+--(AND(O496&lt;&gt;"",O496&lt;=8)))</f>
        <v/>
      </c>
    </row>
    <row r="497" customFormat="false" ht="15" hidden="false" customHeight="false" outlineLevel="0" collapsed="false">
      <c r="AZ497" s="5" t="str">
        <f aca="false">IF($B497="","",SUMPRODUCT(($AL497:$AO497&lt;&gt;"")*(COUNTIF($AP497:$AX497,$AL497:$AO497)&gt;0)))</f>
        <v/>
      </c>
      <c r="BA497" s="5" t="str">
        <f aca="false">IF($B497="","",IF(AZ497&gt;0,1,0))</f>
        <v/>
      </c>
      <c r="BB497" s="5" t="str">
        <f aca="false">IF($AP497="","",IF((($AP497="Engineering and Technology")+($AP497="Science and Mathematics")+($AP497="Computer Science, IT and Allied Fields")+($AP497="Life Sciences /Medicine and Healthcare")+($AP497="Paramedical")+($AP497="Architecture")+($AP497="Environmental Service")+($AP497="Agriculture, Food Industry and Forestry"))&gt;0,"Science",IF((($AP497="Banking and Finance")+($AP497="Management and Administration")+($AP497="Marketing")+($AP497="Sales")+($AP497="Entrepreneurship")+($AP497="Hospitality and Tourism"))&gt;0,"Commerce",IF((($AP497="Social Sciences and Humanities")+($AP497="Law Studies")+($AP497="Education and Training")+($AP497="Art, Design")+($AP497="Entertainment and Mass Media")+($AP497="Community and Social Service")+($AP497="Personal Care and Services")+($AP497="Government and Public Administration")+($AP497="Defence/ Protective Service")+($AP497="Sports"))&gt;0,"Arts / Humanities",""))))</f>
        <v/>
      </c>
      <c r="BC497" s="5" t="str">
        <f aca="false">IF($AL497="","",IF((($AL497="Engineering and Technology")+($AL497="Science and Mathematics")+($AL497="Computer Science, IT and Allied Fields")+($AL497="Life Sciences /Medicine and Healthcare")+($AL497="Paramedical")+($AL497="Architecture")+($AL497="Environmental Service")+($AL497="Agriculture, Food Industry and Forestry"))&gt;0,"Science",IF((($AL497="Banking and Finance")+($AL497="Management and Administration")+($AL497="Marketing")+($AL497="Sales")+($AL497="Entrepreneurship")+($AL497="Hospitality and Tourism"))&gt;0,"Commerce",IF((($AL497="Social Sciences and Humanities")+($AL497="Law Studies")+($AL497="Education and Training")+($AL497="Art, Design")+($AL497="Entertainment and Mass Media")+($AL497="Community and Social Service")+($AL497="Personal Care and Services")+($AL497="Government and Public Administration")+($AL497="Defence/ Protective Service")+($AL497="Sports"))&gt;0,"Arts / Humanities",""))))</f>
        <v/>
      </c>
      <c r="BD497" s="5" t="str">
        <f aca="false">IF($B497="","",--(F497&gt;=10)+--(G497&gt;=10)+--(H497&gt;=10)+--(I497&gt;=10)+--(J497&gt;=10)+--(K497&gt;=10)+--(L497&gt;=10)+--(M497&gt;=10)+--(N497&gt;=10)+--(O497&gt;=10))</f>
        <v/>
      </c>
      <c r="BE497" s="5" t="str">
        <f aca="false">IF($B497="","",--(AND(F497&lt;&gt;"",F497&lt;=8))+--(AND(G497&lt;&gt;"",G497&lt;=8))+--(AND(H497&lt;&gt;"",H497&lt;=8))+--(AND(I497&lt;&gt;"",I497&lt;=8))+--(AND(J497&lt;&gt;"",J497&lt;=8))+--(AND(K497&lt;&gt;"",K497&lt;=8))+--(AND(L497&lt;&gt;"",L497&lt;=8))+--(AND(M497&lt;&gt;"",M497&lt;=8))+--(AND(N497&lt;&gt;"",N497&lt;=8))+--(AND(O497&lt;&gt;"",O497&lt;=8)))</f>
        <v/>
      </c>
    </row>
    <row r="498" customFormat="false" ht="15" hidden="false" customHeight="false" outlineLevel="0" collapsed="false">
      <c r="AZ498" s="5" t="str">
        <f aca="false">IF($B498="","",SUMPRODUCT(($AL498:$AO498&lt;&gt;"")*(COUNTIF($AP498:$AX498,$AL498:$AO498)&gt;0)))</f>
        <v/>
      </c>
      <c r="BA498" s="5" t="str">
        <f aca="false">IF($B498="","",IF(AZ498&gt;0,1,0))</f>
        <v/>
      </c>
      <c r="BB498" s="5" t="str">
        <f aca="false">IF($AP498="","",IF((($AP498="Engineering and Technology")+($AP498="Science and Mathematics")+($AP498="Computer Science, IT and Allied Fields")+($AP498="Life Sciences /Medicine and Healthcare")+($AP498="Paramedical")+($AP498="Architecture")+($AP498="Environmental Service")+($AP498="Agriculture, Food Industry and Forestry"))&gt;0,"Science",IF((($AP498="Banking and Finance")+($AP498="Management and Administration")+($AP498="Marketing")+($AP498="Sales")+($AP498="Entrepreneurship")+($AP498="Hospitality and Tourism"))&gt;0,"Commerce",IF((($AP498="Social Sciences and Humanities")+($AP498="Law Studies")+($AP498="Education and Training")+($AP498="Art, Design")+($AP498="Entertainment and Mass Media")+($AP498="Community and Social Service")+($AP498="Personal Care and Services")+($AP498="Government and Public Administration")+($AP498="Defence/ Protective Service")+($AP498="Sports"))&gt;0,"Arts / Humanities",""))))</f>
        <v/>
      </c>
      <c r="BC498" s="5" t="str">
        <f aca="false">IF($AL498="","",IF((($AL498="Engineering and Technology")+($AL498="Science and Mathematics")+($AL498="Computer Science, IT and Allied Fields")+($AL498="Life Sciences /Medicine and Healthcare")+($AL498="Paramedical")+($AL498="Architecture")+($AL498="Environmental Service")+($AL498="Agriculture, Food Industry and Forestry"))&gt;0,"Science",IF((($AL498="Banking and Finance")+($AL498="Management and Administration")+($AL498="Marketing")+($AL498="Sales")+($AL498="Entrepreneurship")+($AL498="Hospitality and Tourism"))&gt;0,"Commerce",IF((($AL498="Social Sciences and Humanities")+($AL498="Law Studies")+($AL498="Education and Training")+($AL498="Art, Design")+($AL498="Entertainment and Mass Media")+($AL498="Community and Social Service")+($AL498="Personal Care and Services")+($AL498="Government and Public Administration")+($AL498="Defence/ Protective Service")+($AL498="Sports"))&gt;0,"Arts / Humanities",""))))</f>
        <v/>
      </c>
      <c r="BD498" s="5" t="str">
        <f aca="false">IF($B498="","",--(F498&gt;=10)+--(G498&gt;=10)+--(H498&gt;=10)+--(I498&gt;=10)+--(J498&gt;=10)+--(K498&gt;=10)+--(L498&gt;=10)+--(M498&gt;=10)+--(N498&gt;=10)+--(O498&gt;=10))</f>
        <v/>
      </c>
      <c r="BE498" s="5" t="str">
        <f aca="false">IF($B498="","",--(AND(F498&lt;&gt;"",F498&lt;=8))+--(AND(G498&lt;&gt;"",G498&lt;=8))+--(AND(H498&lt;&gt;"",H498&lt;=8))+--(AND(I498&lt;&gt;"",I498&lt;=8))+--(AND(J498&lt;&gt;"",J498&lt;=8))+--(AND(K498&lt;&gt;"",K498&lt;=8))+--(AND(L498&lt;&gt;"",L498&lt;=8))+--(AND(M498&lt;&gt;"",M498&lt;=8))+--(AND(N498&lt;&gt;"",N498&lt;=8))+--(AND(O498&lt;&gt;"",O498&lt;=8)))</f>
        <v/>
      </c>
    </row>
    <row r="499" customFormat="false" ht="15" hidden="false" customHeight="false" outlineLevel="0" collapsed="false">
      <c r="AZ499" s="5" t="str">
        <f aca="false">IF($B499="","",SUMPRODUCT(($AL499:$AO499&lt;&gt;"")*(COUNTIF($AP499:$AX499,$AL499:$AO499)&gt;0)))</f>
        <v/>
      </c>
      <c r="BA499" s="5" t="str">
        <f aca="false">IF($B499="","",IF(AZ499&gt;0,1,0))</f>
        <v/>
      </c>
      <c r="BB499" s="5" t="str">
        <f aca="false">IF($AP499="","",IF((($AP499="Engineering and Technology")+($AP499="Science and Mathematics")+($AP499="Computer Science, IT and Allied Fields")+($AP499="Life Sciences /Medicine and Healthcare")+($AP499="Paramedical")+($AP499="Architecture")+($AP499="Environmental Service")+($AP499="Agriculture, Food Industry and Forestry"))&gt;0,"Science",IF((($AP499="Banking and Finance")+($AP499="Management and Administration")+($AP499="Marketing")+($AP499="Sales")+($AP499="Entrepreneurship")+($AP499="Hospitality and Tourism"))&gt;0,"Commerce",IF((($AP499="Social Sciences and Humanities")+($AP499="Law Studies")+($AP499="Education and Training")+($AP499="Art, Design")+($AP499="Entertainment and Mass Media")+($AP499="Community and Social Service")+($AP499="Personal Care and Services")+($AP499="Government and Public Administration")+($AP499="Defence/ Protective Service")+($AP499="Sports"))&gt;0,"Arts / Humanities",""))))</f>
        <v/>
      </c>
      <c r="BC499" s="5" t="str">
        <f aca="false">IF($AL499="","",IF((($AL499="Engineering and Technology")+($AL499="Science and Mathematics")+($AL499="Computer Science, IT and Allied Fields")+($AL499="Life Sciences /Medicine and Healthcare")+($AL499="Paramedical")+($AL499="Architecture")+($AL499="Environmental Service")+($AL499="Agriculture, Food Industry and Forestry"))&gt;0,"Science",IF((($AL499="Banking and Finance")+($AL499="Management and Administration")+($AL499="Marketing")+($AL499="Sales")+($AL499="Entrepreneurship")+($AL499="Hospitality and Tourism"))&gt;0,"Commerce",IF((($AL499="Social Sciences and Humanities")+($AL499="Law Studies")+($AL499="Education and Training")+($AL499="Art, Design")+($AL499="Entertainment and Mass Media")+($AL499="Community and Social Service")+($AL499="Personal Care and Services")+($AL499="Government and Public Administration")+($AL499="Defence/ Protective Service")+($AL499="Sports"))&gt;0,"Arts / Humanities",""))))</f>
        <v/>
      </c>
      <c r="BD499" s="5" t="str">
        <f aca="false">IF($B499="","",--(F499&gt;=10)+--(G499&gt;=10)+--(H499&gt;=10)+--(I499&gt;=10)+--(J499&gt;=10)+--(K499&gt;=10)+--(L499&gt;=10)+--(M499&gt;=10)+--(N499&gt;=10)+--(O499&gt;=10))</f>
        <v/>
      </c>
      <c r="BE499" s="5" t="str">
        <f aca="false">IF($B499="","",--(AND(F499&lt;&gt;"",F499&lt;=8))+--(AND(G499&lt;&gt;"",G499&lt;=8))+--(AND(H499&lt;&gt;"",H499&lt;=8))+--(AND(I499&lt;&gt;"",I499&lt;=8))+--(AND(J499&lt;&gt;"",J499&lt;=8))+--(AND(K499&lt;&gt;"",K499&lt;=8))+--(AND(L499&lt;&gt;"",L499&lt;=8))+--(AND(M499&lt;&gt;"",M499&lt;=8))+--(AND(N499&lt;&gt;"",N499&lt;=8))+--(AND(O499&lt;&gt;"",O499&lt;=8)))</f>
        <v/>
      </c>
    </row>
    <row r="500" customFormat="false" ht="15" hidden="false" customHeight="false" outlineLevel="0" collapsed="false">
      <c r="AZ500" s="5" t="str">
        <f aca="false">IF($B500="","",SUMPRODUCT(($AL500:$AO500&lt;&gt;"")*(COUNTIF($AP500:$AX500,$AL500:$AO500)&gt;0)))</f>
        <v/>
      </c>
      <c r="BA500" s="5" t="str">
        <f aca="false">IF($B500="","",IF(AZ500&gt;0,1,0))</f>
        <v/>
      </c>
      <c r="BB500" s="5" t="str">
        <f aca="false">IF($AP500="","",IF((($AP500="Engineering and Technology")+($AP500="Science and Mathematics")+($AP500="Computer Science, IT and Allied Fields")+($AP500="Life Sciences /Medicine and Healthcare")+($AP500="Paramedical")+($AP500="Architecture")+($AP500="Environmental Service")+($AP500="Agriculture, Food Industry and Forestry"))&gt;0,"Science",IF((($AP500="Banking and Finance")+($AP500="Management and Administration")+($AP500="Marketing")+($AP500="Sales")+($AP500="Entrepreneurship")+($AP500="Hospitality and Tourism"))&gt;0,"Commerce",IF((($AP500="Social Sciences and Humanities")+($AP500="Law Studies")+($AP500="Education and Training")+($AP500="Art, Design")+($AP500="Entertainment and Mass Media")+($AP500="Community and Social Service")+($AP500="Personal Care and Services")+($AP500="Government and Public Administration")+($AP500="Defence/ Protective Service")+($AP500="Sports"))&gt;0,"Arts / Humanities",""))))</f>
        <v/>
      </c>
      <c r="BC500" s="5" t="str">
        <f aca="false">IF($AL500="","",IF((($AL500="Engineering and Technology")+($AL500="Science and Mathematics")+($AL500="Computer Science, IT and Allied Fields")+($AL500="Life Sciences /Medicine and Healthcare")+($AL500="Paramedical")+($AL500="Architecture")+($AL500="Environmental Service")+($AL500="Agriculture, Food Industry and Forestry"))&gt;0,"Science",IF((($AL500="Banking and Finance")+($AL500="Management and Administration")+($AL500="Marketing")+($AL500="Sales")+($AL500="Entrepreneurship")+($AL500="Hospitality and Tourism"))&gt;0,"Commerce",IF((($AL500="Social Sciences and Humanities")+($AL500="Law Studies")+($AL500="Education and Training")+($AL500="Art, Design")+($AL500="Entertainment and Mass Media")+($AL500="Community and Social Service")+($AL500="Personal Care and Services")+($AL500="Government and Public Administration")+($AL500="Defence/ Protective Service")+($AL500="Sports"))&gt;0,"Arts / Humanities",""))))</f>
        <v/>
      </c>
      <c r="BD500" s="5" t="str">
        <f aca="false">IF($B500="","",--(F500&gt;=10)+--(G500&gt;=10)+--(H500&gt;=10)+--(I500&gt;=10)+--(J500&gt;=10)+--(K500&gt;=10)+--(L500&gt;=10)+--(M500&gt;=10)+--(N500&gt;=10)+--(O500&gt;=10))</f>
        <v/>
      </c>
      <c r="BE500" s="5" t="str">
        <f aca="false">IF($B500="","",--(AND(F500&lt;&gt;"",F500&lt;=8))+--(AND(G500&lt;&gt;"",G500&lt;=8))+--(AND(H500&lt;&gt;"",H500&lt;=8))+--(AND(I500&lt;&gt;"",I500&lt;=8))+--(AND(J500&lt;&gt;"",J500&lt;=8))+--(AND(K500&lt;&gt;"",K500&lt;=8))+--(AND(L500&lt;&gt;"",L500&lt;=8))+--(AND(M500&lt;&gt;"",M500&lt;=8))+--(AND(N500&lt;&gt;"",N500&lt;=8))+--(AND(O500&lt;&gt;"",O500&lt;=8)))</f>
        <v/>
      </c>
    </row>
    <row r="501" customFormat="false" ht="15" hidden="false" customHeight="false" outlineLevel="0" collapsed="false">
      <c r="AZ501" s="5" t="str">
        <f aca="false">IF($B501="","",SUMPRODUCT(($AL501:$AO501&lt;&gt;"")*(COUNTIF($AP501:$AX501,$AL501:$AO501)&gt;0)))</f>
        <v/>
      </c>
      <c r="BA501" s="5" t="str">
        <f aca="false">IF($B501="","",IF(AZ501&gt;0,1,0))</f>
        <v/>
      </c>
      <c r="BB501" s="5" t="str">
        <f aca="false">IF($AP501="","",IF((($AP501="Engineering and Technology")+($AP501="Science and Mathematics")+($AP501="Computer Science, IT and Allied Fields")+($AP501="Life Sciences /Medicine and Healthcare")+($AP501="Paramedical")+($AP501="Architecture")+($AP501="Environmental Service")+($AP501="Agriculture, Food Industry and Forestry"))&gt;0,"Science",IF((($AP501="Banking and Finance")+($AP501="Management and Administration")+($AP501="Marketing")+($AP501="Sales")+($AP501="Entrepreneurship")+($AP501="Hospitality and Tourism"))&gt;0,"Commerce",IF((($AP501="Social Sciences and Humanities")+($AP501="Law Studies")+($AP501="Education and Training")+($AP501="Art, Design")+($AP501="Entertainment and Mass Media")+($AP501="Community and Social Service")+($AP501="Personal Care and Services")+($AP501="Government and Public Administration")+($AP501="Defence/ Protective Service")+($AP501="Sports"))&gt;0,"Arts / Humanities",""))))</f>
        <v/>
      </c>
      <c r="BC501" s="5" t="str">
        <f aca="false">IF($AL501="","",IF((($AL501="Engineering and Technology")+($AL501="Science and Mathematics")+($AL501="Computer Science, IT and Allied Fields")+($AL501="Life Sciences /Medicine and Healthcare")+($AL501="Paramedical")+($AL501="Architecture")+($AL501="Environmental Service")+($AL501="Agriculture, Food Industry and Forestry"))&gt;0,"Science",IF((($AL501="Banking and Finance")+($AL501="Management and Administration")+($AL501="Marketing")+($AL501="Sales")+($AL501="Entrepreneurship")+($AL501="Hospitality and Tourism"))&gt;0,"Commerce",IF((($AL501="Social Sciences and Humanities")+($AL501="Law Studies")+($AL501="Education and Training")+($AL501="Art, Design")+($AL501="Entertainment and Mass Media")+($AL501="Community and Social Service")+($AL501="Personal Care and Services")+($AL501="Government and Public Administration")+($AL501="Defence/ Protective Service")+($AL501="Sports"))&gt;0,"Arts / Humanities",""))))</f>
        <v/>
      </c>
      <c r="BD501" s="5" t="str">
        <f aca="false">IF($B501="","",--(F501&gt;=10)+--(G501&gt;=10)+--(H501&gt;=10)+--(I501&gt;=10)+--(J501&gt;=10)+--(K501&gt;=10)+--(L501&gt;=10)+--(M501&gt;=10)+--(N501&gt;=10)+--(O501&gt;=10))</f>
        <v/>
      </c>
      <c r="BE501" s="5" t="str">
        <f aca="false">IF($B501="","",--(AND(F501&lt;&gt;"",F501&lt;=8))+--(AND(G501&lt;&gt;"",G501&lt;=8))+--(AND(H501&lt;&gt;"",H501&lt;=8))+--(AND(I501&lt;&gt;"",I501&lt;=8))+--(AND(J501&lt;&gt;"",J501&lt;=8))+--(AND(K501&lt;&gt;"",K501&lt;=8))+--(AND(L501&lt;&gt;"",L501&lt;=8))+--(AND(M501&lt;&gt;"",M501&lt;=8))+--(AND(N501&lt;&gt;"",N501&lt;=8))+--(AND(O501&lt;&gt;"",O501&lt;=8)))</f>
        <v/>
      </c>
    </row>
    <row r="502" customFormat="false" ht="15" hidden="false" customHeight="false" outlineLevel="0" collapsed="false">
      <c r="AZ502" s="5" t="str">
        <f aca="false">IF($B502="","",SUMPRODUCT(($AL502:$AO502&lt;&gt;"")*(COUNTIF($AP502:$AX502,$AL502:$AO502)&gt;0)))</f>
        <v/>
      </c>
      <c r="BA502" s="5" t="str">
        <f aca="false">IF($B502="","",IF(AZ502&gt;0,1,0))</f>
        <v/>
      </c>
      <c r="BB502" s="5" t="str">
        <f aca="false">IF($AP502="","",IF((($AP502="Engineering and Technology")+($AP502="Science and Mathematics")+($AP502="Computer Science, IT and Allied Fields")+($AP502="Life Sciences /Medicine and Healthcare")+($AP502="Paramedical")+($AP502="Architecture")+($AP502="Environmental Service")+($AP502="Agriculture, Food Industry and Forestry"))&gt;0,"Science",IF((($AP502="Banking and Finance")+($AP502="Management and Administration")+($AP502="Marketing")+($AP502="Sales")+($AP502="Entrepreneurship")+($AP502="Hospitality and Tourism"))&gt;0,"Commerce",IF((($AP502="Social Sciences and Humanities")+($AP502="Law Studies")+($AP502="Education and Training")+($AP502="Art, Design")+($AP502="Entertainment and Mass Media")+($AP502="Community and Social Service")+($AP502="Personal Care and Services")+($AP502="Government and Public Administration")+($AP502="Defence/ Protective Service")+($AP502="Sports"))&gt;0,"Arts / Humanities",""))))</f>
        <v/>
      </c>
      <c r="BC502" s="5" t="str">
        <f aca="false">IF($AL502="","",IF((($AL502="Engineering and Technology")+($AL502="Science and Mathematics")+($AL502="Computer Science, IT and Allied Fields")+($AL502="Life Sciences /Medicine and Healthcare")+($AL502="Paramedical")+($AL502="Architecture")+($AL502="Environmental Service")+($AL502="Agriculture, Food Industry and Forestry"))&gt;0,"Science",IF((($AL502="Banking and Finance")+($AL502="Management and Administration")+($AL502="Marketing")+($AL502="Sales")+($AL502="Entrepreneurship")+($AL502="Hospitality and Tourism"))&gt;0,"Commerce",IF((($AL502="Social Sciences and Humanities")+($AL502="Law Studies")+($AL502="Education and Training")+($AL502="Art, Design")+($AL502="Entertainment and Mass Media")+($AL502="Community and Social Service")+($AL502="Personal Care and Services")+($AL502="Government and Public Administration")+($AL502="Defence/ Protective Service")+($AL502="Sports"))&gt;0,"Arts / Humanities",""))))</f>
        <v/>
      </c>
      <c r="BD502" s="5" t="str">
        <f aca="false">IF($B502="","",--(F502&gt;=10)+--(G502&gt;=10)+--(H502&gt;=10)+--(I502&gt;=10)+--(J502&gt;=10)+--(K502&gt;=10)+--(L502&gt;=10)+--(M502&gt;=10)+--(N502&gt;=10)+--(O502&gt;=10))</f>
        <v/>
      </c>
      <c r="BE502" s="5" t="str">
        <f aca="false">IF($B502="","",--(AND(F502&lt;&gt;"",F502&lt;=8))+--(AND(G502&lt;&gt;"",G502&lt;=8))+--(AND(H502&lt;&gt;"",H502&lt;=8))+--(AND(I502&lt;&gt;"",I502&lt;=8))+--(AND(J502&lt;&gt;"",J502&lt;=8))+--(AND(K502&lt;&gt;"",K502&lt;=8))+--(AND(L502&lt;&gt;"",L502&lt;=8))+--(AND(M502&lt;&gt;"",M502&lt;=8))+--(AND(N502&lt;&gt;"",N502&lt;=8))+--(AND(O502&lt;&gt;"",O502&lt;=8)))</f>
        <v/>
      </c>
    </row>
    <row r="503" customFormat="false" ht="15" hidden="false" customHeight="false" outlineLevel="0" collapsed="false">
      <c r="AZ503" s="5" t="str">
        <f aca="false">IF($B503="","",SUMPRODUCT(($AL503:$AO503&lt;&gt;"")*(COUNTIF($AP503:$AX503,$AL503:$AO503)&gt;0)))</f>
        <v/>
      </c>
      <c r="BA503" s="5" t="str">
        <f aca="false">IF($B503="","",IF(AZ503&gt;0,1,0))</f>
        <v/>
      </c>
      <c r="BB503" s="5" t="str">
        <f aca="false">IF($AP503="","",IF((($AP503="Engineering and Technology")+($AP503="Science and Mathematics")+($AP503="Computer Science, IT and Allied Fields")+($AP503="Life Sciences /Medicine and Healthcare")+($AP503="Paramedical")+($AP503="Architecture")+($AP503="Environmental Service")+($AP503="Agriculture, Food Industry and Forestry"))&gt;0,"Science",IF((($AP503="Banking and Finance")+($AP503="Management and Administration")+($AP503="Marketing")+($AP503="Sales")+($AP503="Entrepreneurship")+($AP503="Hospitality and Tourism"))&gt;0,"Commerce",IF((($AP503="Social Sciences and Humanities")+($AP503="Law Studies")+($AP503="Education and Training")+($AP503="Art, Design")+($AP503="Entertainment and Mass Media")+($AP503="Community and Social Service")+($AP503="Personal Care and Services")+($AP503="Government and Public Administration")+($AP503="Defence/ Protective Service")+($AP503="Sports"))&gt;0,"Arts / Humanities",""))))</f>
        <v/>
      </c>
      <c r="BC503" s="5" t="str">
        <f aca="false">IF($AL503="","",IF((($AL503="Engineering and Technology")+($AL503="Science and Mathematics")+($AL503="Computer Science, IT and Allied Fields")+($AL503="Life Sciences /Medicine and Healthcare")+($AL503="Paramedical")+($AL503="Architecture")+($AL503="Environmental Service")+($AL503="Agriculture, Food Industry and Forestry"))&gt;0,"Science",IF((($AL503="Banking and Finance")+($AL503="Management and Administration")+($AL503="Marketing")+($AL503="Sales")+($AL503="Entrepreneurship")+($AL503="Hospitality and Tourism"))&gt;0,"Commerce",IF((($AL503="Social Sciences and Humanities")+($AL503="Law Studies")+($AL503="Education and Training")+($AL503="Art, Design")+($AL503="Entertainment and Mass Media")+($AL503="Community and Social Service")+($AL503="Personal Care and Services")+($AL503="Government and Public Administration")+($AL503="Defence/ Protective Service")+($AL503="Sports"))&gt;0,"Arts / Humanities",""))))</f>
        <v/>
      </c>
      <c r="BD503" s="5" t="str">
        <f aca="false">IF($B503="","",--(F503&gt;=10)+--(G503&gt;=10)+--(H503&gt;=10)+--(I503&gt;=10)+--(J503&gt;=10)+--(K503&gt;=10)+--(L503&gt;=10)+--(M503&gt;=10)+--(N503&gt;=10)+--(O503&gt;=10))</f>
        <v/>
      </c>
      <c r="BE503" s="5" t="str">
        <f aca="false">IF($B503="","",--(AND(F503&lt;&gt;"",F503&lt;=8))+--(AND(G503&lt;&gt;"",G503&lt;=8))+--(AND(H503&lt;&gt;"",H503&lt;=8))+--(AND(I503&lt;&gt;"",I503&lt;=8))+--(AND(J503&lt;&gt;"",J503&lt;=8))+--(AND(K503&lt;&gt;"",K503&lt;=8))+--(AND(L503&lt;&gt;"",L503&lt;=8))+--(AND(M503&lt;&gt;"",M503&lt;=8))+--(AND(N503&lt;&gt;"",N503&lt;=8))+--(AND(O503&lt;&gt;"",O503&lt;=8)))</f>
        <v/>
      </c>
    </row>
    <row r="504" customFormat="false" ht="15" hidden="false" customHeight="false" outlineLevel="0" collapsed="false">
      <c r="AZ504" s="5" t="str">
        <f aca="false">IF($B504="","",SUMPRODUCT(($AL504:$AO504&lt;&gt;"")*(COUNTIF($AP504:$AX504,$AL504:$AO504)&gt;0)))</f>
        <v/>
      </c>
      <c r="BA504" s="5" t="str">
        <f aca="false">IF($B504="","",IF(AZ504&gt;0,1,0))</f>
        <v/>
      </c>
      <c r="BB504" s="5" t="str">
        <f aca="false">IF($AP504="","",IF((($AP504="Engineering and Technology")+($AP504="Science and Mathematics")+($AP504="Computer Science, IT and Allied Fields")+($AP504="Life Sciences /Medicine and Healthcare")+($AP504="Paramedical")+($AP504="Architecture")+($AP504="Environmental Service")+($AP504="Agriculture, Food Industry and Forestry"))&gt;0,"Science",IF((($AP504="Banking and Finance")+($AP504="Management and Administration")+($AP504="Marketing")+($AP504="Sales")+($AP504="Entrepreneurship")+($AP504="Hospitality and Tourism"))&gt;0,"Commerce",IF((($AP504="Social Sciences and Humanities")+($AP504="Law Studies")+($AP504="Education and Training")+($AP504="Art, Design")+($AP504="Entertainment and Mass Media")+($AP504="Community and Social Service")+($AP504="Personal Care and Services")+($AP504="Government and Public Administration")+($AP504="Defence/ Protective Service")+($AP504="Sports"))&gt;0,"Arts / Humanities",""))))</f>
        <v/>
      </c>
      <c r="BC504" s="5" t="str">
        <f aca="false">IF($AL504="","",IF((($AL504="Engineering and Technology")+($AL504="Science and Mathematics")+($AL504="Computer Science, IT and Allied Fields")+($AL504="Life Sciences /Medicine and Healthcare")+($AL504="Paramedical")+($AL504="Architecture")+($AL504="Environmental Service")+($AL504="Agriculture, Food Industry and Forestry"))&gt;0,"Science",IF((($AL504="Banking and Finance")+($AL504="Management and Administration")+($AL504="Marketing")+($AL504="Sales")+($AL504="Entrepreneurship")+($AL504="Hospitality and Tourism"))&gt;0,"Commerce",IF((($AL504="Social Sciences and Humanities")+($AL504="Law Studies")+($AL504="Education and Training")+($AL504="Art, Design")+($AL504="Entertainment and Mass Media")+($AL504="Community and Social Service")+($AL504="Personal Care and Services")+($AL504="Government and Public Administration")+($AL504="Defence/ Protective Service")+($AL504="Sports"))&gt;0,"Arts / Humanities",""))))</f>
        <v/>
      </c>
      <c r="BD504" s="5" t="str">
        <f aca="false">IF($B504="","",--(F504&gt;=10)+--(G504&gt;=10)+--(H504&gt;=10)+--(I504&gt;=10)+--(J504&gt;=10)+--(K504&gt;=10)+--(L504&gt;=10)+--(M504&gt;=10)+--(N504&gt;=10)+--(O504&gt;=10))</f>
        <v/>
      </c>
      <c r="BE504" s="5" t="str">
        <f aca="false">IF($B504="","",--(AND(F504&lt;&gt;"",F504&lt;=8))+--(AND(G504&lt;&gt;"",G504&lt;=8))+--(AND(H504&lt;&gt;"",H504&lt;=8))+--(AND(I504&lt;&gt;"",I504&lt;=8))+--(AND(J504&lt;&gt;"",J504&lt;=8))+--(AND(K504&lt;&gt;"",K504&lt;=8))+--(AND(L504&lt;&gt;"",L504&lt;=8))+--(AND(M504&lt;&gt;"",M504&lt;=8))+--(AND(N504&lt;&gt;"",N504&lt;=8))+--(AND(O504&lt;&gt;"",O504&lt;=8)))</f>
        <v/>
      </c>
    </row>
    <row r="505" customFormat="false" ht="15" hidden="false" customHeight="false" outlineLevel="0" collapsed="false">
      <c r="AZ505" s="5" t="str">
        <f aca="false">IF($B505="","",SUMPRODUCT(($AL505:$AO505&lt;&gt;"")*(COUNTIF($AP505:$AX505,$AL505:$AO505)&gt;0)))</f>
        <v/>
      </c>
      <c r="BA505" s="5" t="str">
        <f aca="false">IF($B505="","",IF(AZ505&gt;0,1,0))</f>
        <v/>
      </c>
      <c r="BB505" s="5" t="str">
        <f aca="false">IF($AP505="","",IF((($AP505="Engineering and Technology")+($AP505="Science and Mathematics")+($AP505="Computer Science, IT and Allied Fields")+($AP505="Life Sciences /Medicine and Healthcare")+($AP505="Paramedical")+($AP505="Architecture")+($AP505="Environmental Service")+($AP505="Agriculture, Food Industry and Forestry"))&gt;0,"Science",IF((($AP505="Banking and Finance")+($AP505="Management and Administration")+($AP505="Marketing")+($AP505="Sales")+($AP505="Entrepreneurship")+($AP505="Hospitality and Tourism"))&gt;0,"Commerce",IF((($AP505="Social Sciences and Humanities")+($AP505="Law Studies")+($AP505="Education and Training")+($AP505="Art, Design")+($AP505="Entertainment and Mass Media")+($AP505="Community and Social Service")+($AP505="Personal Care and Services")+($AP505="Government and Public Administration")+($AP505="Defence/ Protective Service")+($AP505="Sports"))&gt;0,"Arts / Humanities",""))))</f>
        <v/>
      </c>
      <c r="BC505" s="5" t="str">
        <f aca="false">IF($AL505="","",IF((($AL505="Engineering and Technology")+($AL505="Science and Mathematics")+($AL505="Computer Science, IT and Allied Fields")+($AL505="Life Sciences /Medicine and Healthcare")+($AL505="Paramedical")+($AL505="Architecture")+($AL505="Environmental Service")+($AL505="Agriculture, Food Industry and Forestry"))&gt;0,"Science",IF((($AL505="Banking and Finance")+($AL505="Management and Administration")+($AL505="Marketing")+($AL505="Sales")+($AL505="Entrepreneurship")+($AL505="Hospitality and Tourism"))&gt;0,"Commerce",IF((($AL505="Social Sciences and Humanities")+($AL505="Law Studies")+($AL505="Education and Training")+($AL505="Art, Design")+($AL505="Entertainment and Mass Media")+($AL505="Community and Social Service")+($AL505="Personal Care and Services")+($AL505="Government and Public Administration")+($AL505="Defence/ Protective Service")+($AL505="Sports"))&gt;0,"Arts / Humanities",""))))</f>
        <v/>
      </c>
      <c r="BD505" s="5" t="str">
        <f aca="false">IF($B505="","",--(F505&gt;=10)+--(G505&gt;=10)+--(H505&gt;=10)+--(I505&gt;=10)+--(J505&gt;=10)+--(K505&gt;=10)+--(L505&gt;=10)+--(M505&gt;=10)+--(N505&gt;=10)+--(O505&gt;=10))</f>
        <v/>
      </c>
      <c r="BE505" s="5" t="str">
        <f aca="false">IF($B505="","",--(AND(F505&lt;&gt;"",F505&lt;=8))+--(AND(G505&lt;&gt;"",G505&lt;=8))+--(AND(H505&lt;&gt;"",H505&lt;=8))+--(AND(I505&lt;&gt;"",I505&lt;=8))+--(AND(J505&lt;&gt;"",J505&lt;=8))+--(AND(K505&lt;&gt;"",K505&lt;=8))+--(AND(L505&lt;&gt;"",L505&lt;=8))+--(AND(M505&lt;&gt;"",M505&lt;=8))+--(AND(N505&lt;&gt;"",N505&lt;=8))+--(AND(O505&lt;&gt;"",O505&lt;=8)))</f>
        <v/>
      </c>
    </row>
    <row r="506" customFormat="false" ht="15" hidden="false" customHeight="false" outlineLevel="0" collapsed="false">
      <c r="AZ506" s="5" t="str">
        <f aca="false">IF($B506="","",SUMPRODUCT(($AL506:$AO506&lt;&gt;"")*(COUNTIF($AP506:$AX506,$AL506:$AO506)&gt;0)))</f>
        <v/>
      </c>
      <c r="BA506" s="5" t="str">
        <f aca="false">IF($B506="","",IF(AZ506&gt;0,1,0))</f>
        <v/>
      </c>
      <c r="BB506" s="5" t="str">
        <f aca="false">IF($AP506="","",IF((($AP506="Engineering and Technology")+($AP506="Science and Mathematics")+($AP506="Computer Science, IT and Allied Fields")+($AP506="Life Sciences /Medicine and Healthcare")+($AP506="Paramedical")+($AP506="Architecture")+($AP506="Environmental Service")+($AP506="Agriculture, Food Industry and Forestry"))&gt;0,"Science",IF((($AP506="Banking and Finance")+($AP506="Management and Administration")+($AP506="Marketing")+($AP506="Sales")+($AP506="Entrepreneurship")+($AP506="Hospitality and Tourism"))&gt;0,"Commerce",IF((($AP506="Social Sciences and Humanities")+($AP506="Law Studies")+($AP506="Education and Training")+($AP506="Art, Design")+($AP506="Entertainment and Mass Media")+($AP506="Community and Social Service")+($AP506="Personal Care and Services")+($AP506="Government and Public Administration")+($AP506="Defence/ Protective Service")+($AP506="Sports"))&gt;0,"Arts / Humanities",""))))</f>
        <v/>
      </c>
      <c r="BC506" s="5" t="str">
        <f aca="false">IF($AL506="","",IF((($AL506="Engineering and Technology")+($AL506="Science and Mathematics")+($AL506="Computer Science, IT and Allied Fields")+($AL506="Life Sciences /Medicine and Healthcare")+($AL506="Paramedical")+($AL506="Architecture")+($AL506="Environmental Service")+($AL506="Agriculture, Food Industry and Forestry"))&gt;0,"Science",IF((($AL506="Banking and Finance")+($AL506="Management and Administration")+($AL506="Marketing")+($AL506="Sales")+($AL506="Entrepreneurship")+($AL506="Hospitality and Tourism"))&gt;0,"Commerce",IF((($AL506="Social Sciences and Humanities")+($AL506="Law Studies")+($AL506="Education and Training")+($AL506="Art, Design")+($AL506="Entertainment and Mass Media")+($AL506="Community and Social Service")+($AL506="Personal Care and Services")+($AL506="Government and Public Administration")+($AL506="Defence/ Protective Service")+($AL506="Sports"))&gt;0,"Arts / Humanities",""))))</f>
        <v/>
      </c>
      <c r="BD506" s="5" t="str">
        <f aca="false">IF($B506="","",--(F506&gt;=10)+--(G506&gt;=10)+--(H506&gt;=10)+--(I506&gt;=10)+--(J506&gt;=10)+--(K506&gt;=10)+--(L506&gt;=10)+--(M506&gt;=10)+--(N506&gt;=10)+--(O506&gt;=10))</f>
        <v/>
      </c>
      <c r="BE506" s="5" t="str">
        <f aca="false">IF($B506="","",--(AND(F506&lt;&gt;"",F506&lt;=8))+--(AND(G506&lt;&gt;"",G506&lt;=8))+--(AND(H506&lt;&gt;"",H506&lt;=8))+--(AND(I506&lt;&gt;"",I506&lt;=8))+--(AND(J506&lt;&gt;"",J506&lt;=8))+--(AND(K506&lt;&gt;"",K506&lt;=8))+--(AND(L506&lt;&gt;"",L506&lt;=8))+--(AND(M506&lt;&gt;"",M506&lt;=8))+--(AND(N506&lt;&gt;"",N506&lt;=8))+--(AND(O506&lt;&gt;"",O506&lt;=8)))</f>
        <v/>
      </c>
    </row>
    <row r="507" customFormat="false" ht="15" hidden="false" customHeight="false" outlineLevel="0" collapsed="false">
      <c r="AZ507" s="5" t="str">
        <f aca="false">IF($B507="","",SUMPRODUCT(($AL507:$AO507&lt;&gt;"")*(COUNTIF($AP507:$AX507,$AL507:$AO507)&gt;0)))</f>
        <v/>
      </c>
      <c r="BA507" s="5" t="str">
        <f aca="false">IF($B507="","",IF(AZ507&gt;0,1,0))</f>
        <v/>
      </c>
      <c r="BB507" s="5" t="str">
        <f aca="false">IF($AP507="","",IF((($AP507="Engineering and Technology")+($AP507="Science and Mathematics")+($AP507="Computer Science, IT and Allied Fields")+($AP507="Life Sciences /Medicine and Healthcare")+($AP507="Paramedical")+($AP507="Architecture")+($AP507="Environmental Service")+($AP507="Agriculture, Food Industry and Forestry"))&gt;0,"Science",IF((($AP507="Banking and Finance")+($AP507="Management and Administration")+($AP507="Marketing")+($AP507="Sales")+($AP507="Entrepreneurship")+($AP507="Hospitality and Tourism"))&gt;0,"Commerce",IF((($AP507="Social Sciences and Humanities")+($AP507="Law Studies")+($AP507="Education and Training")+($AP507="Art, Design")+($AP507="Entertainment and Mass Media")+($AP507="Community and Social Service")+($AP507="Personal Care and Services")+($AP507="Government and Public Administration")+($AP507="Defence/ Protective Service")+($AP507="Sports"))&gt;0,"Arts / Humanities",""))))</f>
        <v/>
      </c>
      <c r="BC507" s="5" t="str">
        <f aca="false">IF($AL507="","",IF((($AL507="Engineering and Technology")+($AL507="Science and Mathematics")+($AL507="Computer Science, IT and Allied Fields")+($AL507="Life Sciences /Medicine and Healthcare")+($AL507="Paramedical")+($AL507="Architecture")+($AL507="Environmental Service")+($AL507="Agriculture, Food Industry and Forestry"))&gt;0,"Science",IF((($AL507="Banking and Finance")+($AL507="Management and Administration")+($AL507="Marketing")+($AL507="Sales")+($AL507="Entrepreneurship")+($AL507="Hospitality and Tourism"))&gt;0,"Commerce",IF((($AL507="Social Sciences and Humanities")+($AL507="Law Studies")+($AL507="Education and Training")+($AL507="Art, Design")+($AL507="Entertainment and Mass Media")+($AL507="Community and Social Service")+($AL507="Personal Care and Services")+($AL507="Government and Public Administration")+($AL507="Defence/ Protective Service")+($AL507="Sports"))&gt;0,"Arts / Humanities",""))))</f>
        <v/>
      </c>
      <c r="BD507" s="5" t="str">
        <f aca="false">IF($B507="","",--(F507&gt;=10)+--(G507&gt;=10)+--(H507&gt;=10)+--(I507&gt;=10)+--(J507&gt;=10)+--(K507&gt;=10)+--(L507&gt;=10)+--(M507&gt;=10)+--(N507&gt;=10)+--(O507&gt;=10))</f>
        <v/>
      </c>
      <c r="BE507" s="5" t="str">
        <f aca="false">IF($B507="","",--(AND(F507&lt;&gt;"",F507&lt;=8))+--(AND(G507&lt;&gt;"",G507&lt;=8))+--(AND(H507&lt;&gt;"",H507&lt;=8))+--(AND(I507&lt;&gt;"",I507&lt;=8))+--(AND(J507&lt;&gt;"",J507&lt;=8))+--(AND(K507&lt;&gt;"",K507&lt;=8))+--(AND(L507&lt;&gt;"",L507&lt;=8))+--(AND(M507&lt;&gt;"",M507&lt;=8))+--(AND(N507&lt;&gt;"",N507&lt;=8))+--(AND(O507&lt;&gt;"",O507&lt;=8)))</f>
        <v/>
      </c>
    </row>
    <row r="508" customFormat="false" ht="15" hidden="false" customHeight="false" outlineLevel="0" collapsed="false">
      <c r="AZ508" s="5" t="str">
        <f aca="false">IF($B508="","",SUMPRODUCT(($AL508:$AO508&lt;&gt;"")*(COUNTIF($AP508:$AX508,$AL508:$AO508)&gt;0)))</f>
        <v/>
      </c>
      <c r="BA508" s="5" t="str">
        <f aca="false">IF($B508="","",IF(AZ508&gt;0,1,0))</f>
        <v/>
      </c>
      <c r="BB508" s="5" t="str">
        <f aca="false">IF($AP508="","",IF((($AP508="Engineering and Technology")+($AP508="Science and Mathematics")+($AP508="Computer Science, IT and Allied Fields")+($AP508="Life Sciences /Medicine and Healthcare")+($AP508="Paramedical")+($AP508="Architecture")+($AP508="Environmental Service")+($AP508="Agriculture, Food Industry and Forestry"))&gt;0,"Science",IF((($AP508="Banking and Finance")+($AP508="Management and Administration")+($AP508="Marketing")+($AP508="Sales")+($AP508="Entrepreneurship")+($AP508="Hospitality and Tourism"))&gt;0,"Commerce",IF((($AP508="Social Sciences and Humanities")+($AP508="Law Studies")+($AP508="Education and Training")+($AP508="Art, Design")+($AP508="Entertainment and Mass Media")+($AP508="Community and Social Service")+($AP508="Personal Care and Services")+($AP508="Government and Public Administration")+($AP508="Defence/ Protective Service")+($AP508="Sports"))&gt;0,"Arts / Humanities",""))))</f>
        <v/>
      </c>
      <c r="BC508" s="5" t="str">
        <f aca="false">IF($AL508="","",IF((($AL508="Engineering and Technology")+($AL508="Science and Mathematics")+($AL508="Computer Science, IT and Allied Fields")+($AL508="Life Sciences /Medicine and Healthcare")+($AL508="Paramedical")+($AL508="Architecture")+($AL508="Environmental Service")+($AL508="Agriculture, Food Industry and Forestry"))&gt;0,"Science",IF((($AL508="Banking and Finance")+($AL508="Management and Administration")+($AL508="Marketing")+($AL508="Sales")+($AL508="Entrepreneurship")+($AL508="Hospitality and Tourism"))&gt;0,"Commerce",IF((($AL508="Social Sciences and Humanities")+($AL508="Law Studies")+($AL508="Education and Training")+($AL508="Art, Design")+($AL508="Entertainment and Mass Media")+($AL508="Community and Social Service")+($AL508="Personal Care and Services")+($AL508="Government and Public Administration")+($AL508="Defence/ Protective Service")+($AL508="Sports"))&gt;0,"Arts / Humanities",""))))</f>
        <v/>
      </c>
      <c r="BD508" s="5" t="str">
        <f aca="false">IF($B508="","",--(F508&gt;=10)+--(G508&gt;=10)+--(H508&gt;=10)+--(I508&gt;=10)+--(J508&gt;=10)+--(K508&gt;=10)+--(L508&gt;=10)+--(M508&gt;=10)+--(N508&gt;=10)+--(O508&gt;=10))</f>
        <v/>
      </c>
      <c r="BE508" s="5" t="str">
        <f aca="false">IF($B508="","",--(AND(F508&lt;&gt;"",F508&lt;=8))+--(AND(G508&lt;&gt;"",G508&lt;=8))+--(AND(H508&lt;&gt;"",H508&lt;=8))+--(AND(I508&lt;&gt;"",I508&lt;=8))+--(AND(J508&lt;&gt;"",J508&lt;=8))+--(AND(K508&lt;&gt;"",K508&lt;=8))+--(AND(L508&lt;&gt;"",L508&lt;=8))+--(AND(M508&lt;&gt;"",M508&lt;=8))+--(AND(N508&lt;&gt;"",N508&lt;=8))+--(AND(O508&lt;&gt;"",O508&lt;=8)))</f>
        <v/>
      </c>
    </row>
    <row r="509" customFormat="false" ht="15" hidden="false" customHeight="false" outlineLevel="0" collapsed="false">
      <c r="AZ509" s="5" t="str">
        <f aca="false">IF($B509="","",SUMPRODUCT(($AL509:$AO509&lt;&gt;"")*(COUNTIF($AP509:$AX509,$AL509:$AO509)&gt;0)))</f>
        <v/>
      </c>
      <c r="BA509" s="5" t="str">
        <f aca="false">IF($B509="","",IF(AZ509&gt;0,1,0))</f>
        <v/>
      </c>
      <c r="BB509" s="5" t="str">
        <f aca="false">IF($AP509="","",IF((($AP509="Engineering and Technology")+($AP509="Science and Mathematics")+($AP509="Computer Science, IT and Allied Fields")+($AP509="Life Sciences /Medicine and Healthcare")+($AP509="Paramedical")+($AP509="Architecture")+($AP509="Environmental Service")+($AP509="Agriculture, Food Industry and Forestry"))&gt;0,"Science",IF((($AP509="Banking and Finance")+($AP509="Management and Administration")+($AP509="Marketing")+($AP509="Sales")+($AP509="Entrepreneurship")+($AP509="Hospitality and Tourism"))&gt;0,"Commerce",IF((($AP509="Social Sciences and Humanities")+($AP509="Law Studies")+($AP509="Education and Training")+($AP509="Art, Design")+($AP509="Entertainment and Mass Media")+($AP509="Community and Social Service")+($AP509="Personal Care and Services")+($AP509="Government and Public Administration")+($AP509="Defence/ Protective Service")+($AP509="Sports"))&gt;0,"Arts / Humanities",""))))</f>
        <v/>
      </c>
      <c r="BC509" s="5" t="str">
        <f aca="false">IF($AL509="","",IF((($AL509="Engineering and Technology")+($AL509="Science and Mathematics")+($AL509="Computer Science, IT and Allied Fields")+($AL509="Life Sciences /Medicine and Healthcare")+($AL509="Paramedical")+($AL509="Architecture")+($AL509="Environmental Service")+($AL509="Agriculture, Food Industry and Forestry"))&gt;0,"Science",IF((($AL509="Banking and Finance")+($AL509="Management and Administration")+($AL509="Marketing")+($AL509="Sales")+($AL509="Entrepreneurship")+($AL509="Hospitality and Tourism"))&gt;0,"Commerce",IF((($AL509="Social Sciences and Humanities")+($AL509="Law Studies")+($AL509="Education and Training")+($AL509="Art, Design")+($AL509="Entertainment and Mass Media")+($AL509="Community and Social Service")+($AL509="Personal Care and Services")+($AL509="Government and Public Administration")+($AL509="Defence/ Protective Service")+($AL509="Sports"))&gt;0,"Arts / Humanities",""))))</f>
        <v/>
      </c>
      <c r="BD509" s="5" t="str">
        <f aca="false">IF($B509="","",--(F509&gt;=10)+--(G509&gt;=10)+--(H509&gt;=10)+--(I509&gt;=10)+--(J509&gt;=10)+--(K509&gt;=10)+--(L509&gt;=10)+--(M509&gt;=10)+--(N509&gt;=10)+--(O509&gt;=10))</f>
        <v/>
      </c>
      <c r="BE509" s="5" t="str">
        <f aca="false">IF($B509="","",--(AND(F509&lt;&gt;"",F509&lt;=8))+--(AND(G509&lt;&gt;"",G509&lt;=8))+--(AND(H509&lt;&gt;"",H509&lt;=8))+--(AND(I509&lt;&gt;"",I509&lt;=8))+--(AND(J509&lt;&gt;"",J509&lt;=8))+--(AND(K509&lt;&gt;"",K509&lt;=8))+--(AND(L509&lt;&gt;"",L509&lt;=8))+--(AND(M509&lt;&gt;"",M509&lt;=8))+--(AND(N509&lt;&gt;"",N509&lt;=8))+--(AND(O509&lt;&gt;"",O509&lt;=8)))</f>
        <v/>
      </c>
    </row>
    <row r="510" customFormat="false" ht="15" hidden="false" customHeight="false" outlineLevel="0" collapsed="false">
      <c r="AZ510" s="5" t="str">
        <f aca="false">IF($B510="","",SUMPRODUCT(($AL510:$AO510&lt;&gt;"")*(COUNTIF($AP510:$AX510,$AL510:$AO510)&gt;0)))</f>
        <v/>
      </c>
      <c r="BA510" s="5" t="str">
        <f aca="false">IF($B510="","",IF(AZ510&gt;0,1,0))</f>
        <v/>
      </c>
      <c r="BB510" s="5" t="str">
        <f aca="false">IF($AP510="","",IF((($AP510="Engineering and Technology")+($AP510="Science and Mathematics")+($AP510="Computer Science, IT and Allied Fields")+($AP510="Life Sciences /Medicine and Healthcare")+($AP510="Paramedical")+($AP510="Architecture")+($AP510="Environmental Service")+($AP510="Agriculture, Food Industry and Forestry"))&gt;0,"Science",IF((($AP510="Banking and Finance")+($AP510="Management and Administration")+($AP510="Marketing")+($AP510="Sales")+($AP510="Entrepreneurship")+($AP510="Hospitality and Tourism"))&gt;0,"Commerce",IF((($AP510="Social Sciences and Humanities")+($AP510="Law Studies")+($AP510="Education and Training")+($AP510="Art, Design")+($AP510="Entertainment and Mass Media")+($AP510="Community and Social Service")+($AP510="Personal Care and Services")+($AP510="Government and Public Administration")+($AP510="Defence/ Protective Service")+($AP510="Sports"))&gt;0,"Arts / Humanities",""))))</f>
        <v/>
      </c>
      <c r="BC510" s="5" t="str">
        <f aca="false">IF($AL510="","",IF((($AL510="Engineering and Technology")+($AL510="Science and Mathematics")+($AL510="Computer Science, IT and Allied Fields")+($AL510="Life Sciences /Medicine and Healthcare")+($AL510="Paramedical")+($AL510="Architecture")+($AL510="Environmental Service")+($AL510="Agriculture, Food Industry and Forestry"))&gt;0,"Science",IF((($AL510="Banking and Finance")+($AL510="Management and Administration")+($AL510="Marketing")+($AL510="Sales")+($AL510="Entrepreneurship")+($AL510="Hospitality and Tourism"))&gt;0,"Commerce",IF((($AL510="Social Sciences and Humanities")+($AL510="Law Studies")+($AL510="Education and Training")+($AL510="Art, Design")+($AL510="Entertainment and Mass Media")+($AL510="Community and Social Service")+($AL510="Personal Care and Services")+($AL510="Government and Public Administration")+($AL510="Defence/ Protective Service")+($AL510="Sports"))&gt;0,"Arts / Humanities",""))))</f>
        <v/>
      </c>
      <c r="BD510" s="5" t="str">
        <f aca="false">IF($B510="","",--(F510&gt;=10)+--(G510&gt;=10)+--(H510&gt;=10)+--(I510&gt;=10)+--(J510&gt;=10)+--(K510&gt;=10)+--(L510&gt;=10)+--(M510&gt;=10)+--(N510&gt;=10)+--(O510&gt;=10))</f>
        <v/>
      </c>
      <c r="BE510" s="5" t="str">
        <f aca="false">IF($B510="","",--(AND(F510&lt;&gt;"",F510&lt;=8))+--(AND(G510&lt;&gt;"",G510&lt;=8))+--(AND(H510&lt;&gt;"",H510&lt;=8))+--(AND(I510&lt;&gt;"",I510&lt;=8))+--(AND(J510&lt;&gt;"",J510&lt;=8))+--(AND(K510&lt;&gt;"",K510&lt;=8))+--(AND(L510&lt;&gt;"",L510&lt;=8))+--(AND(M510&lt;&gt;"",M510&lt;=8))+--(AND(N510&lt;&gt;"",N510&lt;=8))+--(AND(O510&lt;&gt;"",O510&lt;=8)))</f>
        <v/>
      </c>
    </row>
    <row r="511" customFormat="false" ht="15" hidden="false" customHeight="false" outlineLevel="0" collapsed="false">
      <c r="AZ511" s="5" t="str">
        <f aca="false">IF($B511="","",SUMPRODUCT(($AL511:$AO511&lt;&gt;"")*(COUNTIF($AP511:$AX511,$AL511:$AO511)&gt;0)))</f>
        <v/>
      </c>
      <c r="BA511" s="5" t="str">
        <f aca="false">IF($B511="","",IF(AZ511&gt;0,1,0))</f>
        <v/>
      </c>
      <c r="BB511" s="5" t="str">
        <f aca="false">IF($AP511="","",IF((($AP511="Engineering and Technology")+($AP511="Science and Mathematics")+($AP511="Computer Science, IT and Allied Fields")+($AP511="Life Sciences /Medicine and Healthcare")+($AP511="Paramedical")+($AP511="Architecture")+($AP511="Environmental Service")+($AP511="Agriculture, Food Industry and Forestry"))&gt;0,"Science",IF((($AP511="Banking and Finance")+($AP511="Management and Administration")+($AP511="Marketing")+($AP511="Sales")+($AP511="Entrepreneurship")+($AP511="Hospitality and Tourism"))&gt;0,"Commerce",IF((($AP511="Social Sciences and Humanities")+($AP511="Law Studies")+($AP511="Education and Training")+($AP511="Art, Design")+($AP511="Entertainment and Mass Media")+($AP511="Community and Social Service")+($AP511="Personal Care and Services")+($AP511="Government and Public Administration")+($AP511="Defence/ Protective Service")+($AP511="Sports"))&gt;0,"Arts / Humanities",""))))</f>
        <v/>
      </c>
      <c r="BC511" s="5" t="str">
        <f aca="false">IF($AL511="","",IF((($AL511="Engineering and Technology")+($AL511="Science and Mathematics")+($AL511="Computer Science, IT and Allied Fields")+($AL511="Life Sciences /Medicine and Healthcare")+($AL511="Paramedical")+($AL511="Architecture")+($AL511="Environmental Service")+($AL511="Agriculture, Food Industry and Forestry"))&gt;0,"Science",IF((($AL511="Banking and Finance")+($AL511="Management and Administration")+($AL511="Marketing")+($AL511="Sales")+($AL511="Entrepreneurship")+($AL511="Hospitality and Tourism"))&gt;0,"Commerce",IF((($AL511="Social Sciences and Humanities")+($AL511="Law Studies")+($AL511="Education and Training")+($AL511="Art, Design")+($AL511="Entertainment and Mass Media")+($AL511="Community and Social Service")+($AL511="Personal Care and Services")+($AL511="Government and Public Administration")+($AL511="Defence/ Protective Service")+($AL511="Sports"))&gt;0,"Arts / Humanities",""))))</f>
        <v/>
      </c>
      <c r="BD511" s="5" t="str">
        <f aca="false">IF($B511="","",--(F511&gt;=10)+--(G511&gt;=10)+--(H511&gt;=10)+--(I511&gt;=10)+--(J511&gt;=10)+--(K511&gt;=10)+--(L511&gt;=10)+--(M511&gt;=10)+--(N511&gt;=10)+--(O511&gt;=10))</f>
        <v/>
      </c>
      <c r="BE511" s="5" t="str">
        <f aca="false">IF($B511="","",--(AND(F511&lt;&gt;"",F511&lt;=8))+--(AND(G511&lt;&gt;"",G511&lt;=8))+--(AND(H511&lt;&gt;"",H511&lt;=8))+--(AND(I511&lt;&gt;"",I511&lt;=8))+--(AND(J511&lt;&gt;"",J511&lt;=8))+--(AND(K511&lt;&gt;"",K511&lt;=8))+--(AND(L511&lt;&gt;"",L511&lt;=8))+--(AND(M511&lt;&gt;"",M511&lt;=8))+--(AND(N511&lt;&gt;"",N511&lt;=8))+--(AND(O511&lt;&gt;"",O511&lt;=8)))</f>
        <v/>
      </c>
    </row>
    <row r="512" customFormat="false" ht="15" hidden="false" customHeight="false" outlineLevel="0" collapsed="false">
      <c r="AZ512" s="5" t="str">
        <f aca="false">IF($B512="","",SUMPRODUCT(($AL512:$AO512&lt;&gt;"")*(COUNTIF($AP512:$AX512,$AL512:$AO512)&gt;0)))</f>
        <v/>
      </c>
      <c r="BA512" s="5" t="str">
        <f aca="false">IF($B512="","",IF(AZ512&gt;0,1,0))</f>
        <v/>
      </c>
      <c r="BB512" s="5" t="str">
        <f aca="false">IF($AP512="","",IF((($AP512="Engineering and Technology")+($AP512="Science and Mathematics")+($AP512="Computer Science, IT and Allied Fields")+($AP512="Life Sciences /Medicine and Healthcare")+($AP512="Paramedical")+($AP512="Architecture")+($AP512="Environmental Service")+($AP512="Agriculture, Food Industry and Forestry"))&gt;0,"Science",IF((($AP512="Banking and Finance")+($AP512="Management and Administration")+($AP512="Marketing")+($AP512="Sales")+($AP512="Entrepreneurship")+($AP512="Hospitality and Tourism"))&gt;0,"Commerce",IF((($AP512="Social Sciences and Humanities")+($AP512="Law Studies")+($AP512="Education and Training")+($AP512="Art, Design")+($AP512="Entertainment and Mass Media")+($AP512="Community and Social Service")+($AP512="Personal Care and Services")+($AP512="Government and Public Administration")+($AP512="Defence/ Protective Service")+($AP512="Sports"))&gt;0,"Arts / Humanities",""))))</f>
        <v/>
      </c>
      <c r="BC512" s="5" t="str">
        <f aca="false">IF($AL512="","",IF((($AL512="Engineering and Technology")+($AL512="Science and Mathematics")+($AL512="Computer Science, IT and Allied Fields")+($AL512="Life Sciences /Medicine and Healthcare")+($AL512="Paramedical")+($AL512="Architecture")+($AL512="Environmental Service")+($AL512="Agriculture, Food Industry and Forestry"))&gt;0,"Science",IF((($AL512="Banking and Finance")+($AL512="Management and Administration")+($AL512="Marketing")+($AL512="Sales")+($AL512="Entrepreneurship")+($AL512="Hospitality and Tourism"))&gt;0,"Commerce",IF((($AL512="Social Sciences and Humanities")+($AL512="Law Studies")+($AL512="Education and Training")+($AL512="Art, Design")+($AL512="Entertainment and Mass Media")+($AL512="Community and Social Service")+($AL512="Personal Care and Services")+($AL512="Government and Public Administration")+($AL512="Defence/ Protective Service")+($AL512="Sports"))&gt;0,"Arts / Humanities",""))))</f>
        <v/>
      </c>
      <c r="BD512" s="5" t="str">
        <f aca="false">IF($B512="","",--(F512&gt;=10)+--(G512&gt;=10)+--(H512&gt;=10)+--(I512&gt;=10)+--(J512&gt;=10)+--(K512&gt;=10)+--(L512&gt;=10)+--(M512&gt;=10)+--(N512&gt;=10)+--(O512&gt;=10))</f>
        <v/>
      </c>
      <c r="BE512" s="5" t="str">
        <f aca="false">IF($B512="","",--(AND(F512&lt;&gt;"",F512&lt;=8))+--(AND(G512&lt;&gt;"",G512&lt;=8))+--(AND(H512&lt;&gt;"",H512&lt;=8))+--(AND(I512&lt;&gt;"",I512&lt;=8))+--(AND(J512&lt;&gt;"",J512&lt;=8))+--(AND(K512&lt;&gt;"",K512&lt;=8))+--(AND(L512&lt;&gt;"",L512&lt;=8))+--(AND(M512&lt;&gt;"",M512&lt;=8))+--(AND(N512&lt;&gt;"",N512&lt;=8))+--(AND(O512&lt;&gt;"",O512&lt;=8)))</f>
        <v/>
      </c>
    </row>
    <row r="513" customFormat="false" ht="15" hidden="false" customHeight="false" outlineLevel="0" collapsed="false">
      <c r="AZ513" s="5" t="str">
        <f aca="false">IF($B513="","",SUMPRODUCT(($AL513:$AO513&lt;&gt;"")*(COUNTIF($AP513:$AX513,$AL513:$AO513)&gt;0)))</f>
        <v/>
      </c>
      <c r="BA513" s="5" t="str">
        <f aca="false">IF($B513="","",IF(AZ513&gt;0,1,0))</f>
        <v/>
      </c>
      <c r="BB513" s="5" t="str">
        <f aca="false">IF($AP513="","",IF((($AP513="Engineering and Technology")+($AP513="Science and Mathematics")+($AP513="Computer Science, IT and Allied Fields")+($AP513="Life Sciences /Medicine and Healthcare")+($AP513="Paramedical")+($AP513="Architecture")+($AP513="Environmental Service")+($AP513="Agriculture, Food Industry and Forestry"))&gt;0,"Science",IF((($AP513="Banking and Finance")+($AP513="Management and Administration")+($AP513="Marketing")+($AP513="Sales")+($AP513="Entrepreneurship")+($AP513="Hospitality and Tourism"))&gt;0,"Commerce",IF((($AP513="Social Sciences and Humanities")+($AP513="Law Studies")+($AP513="Education and Training")+($AP513="Art, Design")+($AP513="Entertainment and Mass Media")+($AP513="Community and Social Service")+($AP513="Personal Care and Services")+($AP513="Government and Public Administration")+($AP513="Defence/ Protective Service")+($AP513="Sports"))&gt;0,"Arts / Humanities",""))))</f>
        <v/>
      </c>
      <c r="BC513" s="5" t="str">
        <f aca="false">IF($AL513="","",IF((($AL513="Engineering and Technology")+($AL513="Science and Mathematics")+($AL513="Computer Science, IT and Allied Fields")+($AL513="Life Sciences /Medicine and Healthcare")+($AL513="Paramedical")+($AL513="Architecture")+($AL513="Environmental Service")+($AL513="Agriculture, Food Industry and Forestry"))&gt;0,"Science",IF((($AL513="Banking and Finance")+($AL513="Management and Administration")+($AL513="Marketing")+($AL513="Sales")+($AL513="Entrepreneurship")+($AL513="Hospitality and Tourism"))&gt;0,"Commerce",IF((($AL513="Social Sciences and Humanities")+($AL513="Law Studies")+($AL513="Education and Training")+($AL513="Art, Design")+($AL513="Entertainment and Mass Media")+($AL513="Community and Social Service")+($AL513="Personal Care and Services")+($AL513="Government and Public Administration")+($AL513="Defence/ Protective Service")+($AL513="Sports"))&gt;0,"Arts / Humanities",""))))</f>
        <v/>
      </c>
      <c r="BD513" s="5" t="str">
        <f aca="false">IF($B513="","",--(F513&gt;=10)+--(G513&gt;=10)+--(H513&gt;=10)+--(I513&gt;=10)+--(J513&gt;=10)+--(K513&gt;=10)+--(L513&gt;=10)+--(M513&gt;=10)+--(N513&gt;=10)+--(O513&gt;=10))</f>
        <v/>
      </c>
      <c r="BE513" s="5" t="str">
        <f aca="false">IF($B513="","",--(AND(F513&lt;&gt;"",F513&lt;=8))+--(AND(G513&lt;&gt;"",G513&lt;=8))+--(AND(H513&lt;&gt;"",H513&lt;=8))+--(AND(I513&lt;&gt;"",I513&lt;=8))+--(AND(J513&lt;&gt;"",J513&lt;=8))+--(AND(K513&lt;&gt;"",K513&lt;=8))+--(AND(L513&lt;&gt;"",L513&lt;=8))+--(AND(M513&lt;&gt;"",M513&lt;=8))+--(AND(N513&lt;&gt;"",N513&lt;=8))+--(AND(O513&lt;&gt;"",O513&lt;=8)))</f>
        <v/>
      </c>
    </row>
    <row r="514" customFormat="false" ht="15" hidden="false" customHeight="false" outlineLevel="0" collapsed="false">
      <c r="AZ514" s="5" t="str">
        <f aca="false">IF($B514="","",SUMPRODUCT(($AL514:$AO514&lt;&gt;"")*(COUNTIF($AP514:$AX514,$AL514:$AO514)&gt;0)))</f>
        <v/>
      </c>
      <c r="BA514" s="5" t="str">
        <f aca="false">IF($B514="","",IF(AZ514&gt;0,1,0))</f>
        <v/>
      </c>
      <c r="BB514" s="5" t="str">
        <f aca="false">IF($AP514="","",IF((($AP514="Engineering and Technology")+($AP514="Science and Mathematics")+($AP514="Computer Science, IT and Allied Fields")+($AP514="Life Sciences /Medicine and Healthcare")+($AP514="Paramedical")+($AP514="Architecture")+($AP514="Environmental Service")+($AP514="Agriculture, Food Industry and Forestry"))&gt;0,"Science",IF((($AP514="Banking and Finance")+($AP514="Management and Administration")+($AP514="Marketing")+($AP514="Sales")+($AP514="Entrepreneurship")+($AP514="Hospitality and Tourism"))&gt;0,"Commerce",IF((($AP514="Social Sciences and Humanities")+($AP514="Law Studies")+($AP514="Education and Training")+($AP514="Art, Design")+($AP514="Entertainment and Mass Media")+($AP514="Community and Social Service")+($AP514="Personal Care and Services")+($AP514="Government and Public Administration")+($AP514="Defence/ Protective Service")+($AP514="Sports"))&gt;0,"Arts / Humanities",""))))</f>
        <v/>
      </c>
      <c r="BC514" s="5" t="str">
        <f aca="false">IF($AL514="","",IF((($AL514="Engineering and Technology")+($AL514="Science and Mathematics")+($AL514="Computer Science, IT and Allied Fields")+($AL514="Life Sciences /Medicine and Healthcare")+($AL514="Paramedical")+($AL514="Architecture")+($AL514="Environmental Service")+($AL514="Agriculture, Food Industry and Forestry"))&gt;0,"Science",IF((($AL514="Banking and Finance")+($AL514="Management and Administration")+($AL514="Marketing")+($AL514="Sales")+($AL514="Entrepreneurship")+($AL514="Hospitality and Tourism"))&gt;0,"Commerce",IF((($AL514="Social Sciences and Humanities")+($AL514="Law Studies")+($AL514="Education and Training")+($AL514="Art, Design")+($AL514="Entertainment and Mass Media")+($AL514="Community and Social Service")+($AL514="Personal Care and Services")+($AL514="Government and Public Administration")+($AL514="Defence/ Protective Service")+($AL514="Sports"))&gt;0,"Arts / Humanities",""))))</f>
        <v/>
      </c>
      <c r="BD514" s="5" t="str">
        <f aca="false">IF($B514="","",--(F514&gt;=10)+--(G514&gt;=10)+--(H514&gt;=10)+--(I514&gt;=10)+--(J514&gt;=10)+--(K514&gt;=10)+--(L514&gt;=10)+--(M514&gt;=10)+--(N514&gt;=10)+--(O514&gt;=10))</f>
        <v/>
      </c>
      <c r="BE514" s="5" t="str">
        <f aca="false">IF($B514="","",--(AND(F514&lt;&gt;"",F514&lt;=8))+--(AND(G514&lt;&gt;"",G514&lt;=8))+--(AND(H514&lt;&gt;"",H514&lt;=8))+--(AND(I514&lt;&gt;"",I514&lt;=8))+--(AND(J514&lt;&gt;"",J514&lt;=8))+--(AND(K514&lt;&gt;"",K514&lt;=8))+--(AND(L514&lt;&gt;"",L514&lt;=8))+--(AND(M514&lt;&gt;"",M514&lt;=8))+--(AND(N514&lt;&gt;"",N514&lt;=8))+--(AND(O514&lt;&gt;"",O514&lt;=8)))</f>
        <v/>
      </c>
    </row>
    <row r="515" customFormat="false" ht="15" hidden="false" customHeight="false" outlineLevel="0" collapsed="false">
      <c r="AZ515" s="5" t="str">
        <f aca="false">IF($B515="","",SUMPRODUCT(($AL515:$AO515&lt;&gt;"")*(COUNTIF($AP515:$AX515,$AL515:$AO515)&gt;0)))</f>
        <v/>
      </c>
      <c r="BA515" s="5" t="str">
        <f aca="false">IF($B515="","",IF(AZ515&gt;0,1,0))</f>
        <v/>
      </c>
      <c r="BB515" s="5" t="str">
        <f aca="false">IF($AP515="","",IF((($AP515="Engineering and Technology")+($AP515="Science and Mathematics")+($AP515="Computer Science, IT and Allied Fields")+($AP515="Life Sciences /Medicine and Healthcare")+($AP515="Paramedical")+($AP515="Architecture")+($AP515="Environmental Service")+($AP515="Agriculture, Food Industry and Forestry"))&gt;0,"Science",IF((($AP515="Banking and Finance")+($AP515="Management and Administration")+($AP515="Marketing")+($AP515="Sales")+($AP515="Entrepreneurship")+($AP515="Hospitality and Tourism"))&gt;0,"Commerce",IF((($AP515="Social Sciences and Humanities")+($AP515="Law Studies")+($AP515="Education and Training")+($AP515="Art, Design")+($AP515="Entertainment and Mass Media")+($AP515="Community and Social Service")+($AP515="Personal Care and Services")+($AP515="Government and Public Administration")+($AP515="Defence/ Protective Service")+($AP515="Sports"))&gt;0,"Arts / Humanities",""))))</f>
        <v/>
      </c>
      <c r="BC515" s="5" t="str">
        <f aca="false">IF($AL515="","",IF((($AL515="Engineering and Technology")+($AL515="Science and Mathematics")+($AL515="Computer Science, IT and Allied Fields")+($AL515="Life Sciences /Medicine and Healthcare")+($AL515="Paramedical")+($AL515="Architecture")+($AL515="Environmental Service")+($AL515="Agriculture, Food Industry and Forestry"))&gt;0,"Science",IF((($AL515="Banking and Finance")+($AL515="Management and Administration")+($AL515="Marketing")+($AL515="Sales")+($AL515="Entrepreneurship")+($AL515="Hospitality and Tourism"))&gt;0,"Commerce",IF((($AL515="Social Sciences and Humanities")+($AL515="Law Studies")+($AL515="Education and Training")+($AL515="Art, Design")+($AL515="Entertainment and Mass Media")+($AL515="Community and Social Service")+($AL515="Personal Care and Services")+($AL515="Government and Public Administration")+($AL515="Defence/ Protective Service")+($AL515="Sports"))&gt;0,"Arts / Humanities",""))))</f>
        <v/>
      </c>
      <c r="BD515" s="5" t="str">
        <f aca="false">IF($B515="","",--(F515&gt;=10)+--(G515&gt;=10)+--(H515&gt;=10)+--(I515&gt;=10)+--(J515&gt;=10)+--(K515&gt;=10)+--(L515&gt;=10)+--(M515&gt;=10)+--(N515&gt;=10)+--(O515&gt;=10))</f>
        <v/>
      </c>
      <c r="BE515" s="5" t="str">
        <f aca="false">IF($B515="","",--(AND(F515&lt;&gt;"",F515&lt;=8))+--(AND(G515&lt;&gt;"",G515&lt;=8))+--(AND(H515&lt;&gt;"",H515&lt;=8))+--(AND(I515&lt;&gt;"",I515&lt;=8))+--(AND(J515&lt;&gt;"",J515&lt;=8))+--(AND(K515&lt;&gt;"",K515&lt;=8))+--(AND(L515&lt;&gt;"",L515&lt;=8))+--(AND(M515&lt;&gt;"",M515&lt;=8))+--(AND(N515&lt;&gt;"",N515&lt;=8))+--(AND(O515&lt;&gt;"",O515&lt;=8)))</f>
        <v/>
      </c>
    </row>
    <row r="516" customFormat="false" ht="15" hidden="false" customHeight="false" outlineLevel="0" collapsed="false">
      <c r="AZ516" s="5" t="str">
        <f aca="false">IF($B516="","",SUMPRODUCT(($AL516:$AO516&lt;&gt;"")*(COUNTIF($AP516:$AX516,$AL516:$AO516)&gt;0)))</f>
        <v/>
      </c>
      <c r="BA516" s="5" t="str">
        <f aca="false">IF($B516="","",IF(AZ516&gt;0,1,0))</f>
        <v/>
      </c>
      <c r="BB516" s="5" t="str">
        <f aca="false">IF($AP516="","",IF((($AP516="Engineering and Technology")+($AP516="Science and Mathematics")+($AP516="Computer Science, IT and Allied Fields")+($AP516="Life Sciences /Medicine and Healthcare")+($AP516="Paramedical")+($AP516="Architecture")+($AP516="Environmental Service")+($AP516="Agriculture, Food Industry and Forestry"))&gt;0,"Science",IF((($AP516="Banking and Finance")+($AP516="Management and Administration")+($AP516="Marketing")+($AP516="Sales")+($AP516="Entrepreneurship")+($AP516="Hospitality and Tourism"))&gt;0,"Commerce",IF((($AP516="Social Sciences and Humanities")+($AP516="Law Studies")+($AP516="Education and Training")+($AP516="Art, Design")+($AP516="Entertainment and Mass Media")+($AP516="Community and Social Service")+($AP516="Personal Care and Services")+($AP516="Government and Public Administration")+($AP516="Defence/ Protective Service")+($AP516="Sports"))&gt;0,"Arts / Humanities",""))))</f>
        <v/>
      </c>
      <c r="BC516" s="5" t="str">
        <f aca="false">IF($AL516="","",IF((($AL516="Engineering and Technology")+($AL516="Science and Mathematics")+($AL516="Computer Science, IT and Allied Fields")+($AL516="Life Sciences /Medicine and Healthcare")+($AL516="Paramedical")+($AL516="Architecture")+($AL516="Environmental Service")+($AL516="Agriculture, Food Industry and Forestry"))&gt;0,"Science",IF((($AL516="Banking and Finance")+($AL516="Management and Administration")+($AL516="Marketing")+($AL516="Sales")+($AL516="Entrepreneurship")+($AL516="Hospitality and Tourism"))&gt;0,"Commerce",IF((($AL516="Social Sciences and Humanities")+($AL516="Law Studies")+($AL516="Education and Training")+($AL516="Art, Design")+($AL516="Entertainment and Mass Media")+($AL516="Community and Social Service")+($AL516="Personal Care and Services")+($AL516="Government and Public Administration")+($AL516="Defence/ Protective Service")+($AL516="Sports"))&gt;0,"Arts / Humanities",""))))</f>
        <v/>
      </c>
      <c r="BD516" s="5" t="str">
        <f aca="false">IF($B516="","",--(F516&gt;=10)+--(G516&gt;=10)+--(H516&gt;=10)+--(I516&gt;=10)+--(J516&gt;=10)+--(K516&gt;=10)+--(L516&gt;=10)+--(M516&gt;=10)+--(N516&gt;=10)+--(O516&gt;=10))</f>
        <v/>
      </c>
      <c r="BE516" s="5" t="str">
        <f aca="false">IF($B516="","",--(AND(F516&lt;&gt;"",F516&lt;=8))+--(AND(G516&lt;&gt;"",G516&lt;=8))+--(AND(H516&lt;&gt;"",H516&lt;=8))+--(AND(I516&lt;&gt;"",I516&lt;=8))+--(AND(J516&lt;&gt;"",J516&lt;=8))+--(AND(K516&lt;&gt;"",K516&lt;=8))+--(AND(L516&lt;&gt;"",L516&lt;=8))+--(AND(M516&lt;&gt;"",M516&lt;=8))+--(AND(N516&lt;&gt;"",N516&lt;=8))+--(AND(O516&lt;&gt;"",O516&lt;=8)))</f>
        <v/>
      </c>
    </row>
    <row r="517" customFormat="false" ht="15" hidden="false" customHeight="false" outlineLevel="0" collapsed="false">
      <c r="AZ517" s="5" t="str">
        <f aca="false">IF($B517="","",SUMPRODUCT(($AL517:$AO517&lt;&gt;"")*(COUNTIF($AP517:$AX517,$AL517:$AO517)&gt;0)))</f>
        <v/>
      </c>
      <c r="BA517" s="5" t="str">
        <f aca="false">IF($B517="","",IF(AZ517&gt;0,1,0))</f>
        <v/>
      </c>
      <c r="BB517" s="5" t="str">
        <f aca="false">IF($AP517="","",IF((($AP517="Engineering and Technology")+($AP517="Science and Mathematics")+($AP517="Computer Science, IT and Allied Fields")+($AP517="Life Sciences /Medicine and Healthcare")+($AP517="Paramedical")+($AP517="Architecture")+($AP517="Environmental Service")+($AP517="Agriculture, Food Industry and Forestry"))&gt;0,"Science",IF((($AP517="Banking and Finance")+($AP517="Management and Administration")+($AP517="Marketing")+($AP517="Sales")+($AP517="Entrepreneurship")+($AP517="Hospitality and Tourism"))&gt;0,"Commerce",IF((($AP517="Social Sciences and Humanities")+($AP517="Law Studies")+($AP517="Education and Training")+($AP517="Art, Design")+($AP517="Entertainment and Mass Media")+($AP517="Community and Social Service")+($AP517="Personal Care and Services")+($AP517="Government and Public Administration")+($AP517="Defence/ Protective Service")+($AP517="Sports"))&gt;0,"Arts / Humanities",""))))</f>
        <v/>
      </c>
      <c r="BC517" s="5" t="str">
        <f aca="false">IF($AL517="","",IF((($AL517="Engineering and Technology")+($AL517="Science and Mathematics")+($AL517="Computer Science, IT and Allied Fields")+($AL517="Life Sciences /Medicine and Healthcare")+($AL517="Paramedical")+($AL517="Architecture")+($AL517="Environmental Service")+($AL517="Agriculture, Food Industry and Forestry"))&gt;0,"Science",IF((($AL517="Banking and Finance")+($AL517="Management and Administration")+($AL517="Marketing")+($AL517="Sales")+($AL517="Entrepreneurship")+($AL517="Hospitality and Tourism"))&gt;0,"Commerce",IF((($AL517="Social Sciences and Humanities")+($AL517="Law Studies")+($AL517="Education and Training")+($AL517="Art, Design")+($AL517="Entertainment and Mass Media")+($AL517="Community and Social Service")+($AL517="Personal Care and Services")+($AL517="Government and Public Administration")+($AL517="Defence/ Protective Service")+($AL517="Sports"))&gt;0,"Arts / Humanities",""))))</f>
        <v/>
      </c>
      <c r="BD517" s="5" t="str">
        <f aca="false">IF($B517="","",--(F517&gt;=10)+--(G517&gt;=10)+--(H517&gt;=10)+--(I517&gt;=10)+--(J517&gt;=10)+--(K517&gt;=10)+--(L517&gt;=10)+--(M517&gt;=10)+--(N517&gt;=10)+--(O517&gt;=10))</f>
        <v/>
      </c>
      <c r="BE517" s="5" t="str">
        <f aca="false">IF($B517="","",--(AND(F517&lt;&gt;"",F517&lt;=8))+--(AND(G517&lt;&gt;"",G517&lt;=8))+--(AND(H517&lt;&gt;"",H517&lt;=8))+--(AND(I517&lt;&gt;"",I517&lt;=8))+--(AND(J517&lt;&gt;"",J517&lt;=8))+--(AND(K517&lt;&gt;"",K517&lt;=8))+--(AND(L517&lt;&gt;"",L517&lt;=8))+--(AND(M517&lt;&gt;"",M517&lt;=8))+--(AND(N517&lt;&gt;"",N517&lt;=8))+--(AND(O517&lt;&gt;"",O517&lt;=8)))</f>
        <v/>
      </c>
    </row>
    <row r="518" customFormat="false" ht="15" hidden="false" customHeight="false" outlineLevel="0" collapsed="false">
      <c r="AZ518" s="5" t="str">
        <f aca="false">IF($B518="","",SUMPRODUCT(($AL518:$AO518&lt;&gt;"")*(COUNTIF($AP518:$AX518,$AL518:$AO518)&gt;0)))</f>
        <v/>
      </c>
      <c r="BA518" s="5" t="str">
        <f aca="false">IF($B518="","",IF(AZ518&gt;0,1,0))</f>
        <v/>
      </c>
      <c r="BB518" s="5" t="str">
        <f aca="false">IF($AP518="","",IF((($AP518="Engineering and Technology")+($AP518="Science and Mathematics")+($AP518="Computer Science, IT and Allied Fields")+($AP518="Life Sciences /Medicine and Healthcare")+($AP518="Paramedical")+($AP518="Architecture")+($AP518="Environmental Service")+($AP518="Agriculture, Food Industry and Forestry"))&gt;0,"Science",IF((($AP518="Banking and Finance")+($AP518="Management and Administration")+($AP518="Marketing")+($AP518="Sales")+($AP518="Entrepreneurship")+($AP518="Hospitality and Tourism"))&gt;0,"Commerce",IF((($AP518="Social Sciences and Humanities")+($AP518="Law Studies")+($AP518="Education and Training")+($AP518="Art, Design")+($AP518="Entertainment and Mass Media")+($AP518="Community and Social Service")+($AP518="Personal Care and Services")+($AP518="Government and Public Administration")+($AP518="Defence/ Protective Service")+($AP518="Sports"))&gt;0,"Arts / Humanities",""))))</f>
        <v/>
      </c>
      <c r="BC518" s="5" t="str">
        <f aca="false">IF($AL518="","",IF((($AL518="Engineering and Technology")+($AL518="Science and Mathematics")+($AL518="Computer Science, IT and Allied Fields")+($AL518="Life Sciences /Medicine and Healthcare")+($AL518="Paramedical")+($AL518="Architecture")+($AL518="Environmental Service")+($AL518="Agriculture, Food Industry and Forestry"))&gt;0,"Science",IF((($AL518="Banking and Finance")+($AL518="Management and Administration")+($AL518="Marketing")+($AL518="Sales")+($AL518="Entrepreneurship")+($AL518="Hospitality and Tourism"))&gt;0,"Commerce",IF((($AL518="Social Sciences and Humanities")+($AL518="Law Studies")+($AL518="Education and Training")+($AL518="Art, Design")+($AL518="Entertainment and Mass Media")+($AL518="Community and Social Service")+($AL518="Personal Care and Services")+($AL518="Government and Public Administration")+($AL518="Defence/ Protective Service")+($AL518="Sports"))&gt;0,"Arts / Humanities",""))))</f>
        <v/>
      </c>
      <c r="BD518" s="5" t="str">
        <f aca="false">IF($B518="","",--(F518&gt;=10)+--(G518&gt;=10)+--(H518&gt;=10)+--(I518&gt;=10)+--(J518&gt;=10)+--(K518&gt;=10)+--(L518&gt;=10)+--(M518&gt;=10)+--(N518&gt;=10)+--(O518&gt;=10))</f>
        <v/>
      </c>
      <c r="BE518" s="5" t="str">
        <f aca="false">IF($B518="","",--(AND(F518&lt;&gt;"",F518&lt;=8))+--(AND(G518&lt;&gt;"",G518&lt;=8))+--(AND(H518&lt;&gt;"",H518&lt;=8))+--(AND(I518&lt;&gt;"",I518&lt;=8))+--(AND(J518&lt;&gt;"",J518&lt;=8))+--(AND(K518&lt;&gt;"",K518&lt;=8))+--(AND(L518&lt;&gt;"",L518&lt;=8))+--(AND(M518&lt;&gt;"",M518&lt;=8))+--(AND(N518&lt;&gt;"",N518&lt;=8))+--(AND(O518&lt;&gt;"",O518&lt;=8)))</f>
        <v/>
      </c>
    </row>
    <row r="519" customFormat="false" ht="15" hidden="false" customHeight="false" outlineLevel="0" collapsed="false">
      <c r="AZ519" s="5" t="str">
        <f aca="false">IF($B519="","",SUMPRODUCT(($AL519:$AO519&lt;&gt;"")*(COUNTIF($AP519:$AX519,$AL519:$AO519)&gt;0)))</f>
        <v/>
      </c>
      <c r="BA519" s="5" t="str">
        <f aca="false">IF($B519="","",IF(AZ519&gt;0,1,0))</f>
        <v/>
      </c>
      <c r="BB519" s="5" t="str">
        <f aca="false">IF($AP519="","",IF((($AP519="Engineering and Technology")+($AP519="Science and Mathematics")+($AP519="Computer Science, IT and Allied Fields")+($AP519="Life Sciences /Medicine and Healthcare")+($AP519="Paramedical")+($AP519="Architecture")+($AP519="Environmental Service")+($AP519="Agriculture, Food Industry and Forestry"))&gt;0,"Science",IF((($AP519="Banking and Finance")+($AP519="Management and Administration")+($AP519="Marketing")+($AP519="Sales")+($AP519="Entrepreneurship")+($AP519="Hospitality and Tourism"))&gt;0,"Commerce",IF((($AP519="Social Sciences and Humanities")+($AP519="Law Studies")+($AP519="Education and Training")+($AP519="Art, Design")+($AP519="Entertainment and Mass Media")+($AP519="Community and Social Service")+($AP519="Personal Care and Services")+($AP519="Government and Public Administration")+($AP519="Defence/ Protective Service")+($AP519="Sports"))&gt;0,"Arts / Humanities",""))))</f>
        <v/>
      </c>
      <c r="BC519" s="5" t="str">
        <f aca="false">IF($AL519="","",IF((($AL519="Engineering and Technology")+($AL519="Science and Mathematics")+($AL519="Computer Science, IT and Allied Fields")+($AL519="Life Sciences /Medicine and Healthcare")+($AL519="Paramedical")+($AL519="Architecture")+($AL519="Environmental Service")+($AL519="Agriculture, Food Industry and Forestry"))&gt;0,"Science",IF((($AL519="Banking and Finance")+($AL519="Management and Administration")+($AL519="Marketing")+($AL519="Sales")+($AL519="Entrepreneurship")+($AL519="Hospitality and Tourism"))&gt;0,"Commerce",IF((($AL519="Social Sciences and Humanities")+($AL519="Law Studies")+($AL519="Education and Training")+($AL519="Art, Design")+($AL519="Entertainment and Mass Media")+($AL519="Community and Social Service")+($AL519="Personal Care and Services")+($AL519="Government and Public Administration")+($AL519="Defence/ Protective Service")+($AL519="Sports"))&gt;0,"Arts / Humanities",""))))</f>
        <v/>
      </c>
      <c r="BD519" s="5" t="str">
        <f aca="false">IF($B519="","",--(F519&gt;=10)+--(G519&gt;=10)+--(H519&gt;=10)+--(I519&gt;=10)+--(J519&gt;=10)+--(K519&gt;=10)+--(L519&gt;=10)+--(M519&gt;=10)+--(N519&gt;=10)+--(O519&gt;=10))</f>
        <v/>
      </c>
      <c r="BE519" s="5" t="str">
        <f aca="false">IF($B519="","",--(AND(F519&lt;&gt;"",F519&lt;=8))+--(AND(G519&lt;&gt;"",G519&lt;=8))+--(AND(H519&lt;&gt;"",H519&lt;=8))+--(AND(I519&lt;&gt;"",I519&lt;=8))+--(AND(J519&lt;&gt;"",J519&lt;=8))+--(AND(K519&lt;&gt;"",K519&lt;=8))+--(AND(L519&lt;&gt;"",L519&lt;=8))+--(AND(M519&lt;&gt;"",M519&lt;=8))+--(AND(N519&lt;&gt;"",N519&lt;=8))+--(AND(O519&lt;&gt;"",O519&lt;=8)))</f>
        <v/>
      </c>
    </row>
    <row r="520" customFormat="false" ht="15" hidden="false" customHeight="false" outlineLevel="0" collapsed="false">
      <c r="AZ520" s="5" t="str">
        <f aca="false">IF($B520="","",SUMPRODUCT(($AL520:$AO520&lt;&gt;"")*(COUNTIF($AP520:$AX520,$AL520:$AO520)&gt;0)))</f>
        <v/>
      </c>
      <c r="BA520" s="5" t="str">
        <f aca="false">IF($B520="","",IF(AZ520&gt;0,1,0))</f>
        <v/>
      </c>
      <c r="BB520" s="5" t="str">
        <f aca="false">IF($AP520="","",IF((($AP520="Engineering and Technology")+($AP520="Science and Mathematics")+($AP520="Computer Science, IT and Allied Fields")+($AP520="Life Sciences /Medicine and Healthcare")+($AP520="Paramedical")+($AP520="Architecture")+($AP520="Environmental Service")+($AP520="Agriculture, Food Industry and Forestry"))&gt;0,"Science",IF((($AP520="Banking and Finance")+($AP520="Management and Administration")+($AP520="Marketing")+($AP520="Sales")+($AP520="Entrepreneurship")+($AP520="Hospitality and Tourism"))&gt;0,"Commerce",IF((($AP520="Social Sciences and Humanities")+($AP520="Law Studies")+($AP520="Education and Training")+($AP520="Art, Design")+($AP520="Entertainment and Mass Media")+($AP520="Community and Social Service")+($AP520="Personal Care and Services")+($AP520="Government and Public Administration")+($AP520="Defence/ Protective Service")+($AP520="Sports"))&gt;0,"Arts / Humanities",""))))</f>
        <v/>
      </c>
      <c r="BC520" s="5" t="str">
        <f aca="false">IF($AL520="","",IF((($AL520="Engineering and Technology")+($AL520="Science and Mathematics")+($AL520="Computer Science, IT and Allied Fields")+($AL520="Life Sciences /Medicine and Healthcare")+($AL520="Paramedical")+($AL520="Architecture")+($AL520="Environmental Service")+($AL520="Agriculture, Food Industry and Forestry"))&gt;0,"Science",IF((($AL520="Banking and Finance")+($AL520="Management and Administration")+($AL520="Marketing")+($AL520="Sales")+($AL520="Entrepreneurship")+($AL520="Hospitality and Tourism"))&gt;0,"Commerce",IF((($AL520="Social Sciences and Humanities")+($AL520="Law Studies")+($AL520="Education and Training")+($AL520="Art, Design")+($AL520="Entertainment and Mass Media")+($AL520="Community and Social Service")+($AL520="Personal Care and Services")+($AL520="Government and Public Administration")+($AL520="Defence/ Protective Service")+($AL520="Sports"))&gt;0,"Arts / Humanities",""))))</f>
        <v/>
      </c>
      <c r="BD520" s="5" t="str">
        <f aca="false">IF($B520="","",--(F520&gt;=10)+--(G520&gt;=10)+--(H520&gt;=10)+--(I520&gt;=10)+--(J520&gt;=10)+--(K520&gt;=10)+--(L520&gt;=10)+--(M520&gt;=10)+--(N520&gt;=10)+--(O520&gt;=10))</f>
        <v/>
      </c>
      <c r="BE520" s="5" t="str">
        <f aca="false">IF($B520="","",--(AND(F520&lt;&gt;"",F520&lt;=8))+--(AND(G520&lt;&gt;"",G520&lt;=8))+--(AND(H520&lt;&gt;"",H520&lt;=8))+--(AND(I520&lt;&gt;"",I520&lt;=8))+--(AND(J520&lt;&gt;"",J520&lt;=8))+--(AND(K520&lt;&gt;"",K520&lt;=8))+--(AND(L520&lt;&gt;"",L520&lt;=8))+--(AND(M520&lt;&gt;"",M520&lt;=8))+--(AND(N520&lt;&gt;"",N520&lt;=8))+--(AND(O520&lt;&gt;"",O520&lt;=8)))</f>
        <v/>
      </c>
    </row>
    <row r="521" customFormat="false" ht="15" hidden="false" customHeight="false" outlineLevel="0" collapsed="false">
      <c r="AZ521" s="5" t="str">
        <f aca="false">IF($B521="","",SUMPRODUCT(($AL521:$AO521&lt;&gt;"")*(COUNTIF($AP521:$AX521,$AL521:$AO521)&gt;0)))</f>
        <v/>
      </c>
      <c r="BA521" s="5" t="str">
        <f aca="false">IF($B521="","",IF(AZ521&gt;0,1,0))</f>
        <v/>
      </c>
      <c r="BB521" s="5" t="str">
        <f aca="false">IF($AP521="","",IF((($AP521="Engineering and Technology")+($AP521="Science and Mathematics")+($AP521="Computer Science, IT and Allied Fields")+($AP521="Life Sciences /Medicine and Healthcare")+($AP521="Paramedical")+($AP521="Architecture")+($AP521="Environmental Service")+($AP521="Agriculture, Food Industry and Forestry"))&gt;0,"Science",IF((($AP521="Banking and Finance")+($AP521="Management and Administration")+($AP521="Marketing")+($AP521="Sales")+($AP521="Entrepreneurship")+($AP521="Hospitality and Tourism"))&gt;0,"Commerce",IF((($AP521="Social Sciences and Humanities")+($AP521="Law Studies")+($AP521="Education and Training")+($AP521="Art, Design")+($AP521="Entertainment and Mass Media")+($AP521="Community and Social Service")+($AP521="Personal Care and Services")+($AP521="Government and Public Administration")+($AP521="Defence/ Protective Service")+($AP521="Sports"))&gt;0,"Arts / Humanities",""))))</f>
        <v/>
      </c>
      <c r="BC521" s="5" t="str">
        <f aca="false">IF($AL521="","",IF((($AL521="Engineering and Technology")+($AL521="Science and Mathematics")+($AL521="Computer Science, IT and Allied Fields")+($AL521="Life Sciences /Medicine and Healthcare")+($AL521="Paramedical")+($AL521="Architecture")+($AL521="Environmental Service")+($AL521="Agriculture, Food Industry and Forestry"))&gt;0,"Science",IF((($AL521="Banking and Finance")+($AL521="Management and Administration")+($AL521="Marketing")+($AL521="Sales")+($AL521="Entrepreneurship")+($AL521="Hospitality and Tourism"))&gt;0,"Commerce",IF((($AL521="Social Sciences and Humanities")+($AL521="Law Studies")+($AL521="Education and Training")+($AL521="Art, Design")+($AL521="Entertainment and Mass Media")+($AL521="Community and Social Service")+($AL521="Personal Care and Services")+($AL521="Government and Public Administration")+($AL521="Defence/ Protective Service")+($AL521="Sports"))&gt;0,"Arts / Humanities",""))))</f>
        <v/>
      </c>
      <c r="BD521" s="5" t="str">
        <f aca="false">IF($B521="","",--(F521&gt;=10)+--(G521&gt;=10)+--(H521&gt;=10)+--(I521&gt;=10)+--(J521&gt;=10)+--(K521&gt;=10)+--(L521&gt;=10)+--(M521&gt;=10)+--(N521&gt;=10)+--(O521&gt;=10))</f>
        <v/>
      </c>
      <c r="BE521" s="5" t="str">
        <f aca="false">IF($B521="","",--(AND(F521&lt;&gt;"",F521&lt;=8))+--(AND(G521&lt;&gt;"",G521&lt;=8))+--(AND(H521&lt;&gt;"",H521&lt;=8))+--(AND(I521&lt;&gt;"",I521&lt;=8))+--(AND(J521&lt;&gt;"",J521&lt;=8))+--(AND(K521&lt;&gt;"",K521&lt;=8))+--(AND(L521&lt;&gt;"",L521&lt;=8))+--(AND(M521&lt;&gt;"",M521&lt;=8))+--(AND(N521&lt;&gt;"",N521&lt;=8))+--(AND(O521&lt;&gt;"",O521&lt;=8)))</f>
        <v/>
      </c>
    </row>
    <row r="522" customFormat="false" ht="15" hidden="false" customHeight="false" outlineLevel="0" collapsed="false">
      <c r="AZ522" s="5" t="str">
        <f aca="false">IF($B522="","",SUMPRODUCT(($AL522:$AO522&lt;&gt;"")*(COUNTIF($AP522:$AX522,$AL522:$AO522)&gt;0)))</f>
        <v/>
      </c>
      <c r="BA522" s="5" t="str">
        <f aca="false">IF($B522="","",IF(AZ522&gt;0,1,0))</f>
        <v/>
      </c>
      <c r="BB522" s="5" t="str">
        <f aca="false">IF($AP522="","",IF((($AP522="Engineering and Technology")+($AP522="Science and Mathematics")+($AP522="Computer Science, IT and Allied Fields")+($AP522="Life Sciences /Medicine and Healthcare")+($AP522="Paramedical")+($AP522="Architecture")+($AP522="Environmental Service")+($AP522="Agriculture, Food Industry and Forestry"))&gt;0,"Science",IF((($AP522="Banking and Finance")+($AP522="Management and Administration")+($AP522="Marketing")+($AP522="Sales")+($AP522="Entrepreneurship")+($AP522="Hospitality and Tourism"))&gt;0,"Commerce",IF((($AP522="Social Sciences and Humanities")+($AP522="Law Studies")+($AP522="Education and Training")+($AP522="Art, Design")+($AP522="Entertainment and Mass Media")+($AP522="Community and Social Service")+($AP522="Personal Care and Services")+($AP522="Government and Public Administration")+($AP522="Defence/ Protective Service")+($AP522="Sports"))&gt;0,"Arts / Humanities",""))))</f>
        <v/>
      </c>
      <c r="BC522" s="5" t="str">
        <f aca="false">IF($AL522="","",IF((($AL522="Engineering and Technology")+($AL522="Science and Mathematics")+($AL522="Computer Science, IT and Allied Fields")+($AL522="Life Sciences /Medicine and Healthcare")+($AL522="Paramedical")+($AL522="Architecture")+($AL522="Environmental Service")+($AL522="Agriculture, Food Industry and Forestry"))&gt;0,"Science",IF((($AL522="Banking and Finance")+($AL522="Management and Administration")+($AL522="Marketing")+($AL522="Sales")+($AL522="Entrepreneurship")+($AL522="Hospitality and Tourism"))&gt;0,"Commerce",IF((($AL522="Social Sciences and Humanities")+($AL522="Law Studies")+($AL522="Education and Training")+($AL522="Art, Design")+($AL522="Entertainment and Mass Media")+($AL522="Community and Social Service")+($AL522="Personal Care and Services")+($AL522="Government and Public Administration")+($AL522="Defence/ Protective Service")+($AL522="Sports"))&gt;0,"Arts / Humanities",""))))</f>
        <v/>
      </c>
      <c r="BD522" s="5" t="str">
        <f aca="false">IF($B522="","",--(F522&gt;=10)+--(G522&gt;=10)+--(H522&gt;=10)+--(I522&gt;=10)+--(J522&gt;=10)+--(K522&gt;=10)+--(L522&gt;=10)+--(M522&gt;=10)+--(N522&gt;=10)+--(O522&gt;=10))</f>
        <v/>
      </c>
      <c r="BE522" s="5" t="str">
        <f aca="false">IF($B522="","",--(AND(F522&lt;&gt;"",F522&lt;=8))+--(AND(G522&lt;&gt;"",G522&lt;=8))+--(AND(H522&lt;&gt;"",H522&lt;=8))+--(AND(I522&lt;&gt;"",I522&lt;=8))+--(AND(J522&lt;&gt;"",J522&lt;=8))+--(AND(K522&lt;&gt;"",K522&lt;=8))+--(AND(L522&lt;&gt;"",L522&lt;=8))+--(AND(M522&lt;&gt;"",M522&lt;=8))+--(AND(N522&lt;&gt;"",N522&lt;=8))+--(AND(O522&lt;&gt;"",O522&lt;=8)))</f>
        <v/>
      </c>
    </row>
    <row r="523" customFormat="false" ht="15" hidden="false" customHeight="false" outlineLevel="0" collapsed="false">
      <c r="AZ523" s="5" t="str">
        <f aca="false">IF($B523="","",SUMPRODUCT(($AL523:$AO523&lt;&gt;"")*(COUNTIF($AP523:$AX523,$AL523:$AO523)&gt;0)))</f>
        <v/>
      </c>
      <c r="BA523" s="5" t="str">
        <f aca="false">IF($B523="","",IF(AZ523&gt;0,1,0))</f>
        <v/>
      </c>
      <c r="BB523" s="5" t="str">
        <f aca="false">IF($AP523="","",IF((($AP523="Engineering and Technology")+($AP523="Science and Mathematics")+($AP523="Computer Science, IT and Allied Fields")+($AP523="Life Sciences /Medicine and Healthcare")+($AP523="Paramedical")+($AP523="Architecture")+($AP523="Environmental Service")+($AP523="Agriculture, Food Industry and Forestry"))&gt;0,"Science",IF((($AP523="Banking and Finance")+($AP523="Management and Administration")+($AP523="Marketing")+($AP523="Sales")+($AP523="Entrepreneurship")+($AP523="Hospitality and Tourism"))&gt;0,"Commerce",IF((($AP523="Social Sciences and Humanities")+($AP523="Law Studies")+($AP523="Education and Training")+($AP523="Art, Design")+($AP523="Entertainment and Mass Media")+($AP523="Community and Social Service")+($AP523="Personal Care and Services")+($AP523="Government and Public Administration")+($AP523="Defence/ Protective Service")+($AP523="Sports"))&gt;0,"Arts / Humanities",""))))</f>
        <v/>
      </c>
      <c r="BC523" s="5" t="str">
        <f aca="false">IF($AL523="","",IF((($AL523="Engineering and Technology")+($AL523="Science and Mathematics")+($AL523="Computer Science, IT and Allied Fields")+($AL523="Life Sciences /Medicine and Healthcare")+($AL523="Paramedical")+($AL523="Architecture")+($AL523="Environmental Service")+($AL523="Agriculture, Food Industry and Forestry"))&gt;0,"Science",IF((($AL523="Banking and Finance")+($AL523="Management and Administration")+($AL523="Marketing")+($AL523="Sales")+($AL523="Entrepreneurship")+($AL523="Hospitality and Tourism"))&gt;0,"Commerce",IF((($AL523="Social Sciences and Humanities")+($AL523="Law Studies")+($AL523="Education and Training")+($AL523="Art, Design")+($AL523="Entertainment and Mass Media")+($AL523="Community and Social Service")+($AL523="Personal Care and Services")+($AL523="Government and Public Administration")+($AL523="Defence/ Protective Service")+($AL523="Sports"))&gt;0,"Arts / Humanities",""))))</f>
        <v/>
      </c>
      <c r="BD523" s="5" t="str">
        <f aca="false">IF($B523="","",--(F523&gt;=10)+--(G523&gt;=10)+--(H523&gt;=10)+--(I523&gt;=10)+--(J523&gt;=10)+--(K523&gt;=10)+--(L523&gt;=10)+--(M523&gt;=10)+--(N523&gt;=10)+--(O523&gt;=10))</f>
        <v/>
      </c>
      <c r="BE523" s="5" t="str">
        <f aca="false">IF($B523="","",--(AND(F523&lt;&gt;"",F523&lt;=8))+--(AND(G523&lt;&gt;"",G523&lt;=8))+--(AND(H523&lt;&gt;"",H523&lt;=8))+--(AND(I523&lt;&gt;"",I523&lt;=8))+--(AND(J523&lt;&gt;"",J523&lt;=8))+--(AND(K523&lt;&gt;"",K523&lt;=8))+--(AND(L523&lt;&gt;"",L523&lt;=8))+--(AND(M523&lt;&gt;"",M523&lt;=8))+--(AND(N523&lt;&gt;"",N523&lt;=8))+--(AND(O523&lt;&gt;"",O523&lt;=8)))</f>
        <v/>
      </c>
    </row>
    <row r="524" customFormat="false" ht="15" hidden="false" customHeight="false" outlineLevel="0" collapsed="false">
      <c r="AZ524" s="5" t="str">
        <f aca="false">IF($B524="","",SUMPRODUCT(($AL524:$AO524&lt;&gt;"")*(COUNTIF($AP524:$AX524,$AL524:$AO524)&gt;0)))</f>
        <v/>
      </c>
      <c r="BA524" s="5" t="str">
        <f aca="false">IF($B524="","",IF(AZ524&gt;0,1,0))</f>
        <v/>
      </c>
      <c r="BB524" s="5" t="str">
        <f aca="false">IF($AP524="","",IF((($AP524="Engineering and Technology")+($AP524="Science and Mathematics")+($AP524="Computer Science, IT and Allied Fields")+($AP524="Life Sciences /Medicine and Healthcare")+($AP524="Paramedical")+($AP524="Architecture")+($AP524="Environmental Service")+($AP524="Agriculture, Food Industry and Forestry"))&gt;0,"Science",IF((($AP524="Banking and Finance")+($AP524="Management and Administration")+($AP524="Marketing")+($AP524="Sales")+($AP524="Entrepreneurship")+($AP524="Hospitality and Tourism"))&gt;0,"Commerce",IF((($AP524="Social Sciences and Humanities")+($AP524="Law Studies")+($AP524="Education and Training")+($AP524="Art, Design")+($AP524="Entertainment and Mass Media")+($AP524="Community and Social Service")+($AP524="Personal Care and Services")+($AP524="Government and Public Administration")+($AP524="Defence/ Protective Service")+($AP524="Sports"))&gt;0,"Arts / Humanities",""))))</f>
        <v/>
      </c>
      <c r="BC524" s="5" t="str">
        <f aca="false">IF($AL524="","",IF((($AL524="Engineering and Technology")+($AL524="Science and Mathematics")+($AL524="Computer Science, IT and Allied Fields")+($AL524="Life Sciences /Medicine and Healthcare")+($AL524="Paramedical")+($AL524="Architecture")+($AL524="Environmental Service")+($AL524="Agriculture, Food Industry and Forestry"))&gt;0,"Science",IF((($AL524="Banking and Finance")+($AL524="Management and Administration")+($AL524="Marketing")+($AL524="Sales")+($AL524="Entrepreneurship")+($AL524="Hospitality and Tourism"))&gt;0,"Commerce",IF((($AL524="Social Sciences and Humanities")+($AL524="Law Studies")+($AL524="Education and Training")+($AL524="Art, Design")+($AL524="Entertainment and Mass Media")+($AL524="Community and Social Service")+($AL524="Personal Care and Services")+($AL524="Government and Public Administration")+($AL524="Defence/ Protective Service")+($AL524="Sports"))&gt;0,"Arts / Humanities",""))))</f>
        <v/>
      </c>
      <c r="BD524" s="5" t="str">
        <f aca="false">IF($B524="","",--(F524&gt;=10)+--(G524&gt;=10)+--(H524&gt;=10)+--(I524&gt;=10)+--(J524&gt;=10)+--(K524&gt;=10)+--(L524&gt;=10)+--(M524&gt;=10)+--(N524&gt;=10)+--(O524&gt;=10))</f>
        <v/>
      </c>
      <c r="BE524" s="5" t="str">
        <f aca="false">IF($B524="","",--(AND(F524&lt;&gt;"",F524&lt;=8))+--(AND(G524&lt;&gt;"",G524&lt;=8))+--(AND(H524&lt;&gt;"",H524&lt;=8))+--(AND(I524&lt;&gt;"",I524&lt;=8))+--(AND(J524&lt;&gt;"",J524&lt;=8))+--(AND(K524&lt;&gt;"",K524&lt;=8))+--(AND(L524&lt;&gt;"",L524&lt;=8))+--(AND(M524&lt;&gt;"",M524&lt;=8))+--(AND(N524&lt;&gt;"",N524&lt;=8))+--(AND(O524&lt;&gt;"",O524&lt;=8)))</f>
        <v/>
      </c>
    </row>
    <row r="525" customFormat="false" ht="15" hidden="false" customHeight="false" outlineLevel="0" collapsed="false">
      <c r="AZ525" s="5" t="str">
        <f aca="false">IF($B525="","",SUMPRODUCT(($AL525:$AO525&lt;&gt;"")*(COUNTIF($AP525:$AX525,$AL525:$AO525)&gt;0)))</f>
        <v/>
      </c>
      <c r="BA525" s="5" t="str">
        <f aca="false">IF($B525="","",IF(AZ525&gt;0,1,0))</f>
        <v/>
      </c>
      <c r="BB525" s="5" t="str">
        <f aca="false">IF($AP525="","",IF((($AP525="Engineering and Technology")+($AP525="Science and Mathematics")+($AP525="Computer Science, IT and Allied Fields")+($AP525="Life Sciences /Medicine and Healthcare")+($AP525="Paramedical")+($AP525="Architecture")+($AP525="Environmental Service")+($AP525="Agriculture, Food Industry and Forestry"))&gt;0,"Science",IF((($AP525="Banking and Finance")+($AP525="Management and Administration")+($AP525="Marketing")+($AP525="Sales")+($AP525="Entrepreneurship")+($AP525="Hospitality and Tourism"))&gt;0,"Commerce",IF((($AP525="Social Sciences and Humanities")+($AP525="Law Studies")+($AP525="Education and Training")+($AP525="Art, Design")+($AP525="Entertainment and Mass Media")+($AP525="Community and Social Service")+($AP525="Personal Care and Services")+($AP525="Government and Public Administration")+($AP525="Defence/ Protective Service")+($AP525="Sports"))&gt;0,"Arts / Humanities",""))))</f>
        <v/>
      </c>
      <c r="BC525" s="5" t="str">
        <f aca="false">IF($AL525="","",IF((($AL525="Engineering and Technology")+($AL525="Science and Mathematics")+($AL525="Computer Science, IT and Allied Fields")+($AL525="Life Sciences /Medicine and Healthcare")+($AL525="Paramedical")+($AL525="Architecture")+($AL525="Environmental Service")+($AL525="Agriculture, Food Industry and Forestry"))&gt;0,"Science",IF((($AL525="Banking and Finance")+($AL525="Management and Administration")+($AL525="Marketing")+($AL525="Sales")+($AL525="Entrepreneurship")+($AL525="Hospitality and Tourism"))&gt;0,"Commerce",IF((($AL525="Social Sciences and Humanities")+($AL525="Law Studies")+($AL525="Education and Training")+($AL525="Art, Design")+($AL525="Entertainment and Mass Media")+($AL525="Community and Social Service")+($AL525="Personal Care and Services")+($AL525="Government and Public Administration")+($AL525="Defence/ Protective Service")+($AL525="Sports"))&gt;0,"Arts / Humanities",""))))</f>
        <v/>
      </c>
      <c r="BD525" s="5" t="str">
        <f aca="false">IF($B525="","",--(F525&gt;=10)+--(G525&gt;=10)+--(H525&gt;=10)+--(I525&gt;=10)+--(J525&gt;=10)+--(K525&gt;=10)+--(L525&gt;=10)+--(M525&gt;=10)+--(N525&gt;=10)+--(O525&gt;=10))</f>
        <v/>
      </c>
      <c r="BE525" s="5" t="str">
        <f aca="false">IF($B525="","",--(AND(F525&lt;&gt;"",F525&lt;=8))+--(AND(G525&lt;&gt;"",G525&lt;=8))+--(AND(H525&lt;&gt;"",H525&lt;=8))+--(AND(I525&lt;&gt;"",I525&lt;=8))+--(AND(J525&lt;&gt;"",J525&lt;=8))+--(AND(K525&lt;&gt;"",K525&lt;=8))+--(AND(L525&lt;&gt;"",L525&lt;=8))+--(AND(M525&lt;&gt;"",M525&lt;=8))+--(AND(N525&lt;&gt;"",N525&lt;=8))+--(AND(O525&lt;&gt;"",O525&lt;=8)))</f>
        <v/>
      </c>
    </row>
    <row r="526" customFormat="false" ht="15" hidden="false" customHeight="false" outlineLevel="0" collapsed="false">
      <c r="AZ526" s="5" t="str">
        <f aca="false">IF($B526="","",SUMPRODUCT(($AL526:$AO526&lt;&gt;"")*(COUNTIF($AP526:$AX526,$AL526:$AO526)&gt;0)))</f>
        <v/>
      </c>
      <c r="BA526" s="5" t="str">
        <f aca="false">IF($B526="","",IF(AZ526&gt;0,1,0))</f>
        <v/>
      </c>
      <c r="BB526" s="5" t="str">
        <f aca="false">IF($AP526="","",IF((($AP526="Engineering and Technology")+($AP526="Science and Mathematics")+($AP526="Computer Science, IT and Allied Fields")+($AP526="Life Sciences /Medicine and Healthcare")+($AP526="Paramedical")+($AP526="Architecture")+($AP526="Environmental Service")+($AP526="Agriculture, Food Industry and Forestry"))&gt;0,"Science",IF((($AP526="Banking and Finance")+($AP526="Management and Administration")+($AP526="Marketing")+($AP526="Sales")+($AP526="Entrepreneurship")+($AP526="Hospitality and Tourism"))&gt;0,"Commerce",IF((($AP526="Social Sciences and Humanities")+($AP526="Law Studies")+($AP526="Education and Training")+($AP526="Art, Design")+($AP526="Entertainment and Mass Media")+($AP526="Community and Social Service")+($AP526="Personal Care and Services")+($AP526="Government and Public Administration")+($AP526="Defence/ Protective Service")+($AP526="Sports"))&gt;0,"Arts / Humanities",""))))</f>
        <v/>
      </c>
      <c r="BC526" s="5" t="str">
        <f aca="false">IF($AL526="","",IF((($AL526="Engineering and Technology")+($AL526="Science and Mathematics")+($AL526="Computer Science, IT and Allied Fields")+($AL526="Life Sciences /Medicine and Healthcare")+($AL526="Paramedical")+($AL526="Architecture")+($AL526="Environmental Service")+($AL526="Agriculture, Food Industry and Forestry"))&gt;0,"Science",IF((($AL526="Banking and Finance")+($AL526="Management and Administration")+($AL526="Marketing")+($AL526="Sales")+($AL526="Entrepreneurship")+($AL526="Hospitality and Tourism"))&gt;0,"Commerce",IF((($AL526="Social Sciences and Humanities")+($AL526="Law Studies")+($AL526="Education and Training")+($AL526="Art, Design")+($AL526="Entertainment and Mass Media")+($AL526="Community and Social Service")+($AL526="Personal Care and Services")+($AL526="Government and Public Administration")+($AL526="Defence/ Protective Service")+($AL526="Sports"))&gt;0,"Arts / Humanities",""))))</f>
        <v/>
      </c>
      <c r="BD526" s="5" t="str">
        <f aca="false">IF($B526="","",--(F526&gt;=10)+--(G526&gt;=10)+--(H526&gt;=10)+--(I526&gt;=10)+--(J526&gt;=10)+--(K526&gt;=10)+--(L526&gt;=10)+--(M526&gt;=10)+--(N526&gt;=10)+--(O526&gt;=10))</f>
        <v/>
      </c>
      <c r="BE526" s="5" t="str">
        <f aca="false">IF($B526="","",--(AND(F526&lt;&gt;"",F526&lt;=8))+--(AND(G526&lt;&gt;"",G526&lt;=8))+--(AND(H526&lt;&gt;"",H526&lt;=8))+--(AND(I526&lt;&gt;"",I526&lt;=8))+--(AND(J526&lt;&gt;"",J526&lt;=8))+--(AND(K526&lt;&gt;"",K526&lt;=8))+--(AND(L526&lt;&gt;"",L526&lt;=8))+--(AND(M526&lt;&gt;"",M526&lt;=8))+--(AND(N526&lt;&gt;"",N526&lt;=8))+--(AND(O526&lt;&gt;"",O526&lt;=8)))</f>
        <v/>
      </c>
    </row>
    <row r="527" customFormat="false" ht="15" hidden="false" customHeight="false" outlineLevel="0" collapsed="false">
      <c r="AZ527" s="5" t="str">
        <f aca="false">IF($B527="","",SUMPRODUCT(($AL527:$AO527&lt;&gt;"")*(COUNTIF($AP527:$AX527,$AL527:$AO527)&gt;0)))</f>
        <v/>
      </c>
      <c r="BA527" s="5" t="str">
        <f aca="false">IF($B527="","",IF(AZ527&gt;0,1,0))</f>
        <v/>
      </c>
      <c r="BB527" s="5" t="str">
        <f aca="false">IF($AP527="","",IF((($AP527="Engineering and Technology")+($AP527="Science and Mathematics")+($AP527="Computer Science, IT and Allied Fields")+($AP527="Life Sciences /Medicine and Healthcare")+($AP527="Paramedical")+($AP527="Architecture")+($AP527="Environmental Service")+($AP527="Agriculture, Food Industry and Forestry"))&gt;0,"Science",IF((($AP527="Banking and Finance")+($AP527="Management and Administration")+($AP527="Marketing")+($AP527="Sales")+($AP527="Entrepreneurship")+($AP527="Hospitality and Tourism"))&gt;0,"Commerce",IF((($AP527="Social Sciences and Humanities")+($AP527="Law Studies")+($AP527="Education and Training")+($AP527="Art, Design")+($AP527="Entertainment and Mass Media")+($AP527="Community and Social Service")+($AP527="Personal Care and Services")+($AP527="Government and Public Administration")+($AP527="Defence/ Protective Service")+($AP527="Sports"))&gt;0,"Arts / Humanities",""))))</f>
        <v/>
      </c>
      <c r="BC527" s="5" t="str">
        <f aca="false">IF($AL527="","",IF((($AL527="Engineering and Technology")+($AL527="Science and Mathematics")+($AL527="Computer Science, IT and Allied Fields")+($AL527="Life Sciences /Medicine and Healthcare")+($AL527="Paramedical")+($AL527="Architecture")+($AL527="Environmental Service")+($AL527="Agriculture, Food Industry and Forestry"))&gt;0,"Science",IF((($AL527="Banking and Finance")+($AL527="Management and Administration")+($AL527="Marketing")+($AL527="Sales")+($AL527="Entrepreneurship")+($AL527="Hospitality and Tourism"))&gt;0,"Commerce",IF((($AL527="Social Sciences and Humanities")+($AL527="Law Studies")+($AL527="Education and Training")+($AL527="Art, Design")+($AL527="Entertainment and Mass Media")+($AL527="Community and Social Service")+($AL527="Personal Care and Services")+($AL527="Government and Public Administration")+($AL527="Defence/ Protective Service")+($AL527="Sports"))&gt;0,"Arts / Humanities",""))))</f>
        <v/>
      </c>
      <c r="BD527" s="5" t="str">
        <f aca="false">IF($B527="","",--(F527&gt;=10)+--(G527&gt;=10)+--(H527&gt;=10)+--(I527&gt;=10)+--(J527&gt;=10)+--(K527&gt;=10)+--(L527&gt;=10)+--(M527&gt;=10)+--(N527&gt;=10)+--(O527&gt;=10))</f>
        <v/>
      </c>
      <c r="BE527" s="5" t="str">
        <f aca="false">IF($B527="","",--(AND(F527&lt;&gt;"",F527&lt;=8))+--(AND(G527&lt;&gt;"",G527&lt;=8))+--(AND(H527&lt;&gt;"",H527&lt;=8))+--(AND(I527&lt;&gt;"",I527&lt;=8))+--(AND(J527&lt;&gt;"",J527&lt;=8))+--(AND(K527&lt;&gt;"",K527&lt;=8))+--(AND(L527&lt;&gt;"",L527&lt;=8))+--(AND(M527&lt;&gt;"",M527&lt;=8))+--(AND(N527&lt;&gt;"",N527&lt;=8))+--(AND(O527&lt;&gt;"",O527&lt;=8)))</f>
        <v/>
      </c>
    </row>
    <row r="528" customFormat="false" ht="15" hidden="false" customHeight="false" outlineLevel="0" collapsed="false">
      <c r="AZ528" s="5" t="str">
        <f aca="false">IF($B528="","",SUMPRODUCT(($AL528:$AO528&lt;&gt;"")*(COUNTIF($AP528:$AX528,$AL528:$AO528)&gt;0)))</f>
        <v/>
      </c>
      <c r="BA528" s="5" t="str">
        <f aca="false">IF($B528="","",IF(AZ528&gt;0,1,0))</f>
        <v/>
      </c>
      <c r="BB528" s="5" t="str">
        <f aca="false">IF($AP528="","",IF((($AP528="Engineering and Technology")+($AP528="Science and Mathematics")+($AP528="Computer Science, IT and Allied Fields")+($AP528="Life Sciences /Medicine and Healthcare")+($AP528="Paramedical")+($AP528="Architecture")+($AP528="Environmental Service")+($AP528="Agriculture, Food Industry and Forestry"))&gt;0,"Science",IF((($AP528="Banking and Finance")+($AP528="Management and Administration")+($AP528="Marketing")+($AP528="Sales")+($AP528="Entrepreneurship")+($AP528="Hospitality and Tourism"))&gt;0,"Commerce",IF((($AP528="Social Sciences and Humanities")+($AP528="Law Studies")+($AP528="Education and Training")+($AP528="Art, Design")+($AP528="Entertainment and Mass Media")+($AP528="Community and Social Service")+($AP528="Personal Care and Services")+($AP528="Government and Public Administration")+($AP528="Defence/ Protective Service")+($AP528="Sports"))&gt;0,"Arts / Humanities",""))))</f>
        <v/>
      </c>
      <c r="BC528" s="5" t="str">
        <f aca="false">IF($AL528="","",IF((($AL528="Engineering and Technology")+($AL528="Science and Mathematics")+($AL528="Computer Science, IT and Allied Fields")+($AL528="Life Sciences /Medicine and Healthcare")+($AL528="Paramedical")+($AL528="Architecture")+($AL528="Environmental Service")+($AL528="Agriculture, Food Industry and Forestry"))&gt;0,"Science",IF((($AL528="Banking and Finance")+($AL528="Management and Administration")+($AL528="Marketing")+($AL528="Sales")+($AL528="Entrepreneurship")+($AL528="Hospitality and Tourism"))&gt;0,"Commerce",IF((($AL528="Social Sciences and Humanities")+($AL528="Law Studies")+($AL528="Education and Training")+($AL528="Art, Design")+($AL528="Entertainment and Mass Media")+($AL528="Community and Social Service")+($AL528="Personal Care and Services")+($AL528="Government and Public Administration")+($AL528="Defence/ Protective Service")+($AL528="Sports"))&gt;0,"Arts / Humanities",""))))</f>
        <v/>
      </c>
      <c r="BD528" s="5" t="str">
        <f aca="false">IF($B528="","",--(F528&gt;=10)+--(G528&gt;=10)+--(H528&gt;=10)+--(I528&gt;=10)+--(J528&gt;=10)+--(K528&gt;=10)+--(L528&gt;=10)+--(M528&gt;=10)+--(N528&gt;=10)+--(O528&gt;=10))</f>
        <v/>
      </c>
      <c r="BE528" s="5" t="str">
        <f aca="false">IF($B528="","",--(AND(F528&lt;&gt;"",F528&lt;=8))+--(AND(G528&lt;&gt;"",G528&lt;=8))+--(AND(H528&lt;&gt;"",H528&lt;=8))+--(AND(I528&lt;&gt;"",I528&lt;=8))+--(AND(J528&lt;&gt;"",J528&lt;=8))+--(AND(K528&lt;&gt;"",K528&lt;=8))+--(AND(L528&lt;&gt;"",L528&lt;=8))+--(AND(M528&lt;&gt;"",M528&lt;=8))+--(AND(N528&lt;&gt;"",N528&lt;=8))+--(AND(O528&lt;&gt;"",O528&lt;=8)))</f>
        <v/>
      </c>
    </row>
    <row r="529" customFormat="false" ht="15" hidden="false" customHeight="false" outlineLevel="0" collapsed="false">
      <c r="AZ529" s="5" t="str">
        <f aca="false">IF($B529="","",SUMPRODUCT(($AL529:$AO529&lt;&gt;"")*(COUNTIF($AP529:$AX529,$AL529:$AO529)&gt;0)))</f>
        <v/>
      </c>
      <c r="BA529" s="5" t="str">
        <f aca="false">IF($B529="","",IF(AZ529&gt;0,1,0))</f>
        <v/>
      </c>
      <c r="BB529" s="5" t="str">
        <f aca="false">IF($AP529="","",IF((($AP529="Engineering and Technology")+($AP529="Science and Mathematics")+($AP529="Computer Science, IT and Allied Fields")+($AP529="Life Sciences /Medicine and Healthcare")+($AP529="Paramedical")+($AP529="Architecture")+($AP529="Environmental Service")+($AP529="Agriculture, Food Industry and Forestry"))&gt;0,"Science",IF((($AP529="Banking and Finance")+($AP529="Management and Administration")+($AP529="Marketing")+($AP529="Sales")+($AP529="Entrepreneurship")+($AP529="Hospitality and Tourism"))&gt;0,"Commerce",IF((($AP529="Social Sciences and Humanities")+($AP529="Law Studies")+($AP529="Education and Training")+($AP529="Art, Design")+($AP529="Entertainment and Mass Media")+($AP529="Community and Social Service")+($AP529="Personal Care and Services")+($AP529="Government and Public Administration")+($AP529="Defence/ Protective Service")+($AP529="Sports"))&gt;0,"Arts / Humanities",""))))</f>
        <v/>
      </c>
      <c r="BC529" s="5" t="str">
        <f aca="false">IF($AL529="","",IF((($AL529="Engineering and Technology")+($AL529="Science and Mathematics")+($AL529="Computer Science, IT and Allied Fields")+($AL529="Life Sciences /Medicine and Healthcare")+($AL529="Paramedical")+($AL529="Architecture")+($AL529="Environmental Service")+($AL529="Agriculture, Food Industry and Forestry"))&gt;0,"Science",IF((($AL529="Banking and Finance")+($AL529="Management and Administration")+($AL529="Marketing")+($AL529="Sales")+($AL529="Entrepreneurship")+($AL529="Hospitality and Tourism"))&gt;0,"Commerce",IF((($AL529="Social Sciences and Humanities")+($AL529="Law Studies")+($AL529="Education and Training")+($AL529="Art, Design")+($AL529="Entertainment and Mass Media")+($AL529="Community and Social Service")+($AL529="Personal Care and Services")+($AL529="Government and Public Administration")+($AL529="Defence/ Protective Service")+($AL529="Sports"))&gt;0,"Arts / Humanities",""))))</f>
        <v/>
      </c>
      <c r="BD529" s="5" t="str">
        <f aca="false">IF($B529="","",--(F529&gt;=10)+--(G529&gt;=10)+--(H529&gt;=10)+--(I529&gt;=10)+--(J529&gt;=10)+--(K529&gt;=10)+--(L529&gt;=10)+--(M529&gt;=10)+--(N529&gt;=10)+--(O529&gt;=10))</f>
        <v/>
      </c>
      <c r="BE529" s="5" t="str">
        <f aca="false">IF($B529="","",--(AND(F529&lt;&gt;"",F529&lt;=8))+--(AND(G529&lt;&gt;"",G529&lt;=8))+--(AND(H529&lt;&gt;"",H529&lt;=8))+--(AND(I529&lt;&gt;"",I529&lt;=8))+--(AND(J529&lt;&gt;"",J529&lt;=8))+--(AND(K529&lt;&gt;"",K529&lt;=8))+--(AND(L529&lt;&gt;"",L529&lt;=8))+--(AND(M529&lt;&gt;"",M529&lt;=8))+--(AND(N529&lt;&gt;"",N529&lt;=8))+--(AND(O529&lt;&gt;"",O529&lt;=8)))</f>
        <v/>
      </c>
    </row>
    <row r="530" customFormat="false" ht="15" hidden="false" customHeight="false" outlineLevel="0" collapsed="false">
      <c r="AZ530" s="5" t="str">
        <f aca="false">IF($B530="","",SUMPRODUCT(($AL530:$AO530&lt;&gt;"")*(COUNTIF($AP530:$AX530,$AL530:$AO530)&gt;0)))</f>
        <v/>
      </c>
      <c r="BA530" s="5" t="str">
        <f aca="false">IF($B530="","",IF(AZ530&gt;0,1,0))</f>
        <v/>
      </c>
      <c r="BB530" s="5" t="str">
        <f aca="false">IF($AP530="","",IF((($AP530="Engineering and Technology")+($AP530="Science and Mathematics")+($AP530="Computer Science, IT and Allied Fields")+($AP530="Life Sciences /Medicine and Healthcare")+($AP530="Paramedical")+($AP530="Architecture")+($AP530="Environmental Service")+($AP530="Agriculture, Food Industry and Forestry"))&gt;0,"Science",IF((($AP530="Banking and Finance")+($AP530="Management and Administration")+($AP530="Marketing")+($AP530="Sales")+($AP530="Entrepreneurship")+($AP530="Hospitality and Tourism"))&gt;0,"Commerce",IF((($AP530="Social Sciences and Humanities")+($AP530="Law Studies")+($AP530="Education and Training")+($AP530="Art, Design")+($AP530="Entertainment and Mass Media")+($AP530="Community and Social Service")+($AP530="Personal Care and Services")+($AP530="Government and Public Administration")+($AP530="Defence/ Protective Service")+($AP530="Sports"))&gt;0,"Arts / Humanities",""))))</f>
        <v/>
      </c>
      <c r="BC530" s="5" t="str">
        <f aca="false">IF($AL530="","",IF((($AL530="Engineering and Technology")+($AL530="Science and Mathematics")+($AL530="Computer Science, IT and Allied Fields")+($AL530="Life Sciences /Medicine and Healthcare")+($AL530="Paramedical")+($AL530="Architecture")+($AL530="Environmental Service")+($AL530="Agriculture, Food Industry and Forestry"))&gt;0,"Science",IF((($AL530="Banking and Finance")+($AL530="Management and Administration")+($AL530="Marketing")+($AL530="Sales")+($AL530="Entrepreneurship")+($AL530="Hospitality and Tourism"))&gt;0,"Commerce",IF((($AL530="Social Sciences and Humanities")+($AL530="Law Studies")+($AL530="Education and Training")+($AL530="Art, Design")+($AL530="Entertainment and Mass Media")+($AL530="Community and Social Service")+($AL530="Personal Care and Services")+($AL530="Government and Public Administration")+($AL530="Defence/ Protective Service")+($AL530="Sports"))&gt;0,"Arts / Humanities",""))))</f>
        <v/>
      </c>
      <c r="BD530" s="5" t="str">
        <f aca="false">IF($B530="","",--(F530&gt;=10)+--(G530&gt;=10)+--(H530&gt;=10)+--(I530&gt;=10)+--(J530&gt;=10)+--(K530&gt;=10)+--(L530&gt;=10)+--(M530&gt;=10)+--(N530&gt;=10)+--(O530&gt;=10))</f>
        <v/>
      </c>
      <c r="BE530" s="5" t="str">
        <f aca="false">IF($B530="","",--(AND(F530&lt;&gt;"",F530&lt;=8))+--(AND(G530&lt;&gt;"",G530&lt;=8))+--(AND(H530&lt;&gt;"",H530&lt;=8))+--(AND(I530&lt;&gt;"",I530&lt;=8))+--(AND(J530&lt;&gt;"",J530&lt;=8))+--(AND(K530&lt;&gt;"",K530&lt;=8))+--(AND(L530&lt;&gt;"",L530&lt;=8))+--(AND(M530&lt;&gt;"",M530&lt;=8))+--(AND(N530&lt;&gt;"",N530&lt;=8))+--(AND(O530&lt;&gt;"",O530&lt;=8)))</f>
        <v/>
      </c>
    </row>
    <row r="531" customFormat="false" ht="15" hidden="false" customHeight="false" outlineLevel="0" collapsed="false">
      <c r="AZ531" s="5" t="str">
        <f aca="false">IF($B531="","",SUMPRODUCT(($AL531:$AO531&lt;&gt;"")*(COUNTIF($AP531:$AX531,$AL531:$AO531)&gt;0)))</f>
        <v/>
      </c>
      <c r="BA531" s="5" t="str">
        <f aca="false">IF($B531="","",IF(AZ531&gt;0,1,0))</f>
        <v/>
      </c>
      <c r="BB531" s="5" t="str">
        <f aca="false">IF($AP531="","",IF((($AP531="Engineering and Technology")+($AP531="Science and Mathematics")+($AP531="Computer Science, IT and Allied Fields")+($AP531="Life Sciences /Medicine and Healthcare")+($AP531="Paramedical")+($AP531="Architecture")+($AP531="Environmental Service")+($AP531="Agriculture, Food Industry and Forestry"))&gt;0,"Science",IF((($AP531="Banking and Finance")+($AP531="Management and Administration")+($AP531="Marketing")+($AP531="Sales")+($AP531="Entrepreneurship")+($AP531="Hospitality and Tourism"))&gt;0,"Commerce",IF((($AP531="Social Sciences and Humanities")+($AP531="Law Studies")+($AP531="Education and Training")+($AP531="Art, Design")+($AP531="Entertainment and Mass Media")+($AP531="Community and Social Service")+($AP531="Personal Care and Services")+($AP531="Government and Public Administration")+($AP531="Defence/ Protective Service")+($AP531="Sports"))&gt;0,"Arts / Humanities",""))))</f>
        <v/>
      </c>
      <c r="BC531" s="5" t="str">
        <f aca="false">IF($AL531="","",IF((($AL531="Engineering and Technology")+($AL531="Science and Mathematics")+($AL531="Computer Science, IT and Allied Fields")+($AL531="Life Sciences /Medicine and Healthcare")+($AL531="Paramedical")+($AL531="Architecture")+($AL531="Environmental Service")+($AL531="Agriculture, Food Industry and Forestry"))&gt;0,"Science",IF((($AL531="Banking and Finance")+($AL531="Management and Administration")+($AL531="Marketing")+($AL531="Sales")+($AL531="Entrepreneurship")+($AL531="Hospitality and Tourism"))&gt;0,"Commerce",IF((($AL531="Social Sciences and Humanities")+($AL531="Law Studies")+($AL531="Education and Training")+($AL531="Art, Design")+($AL531="Entertainment and Mass Media")+($AL531="Community and Social Service")+($AL531="Personal Care and Services")+($AL531="Government and Public Administration")+($AL531="Defence/ Protective Service")+($AL531="Sports"))&gt;0,"Arts / Humanities",""))))</f>
        <v/>
      </c>
      <c r="BD531" s="5" t="str">
        <f aca="false">IF($B531="","",--(F531&gt;=10)+--(G531&gt;=10)+--(H531&gt;=10)+--(I531&gt;=10)+--(J531&gt;=10)+--(K531&gt;=10)+--(L531&gt;=10)+--(M531&gt;=10)+--(N531&gt;=10)+--(O531&gt;=10))</f>
        <v/>
      </c>
      <c r="BE531" s="5" t="str">
        <f aca="false">IF($B531="","",--(AND(F531&lt;&gt;"",F531&lt;=8))+--(AND(G531&lt;&gt;"",G531&lt;=8))+--(AND(H531&lt;&gt;"",H531&lt;=8))+--(AND(I531&lt;&gt;"",I531&lt;=8))+--(AND(J531&lt;&gt;"",J531&lt;=8))+--(AND(K531&lt;&gt;"",K531&lt;=8))+--(AND(L531&lt;&gt;"",L531&lt;=8))+--(AND(M531&lt;&gt;"",M531&lt;=8))+--(AND(N531&lt;&gt;"",N531&lt;=8))+--(AND(O531&lt;&gt;"",O531&lt;=8)))</f>
        <v/>
      </c>
    </row>
    <row r="532" customFormat="false" ht="15" hidden="false" customHeight="false" outlineLevel="0" collapsed="false">
      <c r="AZ532" s="5" t="str">
        <f aca="false">IF($B532="","",SUMPRODUCT(($AL532:$AO532&lt;&gt;"")*(COUNTIF($AP532:$AX532,$AL532:$AO532)&gt;0)))</f>
        <v/>
      </c>
      <c r="BA532" s="5" t="str">
        <f aca="false">IF($B532="","",IF(AZ532&gt;0,1,0))</f>
        <v/>
      </c>
      <c r="BB532" s="5" t="str">
        <f aca="false">IF($AP532="","",IF((($AP532="Engineering and Technology")+($AP532="Science and Mathematics")+($AP532="Computer Science, IT and Allied Fields")+($AP532="Life Sciences /Medicine and Healthcare")+($AP532="Paramedical")+($AP532="Architecture")+($AP532="Environmental Service")+($AP532="Agriculture, Food Industry and Forestry"))&gt;0,"Science",IF((($AP532="Banking and Finance")+($AP532="Management and Administration")+($AP532="Marketing")+($AP532="Sales")+($AP532="Entrepreneurship")+($AP532="Hospitality and Tourism"))&gt;0,"Commerce",IF((($AP532="Social Sciences and Humanities")+($AP532="Law Studies")+($AP532="Education and Training")+($AP532="Art, Design")+($AP532="Entertainment and Mass Media")+($AP532="Community and Social Service")+($AP532="Personal Care and Services")+($AP532="Government and Public Administration")+($AP532="Defence/ Protective Service")+($AP532="Sports"))&gt;0,"Arts / Humanities",""))))</f>
        <v/>
      </c>
      <c r="BC532" s="5" t="str">
        <f aca="false">IF($AL532="","",IF((($AL532="Engineering and Technology")+($AL532="Science and Mathematics")+($AL532="Computer Science, IT and Allied Fields")+($AL532="Life Sciences /Medicine and Healthcare")+($AL532="Paramedical")+($AL532="Architecture")+($AL532="Environmental Service")+($AL532="Agriculture, Food Industry and Forestry"))&gt;0,"Science",IF((($AL532="Banking and Finance")+($AL532="Management and Administration")+($AL532="Marketing")+($AL532="Sales")+($AL532="Entrepreneurship")+($AL532="Hospitality and Tourism"))&gt;0,"Commerce",IF((($AL532="Social Sciences and Humanities")+($AL532="Law Studies")+($AL532="Education and Training")+($AL532="Art, Design")+($AL532="Entertainment and Mass Media")+($AL532="Community and Social Service")+($AL532="Personal Care and Services")+($AL532="Government and Public Administration")+($AL532="Defence/ Protective Service")+($AL532="Sports"))&gt;0,"Arts / Humanities",""))))</f>
        <v/>
      </c>
      <c r="BD532" s="5" t="str">
        <f aca="false">IF($B532="","",--(F532&gt;=10)+--(G532&gt;=10)+--(H532&gt;=10)+--(I532&gt;=10)+--(J532&gt;=10)+--(K532&gt;=10)+--(L532&gt;=10)+--(M532&gt;=10)+--(N532&gt;=10)+--(O532&gt;=10))</f>
        <v/>
      </c>
      <c r="BE532" s="5" t="str">
        <f aca="false">IF($B532="","",--(AND(F532&lt;&gt;"",F532&lt;=8))+--(AND(G532&lt;&gt;"",G532&lt;=8))+--(AND(H532&lt;&gt;"",H532&lt;=8))+--(AND(I532&lt;&gt;"",I532&lt;=8))+--(AND(J532&lt;&gt;"",J532&lt;=8))+--(AND(K532&lt;&gt;"",K532&lt;=8))+--(AND(L532&lt;&gt;"",L532&lt;=8))+--(AND(M532&lt;&gt;"",M532&lt;=8))+--(AND(N532&lt;&gt;"",N532&lt;=8))+--(AND(O532&lt;&gt;"",O532&lt;=8)))</f>
        <v/>
      </c>
    </row>
    <row r="533" customFormat="false" ht="15" hidden="false" customHeight="false" outlineLevel="0" collapsed="false">
      <c r="AZ533" s="5" t="str">
        <f aca="false">IF($B533="","",SUMPRODUCT(($AL533:$AO533&lt;&gt;"")*(COUNTIF($AP533:$AX533,$AL533:$AO533)&gt;0)))</f>
        <v/>
      </c>
      <c r="BA533" s="5" t="str">
        <f aca="false">IF($B533="","",IF(AZ533&gt;0,1,0))</f>
        <v/>
      </c>
      <c r="BB533" s="5" t="str">
        <f aca="false">IF($AP533="","",IF((($AP533="Engineering and Technology")+($AP533="Science and Mathematics")+($AP533="Computer Science, IT and Allied Fields")+($AP533="Life Sciences /Medicine and Healthcare")+($AP533="Paramedical")+($AP533="Architecture")+($AP533="Environmental Service")+($AP533="Agriculture, Food Industry and Forestry"))&gt;0,"Science",IF((($AP533="Banking and Finance")+($AP533="Management and Administration")+($AP533="Marketing")+($AP533="Sales")+($AP533="Entrepreneurship")+($AP533="Hospitality and Tourism"))&gt;0,"Commerce",IF((($AP533="Social Sciences and Humanities")+($AP533="Law Studies")+($AP533="Education and Training")+($AP533="Art, Design")+($AP533="Entertainment and Mass Media")+($AP533="Community and Social Service")+($AP533="Personal Care and Services")+($AP533="Government and Public Administration")+($AP533="Defence/ Protective Service")+($AP533="Sports"))&gt;0,"Arts / Humanities",""))))</f>
        <v/>
      </c>
      <c r="BC533" s="5" t="str">
        <f aca="false">IF($AL533="","",IF((($AL533="Engineering and Technology")+($AL533="Science and Mathematics")+($AL533="Computer Science, IT and Allied Fields")+($AL533="Life Sciences /Medicine and Healthcare")+($AL533="Paramedical")+($AL533="Architecture")+($AL533="Environmental Service")+($AL533="Agriculture, Food Industry and Forestry"))&gt;0,"Science",IF((($AL533="Banking and Finance")+($AL533="Management and Administration")+($AL533="Marketing")+($AL533="Sales")+($AL533="Entrepreneurship")+($AL533="Hospitality and Tourism"))&gt;0,"Commerce",IF((($AL533="Social Sciences and Humanities")+($AL533="Law Studies")+($AL533="Education and Training")+($AL533="Art, Design")+($AL533="Entertainment and Mass Media")+($AL533="Community and Social Service")+($AL533="Personal Care and Services")+($AL533="Government and Public Administration")+($AL533="Defence/ Protective Service")+($AL533="Sports"))&gt;0,"Arts / Humanities",""))))</f>
        <v/>
      </c>
      <c r="BD533" s="5" t="str">
        <f aca="false">IF($B533="","",--(F533&gt;=10)+--(G533&gt;=10)+--(H533&gt;=10)+--(I533&gt;=10)+--(J533&gt;=10)+--(K533&gt;=10)+--(L533&gt;=10)+--(M533&gt;=10)+--(N533&gt;=10)+--(O533&gt;=10))</f>
        <v/>
      </c>
      <c r="BE533" s="5" t="str">
        <f aca="false">IF($B533="","",--(AND(F533&lt;&gt;"",F533&lt;=8))+--(AND(G533&lt;&gt;"",G533&lt;=8))+--(AND(H533&lt;&gt;"",H533&lt;=8))+--(AND(I533&lt;&gt;"",I533&lt;=8))+--(AND(J533&lt;&gt;"",J533&lt;=8))+--(AND(K533&lt;&gt;"",K533&lt;=8))+--(AND(L533&lt;&gt;"",L533&lt;=8))+--(AND(M533&lt;&gt;"",M533&lt;=8))+--(AND(N533&lt;&gt;"",N533&lt;=8))+--(AND(O533&lt;&gt;"",O533&lt;=8)))</f>
        <v/>
      </c>
    </row>
    <row r="534" customFormat="false" ht="15" hidden="false" customHeight="false" outlineLevel="0" collapsed="false">
      <c r="AZ534" s="5" t="str">
        <f aca="false">IF($B534="","",SUMPRODUCT(($AL534:$AO534&lt;&gt;"")*(COUNTIF($AP534:$AX534,$AL534:$AO534)&gt;0)))</f>
        <v/>
      </c>
      <c r="BA534" s="5" t="str">
        <f aca="false">IF($B534="","",IF(AZ534&gt;0,1,0))</f>
        <v/>
      </c>
      <c r="BB534" s="5" t="str">
        <f aca="false">IF($AP534="","",IF((($AP534="Engineering and Technology")+($AP534="Science and Mathematics")+($AP534="Computer Science, IT and Allied Fields")+($AP534="Life Sciences /Medicine and Healthcare")+($AP534="Paramedical")+($AP534="Architecture")+($AP534="Environmental Service")+($AP534="Agriculture, Food Industry and Forestry"))&gt;0,"Science",IF((($AP534="Banking and Finance")+($AP534="Management and Administration")+($AP534="Marketing")+($AP534="Sales")+($AP534="Entrepreneurship")+($AP534="Hospitality and Tourism"))&gt;0,"Commerce",IF((($AP534="Social Sciences and Humanities")+($AP534="Law Studies")+($AP534="Education and Training")+($AP534="Art, Design")+($AP534="Entertainment and Mass Media")+($AP534="Community and Social Service")+($AP534="Personal Care and Services")+($AP534="Government and Public Administration")+($AP534="Defence/ Protective Service")+($AP534="Sports"))&gt;0,"Arts / Humanities",""))))</f>
        <v/>
      </c>
      <c r="BC534" s="5" t="str">
        <f aca="false">IF($AL534="","",IF((($AL534="Engineering and Technology")+($AL534="Science and Mathematics")+($AL534="Computer Science, IT and Allied Fields")+($AL534="Life Sciences /Medicine and Healthcare")+($AL534="Paramedical")+($AL534="Architecture")+($AL534="Environmental Service")+($AL534="Agriculture, Food Industry and Forestry"))&gt;0,"Science",IF((($AL534="Banking and Finance")+($AL534="Management and Administration")+($AL534="Marketing")+($AL534="Sales")+($AL534="Entrepreneurship")+($AL534="Hospitality and Tourism"))&gt;0,"Commerce",IF((($AL534="Social Sciences and Humanities")+($AL534="Law Studies")+($AL534="Education and Training")+($AL534="Art, Design")+($AL534="Entertainment and Mass Media")+($AL534="Community and Social Service")+($AL534="Personal Care and Services")+($AL534="Government and Public Administration")+($AL534="Defence/ Protective Service")+($AL534="Sports"))&gt;0,"Arts / Humanities",""))))</f>
        <v/>
      </c>
      <c r="BD534" s="5" t="str">
        <f aca="false">IF($B534="","",--(F534&gt;=10)+--(G534&gt;=10)+--(H534&gt;=10)+--(I534&gt;=10)+--(J534&gt;=10)+--(K534&gt;=10)+--(L534&gt;=10)+--(M534&gt;=10)+--(N534&gt;=10)+--(O534&gt;=10))</f>
        <v/>
      </c>
      <c r="BE534" s="5" t="str">
        <f aca="false">IF($B534="","",--(AND(F534&lt;&gt;"",F534&lt;=8))+--(AND(G534&lt;&gt;"",G534&lt;=8))+--(AND(H534&lt;&gt;"",H534&lt;=8))+--(AND(I534&lt;&gt;"",I534&lt;=8))+--(AND(J534&lt;&gt;"",J534&lt;=8))+--(AND(K534&lt;&gt;"",K534&lt;=8))+--(AND(L534&lt;&gt;"",L534&lt;=8))+--(AND(M534&lt;&gt;"",M534&lt;=8))+--(AND(N534&lt;&gt;"",N534&lt;=8))+--(AND(O534&lt;&gt;"",O534&lt;=8)))</f>
        <v/>
      </c>
    </row>
    <row r="535" customFormat="false" ht="15" hidden="false" customHeight="false" outlineLevel="0" collapsed="false">
      <c r="AZ535" s="5" t="str">
        <f aca="false">IF($B535="","",SUMPRODUCT(($AL535:$AO535&lt;&gt;"")*(COUNTIF($AP535:$AX535,$AL535:$AO535)&gt;0)))</f>
        <v/>
      </c>
      <c r="BA535" s="5" t="str">
        <f aca="false">IF($B535="","",IF(AZ535&gt;0,1,0))</f>
        <v/>
      </c>
      <c r="BB535" s="5" t="str">
        <f aca="false">IF($AP535="","",IF((($AP535="Engineering and Technology")+($AP535="Science and Mathematics")+($AP535="Computer Science, IT and Allied Fields")+($AP535="Life Sciences /Medicine and Healthcare")+($AP535="Paramedical")+($AP535="Architecture")+($AP535="Environmental Service")+($AP535="Agriculture, Food Industry and Forestry"))&gt;0,"Science",IF((($AP535="Banking and Finance")+($AP535="Management and Administration")+($AP535="Marketing")+($AP535="Sales")+($AP535="Entrepreneurship")+($AP535="Hospitality and Tourism"))&gt;0,"Commerce",IF((($AP535="Social Sciences and Humanities")+($AP535="Law Studies")+($AP535="Education and Training")+($AP535="Art, Design")+($AP535="Entertainment and Mass Media")+($AP535="Community and Social Service")+($AP535="Personal Care and Services")+($AP535="Government and Public Administration")+($AP535="Defence/ Protective Service")+($AP535="Sports"))&gt;0,"Arts / Humanities",""))))</f>
        <v/>
      </c>
      <c r="BC535" s="5" t="str">
        <f aca="false">IF($AL535="","",IF((($AL535="Engineering and Technology")+($AL535="Science and Mathematics")+($AL535="Computer Science, IT and Allied Fields")+($AL535="Life Sciences /Medicine and Healthcare")+($AL535="Paramedical")+($AL535="Architecture")+($AL535="Environmental Service")+($AL535="Agriculture, Food Industry and Forestry"))&gt;0,"Science",IF((($AL535="Banking and Finance")+($AL535="Management and Administration")+($AL535="Marketing")+($AL535="Sales")+($AL535="Entrepreneurship")+($AL535="Hospitality and Tourism"))&gt;0,"Commerce",IF((($AL535="Social Sciences and Humanities")+($AL535="Law Studies")+($AL535="Education and Training")+($AL535="Art, Design")+($AL535="Entertainment and Mass Media")+($AL535="Community and Social Service")+($AL535="Personal Care and Services")+($AL535="Government and Public Administration")+($AL535="Defence/ Protective Service")+($AL535="Sports"))&gt;0,"Arts / Humanities",""))))</f>
        <v/>
      </c>
      <c r="BD535" s="5" t="str">
        <f aca="false">IF($B535="","",--(F535&gt;=10)+--(G535&gt;=10)+--(H535&gt;=10)+--(I535&gt;=10)+--(J535&gt;=10)+--(K535&gt;=10)+--(L535&gt;=10)+--(M535&gt;=10)+--(N535&gt;=10)+--(O535&gt;=10))</f>
        <v/>
      </c>
      <c r="BE535" s="5" t="str">
        <f aca="false">IF($B535="","",--(AND(F535&lt;&gt;"",F535&lt;=8))+--(AND(G535&lt;&gt;"",G535&lt;=8))+--(AND(H535&lt;&gt;"",H535&lt;=8))+--(AND(I535&lt;&gt;"",I535&lt;=8))+--(AND(J535&lt;&gt;"",J535&lt;=8))+--(AND(K535&lt;&gt;"",K535&lt;=8))+--(AND(L535&lt;&gt;"",L535&lt;=8))+--(AND(M535&lt;&gt;"",M535&lt;=8))+--(AND(N535&lt;&gt;"",N535&lt;=8))+--(AND(O535&lt;&gt;"",O535&lt;=8)))</f>
        <v/>
      </c>
    </row>
    <row r="536" customFormat="false" ht="15" hidden="false" customHeight="false" outlineLevel="0" collapsed="false">
      <c r="AZ536" s="5" t="str">
        <f aca="false">IF($B536="","",SUMPRODUCT(($AL536:$AO536&lt;&gt;"")*(COUNTIF($AP536:$AX536,$AL536:$AO536)&gt;0)))</f>
        <v/>
      </c>
      <c r="BA536" s="5" t="str">
        <f aca="false">IF($B536="","",IF(AZ536&gt;0,1,0))</f>
        <v/>
      </c>
      <c r="BB536" s="5" t="str">
        <f aca="false">IF($AP536="","",IF((($AP536="Engineering and Technology")+($AP536="Science and Mathematics")+($AP536="Computer Science, IT and Allied Fields")+($AP536="Life Sciences /Medicine and Healthcare")+($AP536="Paramedical")+($AP536="Architecture")+($AP536="Environmental Service")+($AP536="Agriculture, Food Industry and Forestry"))&gt;0,"Science",IF((($AP536="Banking and Finance")+($AP536="Management and Administration")+($AP536="Marketing")+($AP536="Sales")+($AP536="Entrepreneurship")+($AP536="Hospitality and Tourism"))&gt;0,"Commerce",IF((($AP536="Social Sciences and Humanities")+($AP536="Law Studies")+($AP536="Education and Training")+($AP536="Art, Design")+($AP536="Entertainment and Mass Media")+($AP536="Community and Social Service")+($AP536="Personal Care and Services")+($AP536="Government and Public Administration")+($AP536="Defence/ Protective Service")+($AP536="Sports"))&gt;0,"Arts / Humanities",""))))</f>
        <v/>
      </c>
      <c r="BC536" s="5" t="str">
        <f aca="false">IF($AL536="","",IF((($AL536="Engineering and Technology")+($AL536="Science and Mathematics")+($AL536="Computer Science, IT and Allied Fields")+($AL536="Life Sciences /Medicine and Healthcare")+($AL536="Paramedical")+($AL536="Architecture")+($AL536="Environmental Service")+($AL536="Agriculture, Food Industry and Forestry"))&gt;0,"Science",IF((($AL536="Banking and Finance")+($AL536="Management and Administration")+($AL536="Marketing")+($AL536="Sales")+($AL536="Entrepreneurship")+($AL536="Hospitality and Tourism"))&gt;0,"Commerce",IF((($AL536="Social Sciences and Humanities")+($AL536="Law Studies")+($AL536="Education and Training")+($AL536="Art, Design")+($AL536="Entertainment and Mass Media")+($AL536="Community and Social Service")+($AL536="Personal Care and Services")+($AL536="Government and Public Administration")+($AL536="Defence/ Protective Service")+($AL536="Sports"))&gt;0,"Arts / Humanities",""))))</f>
        <v/>
      </c>
      <c r="BD536" s="5" t="str">
        <f aca="false">IF($B536="","",--(F536&gt;=10)+--(G536&gt;=10)+--(H536&gt;=10)+--(I536&gt;=10)+--(J536&gt;=10)+--(K536&gt;=10)+--(L536&gt;=10)+--(M536&gt;=10)+--(N536&gt;=10)+--(O536&gt;=10))</f>
        <v/>
      </c>
      <c r="BE536" s="5" t="str">
        <f aca="false">IF($B536="","",--(AND(F536&lt;&gt;"",F536&lt;=8))+--(AND(G536&lt;&gt;"",G536&lt;=8))+--(AND(H536&lt;&gt;"",H536&lt;=8))+--(AND(I536&lt;&gt;"",I536&lt;=8))+--(AND(J536&lt;&gt;"",J536&lt;=8))+--(AND(K536&lt;&gt;"",K536&lt;=8))+--(AND(L536&lt;&gt;"",L536&lt;=8))+--(AND(M536&lt;&gt;"",M536&lt;=8))+--(AND(N536&lt;&gt;"",N536&lt;=8))+--(AND(O536&lt;&gt;"",O536&lt;=8)))</f>
        <v/>
      </c>
    </row>
    <row r="537" customFormat="false" ht="15" hidden="false" customHeight="false" outlineLevel="0" collapsed="false">
      <c r="AZ537" s="5" t="str">
        <f aca="false">IF($B537="","",SUMPRODUCT(($AL537:$AO537&lt;&gt;"")*(COUNTIF($AP537:$AX537,$AL537:$AO537)&gt;0)))</f>
        <v/>
      </c>
      <c r="BA537" s="5" t="str">
        <f aca="false">IF($B537="","",IF(AZ537&gt;0,1,0))</f>
        <v/>
      </c>
      <c r="BB537" s="5" t="str">
        <f aca="false">IF($AP537="","",IF((($AP537="Engineering and Technology")+($AP537="Science and Mathematics")+($AP537="Computer Science, IT and Allied Fields")+($AP537="Life Sciences /Medicine and Healthcare")+($AP537="Paramedical")+($AP537="Architecture")+($AP537="Environmental Service")+($AP537="Agriculture, Food Industry and Forestry"))&gt;0,"Science",IF((($AP537="Banking and Finance")+($AP537="Management and Administration")+($AP537="Marketing")+($AP537="Sales")+($AP537="Entrepreneurship")+($AP537="Hospitality and Tourism"))&gt;0,"Commerce",IF((($AP537="Social Sciences and Humanities")+($AP537="Law Studies")+($AP537="Education and Training")+($AP537="Art, Design")+($AP537="Entertainment and Mass Media")+($AP537="Community and Social Service")+($AP537="Personal Care and Services")+($AP537="Government and Public Administration")+($AP537="Defence/ Protective Service")+($AP537="Sports"))&gt;0,"Arts / Humanities",""))))</f>
        <v/>
      </c>
      <c r="BC537" s="5" t="str">
        <f aca="false">IF($AL537="","",IF((($AL537="Engineering and Technology")+($AL537="Science and Mathematics")+($AL537="Computer Science, IT and Allied Fields")+($AL537="Life Sciences /Medicine and Healthcare")+($AL537="Paramedical")+($AL537="Architecture")+($AL537="Environmental Service")+($AL537="Agriculture, Food Industry and Forestry"))&gt;0,"Science",IF((($AL537="Banking and Finance")+($AL537="Management and Administration")+($AL537="Marketing")+($AL537="Sales")+($AL537="Entrepreneurship")+($AL537="Hospitality and Tourism"))&gt;0,"Commerce",IF((($AL537="Social Sciences and Humanities")+($AL537="Law Studies")+($AL537="Education and Training")+($AL537="Art, Design")+($AL537="Entertainment and Mass Media")+($AL537="Community and Social Service")+($AL537="Personal Care and Services")+($AL537="Government and Public Administration")+($AL537="Defence/ Protective Service")+($AL537="Sports"))&gt;0,"Arts / Humanities",""))))</f>
        <v/>
      </c>
      <c r="BD537" s="5" t="str">
        <f aca="false">IF($B537="","",--(F537&gt;=10)+--(G537&gt;=10)+--(H537&gt;=10)+--(I537&gt;=10)+--(J537&gt;=10)+--(K537&gt;=10)+--(L537&gt;=10)+--(M537&gt;=10)+--(N537&gt;=10)+--(O537&gt;=10))</f>
        <v/>
      </c>
      <c r="BE537" s="5" t="str">
        <f aca="false">IF($B537="","",--(AND(F537&lt;&gt;"",F537&lt;=8))+--(AND(G537&lt;&gt;"",G537&lt;=8))+--(AND(H537&lt;&gt;"",H537&lt;=8))+--(AND(I537&lt;&gt;"",I537&lt;=8))+--(AND(J537&lt;&gt;"",J537&lt;=8))+--(AND(K537&lt;&gt;"",K537&lt;=8))+--(AND(L537&lt;&gt;"",L537&lt;=8))+--(AND(M537&lt;&gt;"",M537&lt;=8))+--(AND(N537&lt;&gt;"",N537&lt;=8))+--(AND(O537&lt;&gt;"",O537&lt;=8)))</f>
        <v/>
      </c>
    </row>
    <row r="538" customFormat="false" ht="15" hidden="false" customHeight="false" outlineLevel="0" collapsed="false">
      <c r="AZ538" s="5" t="str">
        <f aca="false">IF($B538="","",SUMPRODUCT(($AL538:$AO538&lt;&gt;"")*(COUNTIF($AP538:$AX538,$AL538:$AO538)&gt;0)))</f>
        <v/>
      </c>
      <c r="BA538" s="5" t="str">
        <f aca="false">IF($B538="","",IF(AZ538&gt;0,1,0))</f>
        <v/>
      </c>
      <c r="BB538" s="5" t="str">
        <f aca="false">IF($AP538="","",IF((($AP538="Engineering and Technology")+($AP538="Science and Mathematics")+($AP538="Computer Science, IT and Allied Fields")+($AP538="Life Sciences /Medicine and Healthcare")+($AP538="Paramedical")+($AP538="Architecture")+($AP538="Environmental Service")+($AP538="Agriculture, Food Industry and Forestry"))&gt;0,"Science",IF((($AP538="Banking and Finance")+($AP538="Management and Administration")+($AP538="Marketing")+($AP538="Sales")+($AP538="Entrepreneurship")+($AP538="Hospitality and Tourism"))&gt;0,"Commerce",IF((($AP538="Social Sciences and Humanities")+($AP538="Law Studies")+($AP538="Education and Training")+($AP538="Art, Design")+($AP538="Entertainment and Mass Media")+($AP538="Community and Social Service")+($AP538="Personal Care and Services")+($AP538="Government and Public Administration")+($AP538="Defence/ Protective Service")+($AP538="Sports"))&gt;0,"Arts / Humanities",""))))</f>
        <v/>
      </c>
      <c r="BC538" s="5" t="str">
        <f aca="false">IF($AL538="","",IF((($AL538="Engineering and Technology")+($AL538="Science and Mathematics")+($AL538="Computer Science, IT and Allied Fields")+($AL538="Life Sciences /Medicine and Healthcare")+($AL538="Paramedical")+($AL538="Architecture")+($AL538="Environmental Service")+($AL538="Agriculture, Food Industry and Forestry"))&gt;0,"Science",IF((($AL538="Banking and Finance")+($AL538="Management and Administration")+($AL538="Marketing")+($AL538="Sales")+($AL538="Entrepreneurship")+($AL538="Hospitality and Tourism"))&gt;0,"Commerce",IF((($AL538="Social Sciences and Humanities")+($AL538="Law Studies")+($AL538="Education and Training")+($AL538="Art, Design")+($AL538="Entertainment and Mass Media")+($AL538="Community and Social Service")+($AL538="Personal Care and Services")+($AL538="Government and Public Administration")+($AL538="Defence/ Protective Service")+($AL538="Sports"))&gt;0,"Arts / Humanities",""))))</f>
        <v/>
      </c>
      <c r="BD538" s="5" t="str">
        <f aca="false">IF($B538="","",--(F538&gt;=10)+--(G538&gt;=10)+--(H538&gt;=10)+--(I538&gt;=10)+--(J538&gt;=10)+--(K538&gt;=10)+--(L538&gt;=10)+--(M538&gt;=10)+--(N538&gt;=10)+--(O538&gt;=10))</f>
        <v/>
      </c>
      <c r="BE538" s="5" t="str">
        <f aca="false">IF($B538="","",--(AND(F538&lt;&gt;"",F538&lt;=8))+--(AND(G538&lt;&gt;"",G538&lt;=8))+--(AND(H538&lt;&gt;"",H538&lt;=8))+--(AND(I538&lt;&gt;"",I538&lt;=8))+--(AND(J538&lt;&gt;"",J538&lt;=8))+--(AND(K538&lt;&gt;"",K538&lt;=8))+--(AND(L538&lt;&gt;"",L538&lt;=8))+--(AND(M538&lt;&gt;"",M538&lt;=8))+--(AND(N538&lt;&gt;"",N538&lt;=8))+--(AND(O538&lt;&gt;"",O538&lt;=8)))</f>
        <v/>
      </c>
    </row>
    <row r="539" customFormat="false" ht="15" hidden="false" customHeight="false" outlineLevel="0" collapsed="false">
      <c r="AZ539" s="5" t="str">
        <f aca="false">IF($B539="","",SUMPRODUCT(($AL539:$AO539&lt;&gt;"")*(COUNTIF($AP539:$AX539,$AL539:$AO539)&gt;0)))</f>
        <v/>
      </c>
      <c r="BA539" s="5" t="str">
        <f aca="false">IF($B539="","",IF(AZ539&gt;0,1,0))</f>
        <v/>
      </c>
      <c r="BB539" s="5" t="str">
        <f aca="false">IF($AP539="","",IF((($AP539="Engineering and Technology")+($AP539="Science and Mathematics")+($AP539="Computer Science, IT and Allied Fields")+($AP539="Life Sciences /Medicine and Healthcare")+($AP539="Paramedical")+($AP539="Architecture")+($AP539="Environmental Service")+($AP539="Agriculture, Food Industry and Forestry"))&gt;0,"Science",IF((($AP539="Banking and Finance")+($AP539="Management and Administration")+($AP539="Marketing")+($AP539="Sales")+($AP539="Entrepreneurship")+($AP539="Hospitality and Tourism"))&gt;0,"Commerce",IF((($AP539="Social Sciences and Humanities")+($AP539="Law Studies")+($AP539="Education and Training")+($AP539="Art, Design")+($AP539="Entertainment and Mass Media")+($AP539="Community and Social Service")+($AP539="Personal Care and Services")+($AP539="Government and Public Administration")+($AP539="Defence/ Protective Service")+($AP539="Sports"))&gt;0,"Arts / Humanities",""))))</f>
        <v/>
      </c>
      <c r="BC539" s="5" t="str">
        <f aca="false">IF($AL539="","",IF((($AL539="Engineering and Technology")+($AL539="Science and Mathematics")+($AL539="Computer Science, IT and Allied Fields")+($AL539="Life Sciences /Medicine and Healthcare")+($AL539="Paramedical")+($AL539="Architecture")+($AL539="Environmental Service")+($AL539="Agriculture, Food Industry and Forestry"))&gt;0,"Science",IF((($AL539="Banking and Finance")+($AL539="Management and Administration")+($AL539="Marketing")+($AL539="Sales")+($AL539="Entrepreneurship")+($AL539="Hospitality and Tourism"))&gt;0,"Commerce",IF((($AL539="Social Sciences and Humanities")+($AL539="Law Studies")+($AL539="Education and Training")+($AL539="Art, Design")+($AL539="Entertainment and Mass Media")+($AL539="Community and Social Service")+($AL539="Personal Care and Services")+($AL539="Government and Public Administration")+($AL539="Defence/ Protective Service")+($AL539="Sports"))&gt;0,"Arts / Humanities",""))))</f>
        <v/>
      </c>
      <c r="BD539" s="5" t="str">
        <f aca="false">IF($B539="","",--(F539&gt;=10)+--(G539&gt;=10)+--(H539&gt;=10)+--(I539&gt;=10)+--(J539&gt;=10)+--(K539&gt;=10)+--(L539&gt;=10)+--(M539&gt;=10)+--(N539&gt;=10)+--(O539&gt;=10))</f>
        <v/>
      </c>
      <c r="BE539" s="5" t="str">
        <f aca="false">IF($B539="","",--(AND(F539&lt;&gt;"",F539&lt;=8))+--(AND(G539&lt;&gt;"",G539&lt;=8))+--(AND(H539&lt;&gt;"",H539&lt;=8))+--(AND(I539&lt;&gt;"",I539&lt;=8))+--(AND(J539&lt;&gt;"",J539&lt;=8))+--(AND(K539&lt;&gt;"",K539&lt;=8))+--(AND(L539&lt;&gt;"",L539&lt;=8))+--(AND(M539&lt;&gt;"",M539&lt;=8))+--(AND(N539&lt;&gt;"",N539&lt;=8))+--(AND(O539&lt;&gt;"",O539&lt;=8)))</f>
        <v/>
      </c>
    </row>
    <row r="540" customFormat="false" ht="15" hidden="false" customHeight="false" outlineLevel="0" collapsed="false">
      <c r="AZ540" s="5" t="str">
        <f aca="false">IF($B540="","",SUMPRODUCT(($AL540:$AO540&lt;&gt;"")*(COUNTIF($AP540:$AX540,$AL540:$AO540)&gt;0)))</f>
        <v/>
      </c>
      <c r="BA540" s="5" t="str">
        <f aca="false">IF($B540="","",IF(AZ540&gt;0,1,0))</f>
        <v/>
      </c>
      <c r="BB540" s="5" t="str">
        <f aca="false">IF($AP540="","",IF((($AP540="Engineering and Technology")+($AP540="Science and Mathematics")+($AP540="Computer Science, IT and Allied Fields")+($AP540="Life Sciences /Medicine and Healthcare")+($AP540="Paramedical")+($AP540="Architecture")+($AP540="Environmental Service")+($AP540="Agriculture, Food Industry and Forestry"))&gt;0,"Science",IF((($AP540="Banking and Finance")+($AP540="Management and Administration")+($AP540="Marketing")+($AP540="Sales")+($AP540="Entrepreneurship")+($AP540="Hospitality and Tourism"))&gt;0,"Commerce",IF((($AP540="Social Sciences and Humanities")+($AP540="Law Studies")+($AP540="Education and Training")+($AP540="Art, Design")+($AP540="Entertainment and Mass Media")+($AP540="Community and Social Service")+($AP540="Personal Care and Services")+($AP540="Government and Public Administration")+($AP540="Defence/ Protective Service")+($AP540="Sports"))&gt;0,"Arts / Humanities",""))))</f>
        <v/>
      </c>
      <c r="BC540" s="5" t="str">
        <f aca="false">IF($AL540="","",IF((($AL540="Engineering and Technology")+($AL540="Science and Mathematics")+($AL540="Computer Science, IT and Allied Fields")+($AL540="Life Sciences /Medicine and Healthcare")+($AL540="Paramedical")+($AL540="Architecture")+($AL540="Environmental Service")+($AL540="Agriculture, Food Industry and Forestry"))&gt;0,"Science",IF((($AL540="Banking and Finance")+($AL540="Management and Administration")+($AL540="Marketing")+($AL540="Sales")+($AL540="Entrepreneurship")+($AL540="Hospitality and Tourism"))&gt;0,"Commerce",IF((($AL540="Social Sciences and Humanities")+($AL540="Law Studies")+($AL540="Education and Training")+($AL540="Art, Design")+($AL540="Entertainment and Mass Media")+($AL540="Community and Social Service")+($AL540="Personal Care and Services")+($AL540="Government and Public Administration")+($AL540="Defence/ Protective Service")+($AL540="Sports"))&gt;0,"Arts / Humanities",""))))</f>
        <v/>
      </c>
      <c r="BD540" s="5" t="str">
        <f aca="false">IF($B540="","",--(F540&gt;=10)+--(G540&gt;=10)+--(H540&gt;=10)+--(I540&gt;=10)+--(J540&gt;=10)+--(K540&gt;=10)+--(L540&gt;=10)+--(M540&gt;=10)+--(N540&gt;=10)+--(O540&gt;=10))</f>
        <v/>
      </c>
      <c r="BE540" s="5" t="str">
        <f aca="false">IF($B540="","",--(AND(F540&lt;&gt;"",F540&lt;=8))+--(AND(G540&lt;&gt;"",G540&lt;=8))+--(AND(H540&lt;&gt;"",H540&lt;=8))+--(AND(I540&lt;&gt;"",I540&lt;=8))+--(AND(J540&lt;&gt;"",J540&lt;=8))+--(AND(K540&lt;&gt;"",K540&lt;=8))+--(AND(L540&lt;&gt;"",L540&lt;=8))+--(AND(M540&lt;&gt;"",M540&lt;=8))+--(AND(N540&lt;&gt;"",N540&lt;=8))+--(AND(O540&lt;&gt;"",O540&lt;=8)))</f>
        <v/>
      </c>
    </row>
    <row r="541" customFormat="false" ht="15" hidden="false" customHeight="false" outlineLevel="0" collapsed="false">
      <c r="AZ541" s="5" t="str">
        <f aca="false">IF($B541="","",SUMPRODUCT(($AL541:$AO541&lt;&gt;"")*(COUNTIF($AP541:$AX541,$AL541:$AO541)&gt;0)))</f>
        <v/>
      </c>
      <c r="BA541" s="5" t="str">
        <f aca="false">IF($B541="","",IF(AZ541&gt;0,1,0))</f>
        <v/>
      </c>
      <c r="BB541" s="5" t="str">
        <f aca="false">IF($AP541="","",IF((($AP541="Engineering and Technology")+($AP541="Science and Mathematics")+($AP541="Computer Science, IT and Allied Fields")+($AP541="Life Sciences /Medicine and Healthcare")+($AP541="Paramedical")+($AP541="Architecture")+($AP541="Environmental Service")+($AP541="Agriculture, Food Industry and Forestry"))&gt;0,"Science",IF((($AP541="Banking and Finance")+($AP541="Management and Administration")+($AP541="Marketing")+($AP541="Sales")+($AP541="Entrepreneurship")+($AP541="Hospitality and Tourism"))&gt;0,"Commerce",IF((($AP541="Social Sciences and Humanities")+($AP541="Law Studies")+($AP541="Education and Training")+($AP541="Art, Design")+($AP541="Entertainment and Mass Media")+($AP541="Community and Social Service")+($AP541="Personal Care and Services")+($AP541="Government and Public Administration")+($AP541="Defence/ Protective Service")+($AP541="Sports"))&gt;0,"Arts / Humanities",""))))</f>
        <v/>
      </c>
      <c r="BC541" s="5" t="str">
        <f aca="false">IF($AL541="","",IF((($AL541="Engineering and Technology")+($AL541="Science and Mathematics")+($AL541="Computer Science, IT and Allied Fields")+($AL541="Life Sciences /Medicine and Healthcare")+($AL541="Paramedical")+($AL541="Architecture")+($AL541="Environmental Service")+($AL541="Agriculture, Food Industry and Forestry"))&gt;0,"Science",IF((($AL541="Banking and Finance")+($AL541="Management and Administration")+($AL541="Marketing")+($AL541="Sales")+($AL541="Entrepreneurship")+($AL541="Hospitality and Tourism"))&gt;0,"Commerce",IF((($AL541="Social Sciences and Humanities")+($AL541="Law Studies")+($AL541="Education and Training")+($AL541="Art, Design")+($AL541="Entertainment and Mass Media")+($AL541="Community and Social Service")+($AL541="Personal Care and Services")+($AL541="Government and Public Administration")+($AL541="Defence/ Protective Service")+($AL541="Sports"))&gt;0,"Arts / Humanities",""))))</f>
        <v/>
      </c>
      <c r="BD541" s="5" t="str">
        <f aca="false">IF($B541="","",--(F541&gt;=10)+--(G541&gt;=10)+--(H541&gt;=10)+--(I541&gt;=10)+--(J541&gt;=10)+--(K541&gt;=10)+--(L541&gt;=10)+--(M541&gt;=10)+--(N541&gt;=10)+--(O541&gt;=10))</f>
        <v/>
      </c>
      <c r="BE541" s="5" t="str">
        <f aca="false">IF($B541="","",--(AND(F541&lt;&gt;"",F541&lt;=8))+--(AND(G541&lt;&gt;"",G541&lt;=8))+--(AND(H541&lt;&gt;"",H541&lt;=8))+--(AND(I541&lt;&gt;"",I541&lt;=8))+--(AND(J541&lt;&gt;"",J541&lt;=8))+--(AND(K541&lt;&gt;"",K541&lt;=8))+--(AND(L541&lt;&gt;"",L541&lt;=8))+--(AND(M541&lt;&gt;"",M541&lt;=8))+--(AND(N541&lt;&gt;"",N541&lt;=8))+--(AND(O541&lt;&gt;"",O541&lt;=8)))</f>
        <v/>
      </c>
    </row>
    <row r="542" customFormat="false" ht="15" hidden="false" customHeight="false" outlineLevel="0" collapsed="false">
      <c r="AZ542" s="5" t="str">
        <f aca="false">IF($B542="","",SUMPRODUCT(($AL542:$AO542&lt;&gt;"")*(COUNTIF($AP542:$AX542,$AL542:$AO542)&gt;0)))</f>
        <v/>
      </c>
      <c r="BA542" s="5" t="str">
        <f aca="false">IF($B542="","",IF(AZ542&gt;0,1,0))</f>
        <v/>
      </c>
      <c r="BB542" s="5" t="str">
        <f aca="false">IF($AP542="","",IF((($AP542="Engineering and Technology")+($AP542="Science and Mathematics")+($AP542="Computer Science, IT and Allied Fields")+($AP542="Life Sciences /Medicine and Healthcare")+($AP542="Paramedical")+($AP542="Architecture")+($AP542="Environmental Service")+($AP542="Agriculture, Food Industry and Forestry"))&gt;0,"Science",IF((($AP542="Banking and Finance")+($AP542="Management and Administration")+($AP542="Marketing")+($AP542="Sales")+($AP542="Entrepreneurship")+($AP542="Hospitality and Tourism"))&gt;0,"Commerce",IF((($AP542="Social Sciences and Humanities")+($AP542="Law Studies")+($AP542="Education and Training")+($AP542="Art, Design")+($AP542="Entertainment and Mass Media")+($AP542="Community and Social Service")+($AP542="Personal Care and Services")+($AP542="Government and Public Administration")+($AP542="Defence/ Protective Service")+($AP542="Sports"))&gt;0,"Arts / Humanities",""))))</f>
        <v/>
      </c>
      <c r="BC542" s="5" t="str">
        <f aca="false">IF($AL542="","",IF((($AL542="Engineering and Technology")+($AL542="Science and Mathematics")+($AL542="Computer Science, IT and Allied Fields")+($AL542="Life Sciences /Medicine and Healthcare")+($AL542="Paramedical")+($AL542="Architecture")+($AL542="Environmental Service")+($AL542="Agriculture, Food Industry and Forestry"))&gt;0,"Science",IF((($AL542="Banking and Finance")+($AL542="Management and Administration")+($AL542="Marketing")+($AL542="Sales")+($AL542="Entrepreneurship")+($AL542="Hospitality and Tourism"))&gt;0,"Commerce",IF((($AL542="Social Sciences and Humanities")+($AL542="Law Studies")+($AL542="Education and Training")+($AL542="Art, Design")+($AL542="Entertainment and Mass Media")+($AL542="Community and Social Service")+($AL542="Personal Care and Services")+($AL542="Government and Public Administration")+($AL542="Defence/ Protective Service")+($AL542="Sports"))&gt;0,"Arts / Humanities",""))))</f>
        <v/>
      </c>
      <c r="BD542" s="5" t="str">
        <f aca="false">IF($B542="","",--(F542&gt;=10)+--(G542&gt;=10)+--(H542&gt;=10)+--(I542&gt;=10)+--(J542&gt;=10)+--(K542&gt;=10)+--(L542&gt;=10)+--(M542&gt;=10)+--(N542&gt;=10)+--(O542&gt;=10))</f>
        <v/>
      </c>
      <c r="BE542" s="5" t="str">
        <f aca="false">IF($B542="","",--(AND(F542&lt;&gt;"",F542&lt;=8))+--(AND(G542&lt;&gt;"",G542&lt;=8))+--(AND(H542&lt;&gt;"",H542&lt;=8))+--(AND(I542&lt;&gt;"",I542&lt;=8))+--(AND(J542&lt;&gt;"",J542&lt;=8))+--(AND(K542&lt;&gt;"",K542&lt;=8))+--(AND(L542&lt;&gt;"",L542&lt;=8))+--(AND(M542&lt;&gt;"",M542&lt;=8))+--(AND(N542&lt;&gt;"",N542&lt;=8))+--(AND(O542&lt;&gt;"",O542&lt;=8)))</f>
        <v/>
      </c>
    </row>
    <row r="543" customFormat="false" ht="15" hidden="false" customHeight="false" outlineLevel="0" collapsed="false">
      <c r="AZ543" s="5" t="str">
        <f aca="false">IF($B543="","",SUMPRODUCT(($AL543:$AO543&lt;&gt;"")*(COUNTIF($AP543:$AX543,$AL543:$AO543)&gt;0)))</f>
        <v/>
      </c>
      <c r="BA543" s="5" t="str">
        <f aca="false">IF($B543="","",IF(AZ543&gt;0,1,0))</f>
        <v/>
      </c>
      <c r="BB543" s="5" t="str">
        <f aca="false">IF($AP543="","",IF((($AP543="Engineering and Technology")+($AP543="Science and Mathematics")+($AP543="Computer Science, IT and Allied Fields")+($AP543="Life Sciences /Medicine and Healthcare")+($AP543="Paramedical")+($AP543="Architecture")+($AP543="Environmental Service")+($AP543="Agriculture, Food Industry and Forestry"))&gt;0,"Science",IF((($AP543="Banking and Finance")+($AP543="Management and Administration")+($AP543="Marketing")+($AP543="Sales")+($AP543="Entrepreneurship")+($AP543="Hospitality and Tourism"))&gt;0,"Commerce",IF((($AP543="Social Sciences and Humanities")+($AP543="Law Studies")+($AP543="Education and Training")+($AP543="Art, Design")+($AP543="Entertainment and Mass Media")+($AP543="Community and Social Service")+($AP543="Personal Care and Services")+($AP543="Government and Public Administration")+($AP543="Defence/ Protective Service")+($AP543="Sports"))&gt;0,"Arts / Humanities",""))))</f>
        <v/>
      </c>
      <c r="BC543" s="5" t="str">
        <f aca="false">IF($AL543="","",IF((($AL543="Engineering and Technology")+($AL543="Science and Mathematics")+($AL543="Computer Science, IT and Allied Fields")+($AL543="Life Sciences /Medicine and Healthcare")+($AL543="Paramedical")+($AL543="Architecture")+($AL543="Environmental Service")+($AL543="Agriculture, Food Industry and Forestry"))&gt;0,"Science",IF((($AL543="Banking and Finance")+($AL543="Management and Administration")+($AL543="Marketing")+($AL543="Sales")+($AL543="Entrepreneurship")+($AL543="Hospitality and Tourism"))&gt;0,"Commerce",IF((($AL543="Social Sciences and Humanities")+($AL543="Law Studies")+($AL543="Education and Training")+($AL543="Art, Design")+($AL543="Entertainment and Mass Media")+($AL543="Community and Social Service")+($AL543="Personal Care and Services")+($AL543="Government and Public Administration")+($AL543="Defence/ Protective Service")+($AL543="Sports"))&gt;0,"Arts / Humanities",""))))</f>
        <v/>
      </c>
      <c r="BD543" s="5" t="str">
        <f aca="false">IF($B543="","",--(F543&gt;=10)+--(G543&gt;=10)+--(H543&gt;=10)+--(I543&gt;=10)+--(J543&gt;=10)+--(K543&gt;=10)+--(L543&gt;=10)+--(M543&gt;=10)+--(N543&gt;=10)+--(O543&gt;=10))</f>
        <v/>
      </c>
      <c r="BE543" s="5" t="str">
        <f aca="false">IF($B543="","",--(AND(F543&lt;&gt;"",F543&lt;=8))+--(AND(G543&lt;&gt;"",G543&lt;=8))+--(AND(H543&lt;&gt;"",H543&lt;=8))+--(AND(I543&lt;&gt;"",I543&lt;=8))+--(AND(J543&lt;&gt;"",J543&lt;=8))+--(AND(K543&lt;&gt;"",K543&lt;=8))+--(AND(L543&lt;&gt;"",L543&lt;=8))+--(AND(M543&lt;&gt;"",M543&lt;=8))+--(AND(N543&lt;&gt;"",N543&lt;=8))+--(AND(O543&lt;&gt;"",O543&lt;=8)))</f>
        <v/>
      </c>
    </row>
    <row r="544" customFormat="false" ht="15" hidden="false" customHeight="false" outlineLevel="0" collapsed="false">
      <c r="AZ544" s="5" t="str">
        <f aca="false">IF($B544="","",SUMPRODUCT(($AL544:$AO544&lt;&gt;"")*(COUNTIF($AP544:$AX544,$AL544:$AO544)&gt;0)))</f>
        <v/>
      </c>
      <c r="BA544" s="5" t="str">
        <f aca="false">IF($B544="","",IF(AZ544&gt;0,1,0))</f>
        <v/>
      </c>
      <c r="BB544" s="5" t="str">
        <f aca="false">IF($AP544="","",IF((($AP544="Engineering and Technology")+($AP544="Science and Mathematics")+($AP544="Computer Science, IT and Allied Fields")+($AP544="Life Sciences /Medicine and Healthcare")+($AP544="Paramedical")+($AP544="Architecture")+($AP544="Environmental Service")+($AP544="Agriculture, Food Industry and Forestry"))&gt;0,"Science",IF((($AP544="Banking and Finance")+($AP544="Management and Administration")+($AP544="Marketing")+($AP544="Sales")+($AP544="Entrepreneurship")+($AP544="Hospitality and Tourism"))&gt;0,"Commerce",IF((($AP544="Social Sciences and Humanities")+($AP544="Law Studies")+($AP544="Education and Training")+($AP544="Art, Design")+($AP544="Entertainment and Mass Media")+($AP544="Community and Social Service")+($AP544="Personal Care and Services")+($AP544="Government and Public Administration")+($AP544="Defence/ Protective Service")+($AP544="Sports"))&gt;0,"Arts / Humanities",""))))</f>
        <v/>
      </c>
      <c r="BC544" s="5" t="str">
        <f aca="false">IF($AL544="","",IF((($AL544="Engineering and Technology")+($AL544="Science and Mathematics")+($AL544="Computer Science, IT and Allied Fields")+($AL544="Life Sciences /Medicine and Healthcare")+($AL544="Paramedical")+($AL544="Architecture")+($AL544="Environmental Service")+($AL544="Agriculture, Food Industry and Forestry"))&gt;0,"Science",IF((($AL544="Banking and Finance")+($AL544="Management and Administration")+($AL544="Marketing")+($AL544="Sales")+($AL544="Entrepreneurship")+($AL544="Hospitality and Tourism"))&gt;0,"Commerce",IF((($AL544="Social Sciences and Humanities")+($AL544="Law Studies")+($AL544="Education and Training")+($AL544="Art, Design")+($AL544="Entertainment and Mass Media")+($AL544="Community and Social Service")+($AL544="Personal Care and Services")+($AL544="Government and Public Administration")+($AL544="Defence/ Protective Service")+($AL544="Sports"))&gt;0,"Arts / Humanities",""))))</f>
        <v/>
      </c>
      <c r="BD544" s="5" t="str">
        <f aca="false">IF($B544="","",--(F544&gt;=10)+--(G544&gt;=10)+--(H544&gt;=10)+--(I544&gt;=10)+--(J544&gt;=10)+--(K544&gt;=10)+--(L544&gt;=10)+--(M544&gt;=10)+--(N544&gt;=10)+--(O544&gt;=10))</f>
        <v/>
      </c>
      <c r="BE544" s="5" t="str">
        <f aca="false">IF($B544="","",--(AND(F544&lt;&gt;"",F544&lt;=8))+--(AND(G544&lt;&gt;"",G544&lt;=8))+--(AND(H544&lt;&gt;"",H544&lt;=8))+--(AND(I544&lt;&gt;"",I544&lt;=8))+--(AND(J544&lt;&gt;"",J544&lt;=8))+--(AND(K544&lt;&gt;"",K544&lt;=8))+--(AND(L544&lt;&gt;"",L544&lt;=8))+--(AND(M544&lt;&gt;"",M544&lt;=8))+--(AND(N544&lt;&gt;"",N544&lt;=8))+--(AND(O544&lt;&gt;"",O544&lt;=8)))</f>
        <v/>
      </c>
    </row>
    <row r="545" customFormat="false" ht="15" hidden="false" customHeight="false" outlineLevel="0" collapsed="false">
      <c r="AZ545" s="5" t="str">
        <f aca="false">IF($B545="","",SUMPRODUCT(($AL545:$AO545&lt;&gt;"")*(COUNTIF($AP545:$AX545,$AL545:$AO545)&gt;0)))</f>
        <v/>
      </c>
      <c r="BA545" s="5" t="str">
        <f aca="false">IF($B545="","",IF(AZ545&gt;0,1,0))</f>
        <v/>
      </c>
      <c r="BB545" s="5" t="str">
        <f aca="false">IF($AP545="","",IF((($AP545="Engineering and Technology")+($AP545="Science and Mathematics")+($AP545="Computer Science, IT and Allied Fields")+($AP545="Life Sciences /Medicine and Healthcare")+($AP545="Paramedical")+($AP545="Architecture")+($AP545="Environmental Service")+($AP545="Agriculture, Food Industry and Forestry"))&gt;0,"Science",IF((($AP545="Banking and Finance")+($AP545="Management and Administration")+($AP545="Marketing")+($AP545="Sales")+($AP545="Entrepreneurship")+($AP545="Hospitality and Tourism"))&gt;0,"Commerce",IF((($AP545="Social Sciences and Humanities")+($AP545="Law Studies")+($AP545="Education and Training")+($AP545="Art, Design")+($AP545="Entertainment and Mass Media")+($AP545="Community and Social Service")+($AP545="Personal Care and Services")+($AP545="Government and Public Administration")+($AP545="Defence/ Protective Service")+($AP545="Sports"))&gt;0,"Arts / Humanities",""))))</f>
        <v/>
      </c>
      <c r="BC545" s="5" t="str">
        <f aca="false">IF($AL545="","",IF((($AL545="Engineering and Technology")+($AL545="Science and Mathematics")+($AL545="Computer Science, IT and Allied Fields")+($AL545="Life Sciences /Medicine and Healthcare")+($AL545="Paramedical")+($AL545="Architecture")+($AL545="Environmental Service")+($AL545="Agriculture, Food Industry and Forestry"))&gt;0,"Science",IF((($AL545="Banking and Finance")+($AL545="Management and Administration")+($AL545="Marketing")+($AL545="Sales")+($AL545="Entrepreneurship")+($AL545="Hospitality and Tourism"))&gt;0,"Commerce",IF((($AL545="Social Sciences and Humanities")+($AL545="Law Studies")+($AL545="Education and Training")+($AL545="Art, Design")+($AL545="Entertainment and Mass Media")+($AL545="Community and Social Service")+($AL545="Personal Care and Services")+($AL545="Government and Public Administration")+($AL545="Defence/ Protective Service")+($AL545="Sports"))&gt;0,"Arts / Humanities",""))))</f>
        <v/>
      </c>
      <c r="BD545" s="5" t="str">
        <f aca="false">IF($B545="","",--(F545&gt;=10)+--(G545&gt;=10)+--(H545&gt;=10)+--(I545&gt;=10)+--(J545&gt;=10)+--(K545&gt;=10)+--(L545&gt;=10)+--(M545&gt;=10)+--(N545&gt;=10)+--(O545&gt;=10))</f>
        <v/>
      </c>
      <c r="BE545" s="5" t="str">
        <f aca="false">IF($B545="","",--(AND(F545&lt;&gt;"",F545&lt;=8))+--(AND(G545&lt;&gt;"",G545&lt;=8))+--(AND(H545&lt;&gt;"",H545&lt;=8))+--(AND(I545&lt;&gt;"",I545&lt;=8))+--(AND(J545&lt;&gt;"",J545&lt;=8))+--(AND(K545&lt;&gt;"",K545&lt;=8))+--(AND(L545&lt;&gt;"",L545&lt;=8))+--(AND(M545&lt;&gt;"",M545&lt;=8))+--(AND(N545&lt;&gt;"",N545&lt;=8))+--(AND(O545&lt;&gt;"",O545&lt;=8)))</f>
        <v/>
      </c>
    </row>
    <row r="546" customFormat="false" ht="15" hidden="false" customHeight="false" outlineLevel="0" collapsed="false">
      <c r="AZ546" s="5" t="str">
        <f aca="false">IF($B546="","",SUMPRODUCT(($AL546:$AO546&lt;&gt;"")*(COUNTIF($AP546:$AX546,$AL546:$AO546)&gt;0)))</f>
        <v/>
      </c>
      <c r="BA546" s="5" t="str">
        <f aca="false">IF($B546="","",IF(AZ546&gt;0,1,0))</f>
        <v/>
      </c>
      <c r="BB546" s="5" t="str">
        <f aca="false">IF($AP546="","",IF((($AP546="Engineering and Technology")+($AP546="Science and Mathematics")+($AP546="Computer Science, IT and Allied Fields")+($AP546="Life Sciences /Medicine and Healthcare")+($AP546="Paramedical")+($AP546="Architecture")+($AP546="Environmental Service")+($AP546="Agriculture, Food Industry and Forestry"))&gt;0,"Science",IF((($AP546="Banking and Finance")+($AP546="Management and Administration")+($AP546="Marketing")+($AP546="Sales")+($AP546="Entrepreneurship")+($AP546="Hospitality and Tourism"))&gt;0,"Commerce",IF((($AP546="Social Sciences and Humanities")+($AP546="Law Studies")+($AP546="Education and Training")+($AP546="Art, Design")+($AP546="Entertainment and Mass Media")+($AP546="Community and Social Service")+($AP546="Personal Care and Services")+($AP546="Government and Public Administration")+($AP546="Defence/ Protective Service")+($AP546="Sports"))&gt;0,"Arts / Humanities",""))))</f>
        <v/>
      </c>
      <c r="BC546" s="5" t="str">
        <f aca="false">IF($AL546="","",IF((($AL546="Engineering and Technology")+($AL546="Science and Mathematics")+($AL546="Computer Science, IT and Allied Fields")+($AL546="Life Sciences /Medicine and Healthcare")+($AL546="Paramedical")+($AL546="Architecture")+($AL546="Environmental Service")+($AL546="Agriculture, Food Industry and Forestry"))&gt;0,"Science",IF((($AL546="Banking and Finance")+($AL546="Management and Administration")+($AL546="Marketing")+($AL546="Sales")+($AL546="Entrepreneurship")+($AL546="Hospitality and Tourism"))&gt;0,"Commerce",IF((($AL546="Social Sciences and Humanities")+($AL546="Law Studies")+($AL546="Education and Training")+($AL546="Art, Design")+($AL546="Entertainment and Mass Media")+($AL546="Community and Social Service")+($AL546="Personal Care and Services")+($AL546="Government and Public Administration")+($AL546="Defence/ Protective Service")+($AL546="Sports"))&gt;0,"Arts / Humanities",""))))</f>
        <v/>
      </c>
      <c r="BD546" s="5" t="str">
        <f aca="false">IF($B546="","",--(F546&gt;=10)+--(G546&gt;=10)+--(H546&gt;=10)+--(I546&gt;=10)+--(J546&gt;=10)+--(K546&gt;=10)+--(L546&gt;=10)+--(M546&gt;=10)+--(N546&gt;=10)+--(O546&gt;=10))</f>
        <v/>
      </c>
      <c r="BE546" s="5" t="str">
        <f aca="false">IF($B546="","",--(AND(F546&lt;&gt;"",F546&lt;=8))+--(AND(G546&lt;&gt;"",G546&lt;=8))+--(AND(H546&lt;&gt;"",H546&lt;=8))+--(AND(I546&lt;&gt;"",I546&lt;=8))+--(AND(J546&lt;&gt;"",J546&lt;=8))+--(AND(K546&lt;&gt;"",K546&lt;=8))+--(AND(L546&lt;&gt;"",L546&lt;=8))+--(AND(M546&lt;&gt;"",M546&lt;=8))+--(AND(N546&lt;&gt;"",N546&lt;=8))+--(AND(O546&lt;&gt;"",O546&lt;=8)))</f>
        <v/>
      </c>
    </row>
    <row r="547" customFormat="false" ht="15" hidden="false" customHeight="false" outlineLevel="0" collapsed="false">
      <c r="AZ547" s="5" t="str">
        <f aca="false">IF($B547="","",SUMPRODUCT(($AL547:$AO547&lt;&gt;"")*(COUNTIF($AP547:$AX547,$AL547:$AO547)&gt;0)))</f>
        <v/>
      </c>
      <c r="BA547" s="5" t="str">
        <f aca="false">IF($B547="","",IF(AZ547&gt;0,1,0))</f>
        <v/>
      </c>
      <c r="BB547" s="5" t="str">
        <f aca="false">IF($AP547="","",IF((($AP547="Engineering and Technology")+($AP547="Science and Mathematics")+($AP547="Computer Science, IT and Allied Fields")+($AP547="Life Sciences /Medicine and Healthcare")+($AP547="Paramedical")+($AP547="Architecture")+($AP547="Environmental Service")+($AP547="Agriculture, Food Industry and Forestry"))&gt;0,"Science",IF((($AP547="Banking and Finance")+($AP547="Management and Administration")+($AP547="Marketing")+($AP547="Sales")+($AP547="Entrepreneurship")+($AP547="Hospitality and Tourism"))&gt;0,"Commerce",IF((($AP547="Social Sciences and Humanities")+($AP547="Law Studies")+($AP547="Education and Training")+($AP547="Art, Design")+($AP547="Entertainment and Mass Media")+($AP547="Community and Social Service")+($AP547="Personal Care and Services")+($AP547="Government and Public Administration")+($AP547="Defence/ Protective Service")+($AP547="Sports"))&gt;0,"Arts / Humanities",""))))</f>
        <v/>
      </c>
      <c r="BC547" s="5" t="str">
        <f aca="false">IF($AL547="","",IF((($AL547="Engineering and Technology")+($AL547="Science and Mathematics")+($AL547="Computer Science, IT and Allied Fields")+($AL547="Life Sciences /Medicine and Healthcare")+($AL547="Paramedical")+($AL547="Architecture")+($AL547="Environmental Service")+($AL547="Agriculture, Food Industry and Forestry"))&gt;0,"Science",IF((($AL547="Banking and Finance")+($AL547="Management and Administration")+($AL547="Marketing")+($AL547="Sales")+($AL547="Entrepreneurship")+($AL547="Hospitality and Tourism"))&gt;0,"Commerce",IF((($AL547="Social Sciences and Humanities")+($AL547="Law Studies")+($AL547="Education and Training")+($AL547="Art, Design")+($AL547="Entertainment and Mass Media")+($AL547="Community and Social Service")+($AL547="Personal Care and Services")+($AL547="Government and Public Administration")+($AL547="Defence/ Protective Service")+($AL547="Sports"))&gt;0,"Arts / Humanities",""))))</f>
        <v/>
      </c>
      <c r="BD547" s="5" t="str">
        <f aca="false">IF($B547="","",--(F547&gt;=10)+--(G547&gt;=10)+--(H547&gt;=10)+--(I547&gt;=10)+--(J547&gt;=10)+--(K547&gt;=10)+--(L547&gt;=10)+--(M547&gt;=10)+--(N547&gt;=10)+--(O547&gt;=10))</f>
        <v/>
      </c>
      <c r="BE547" s="5" t="str">
        <f aca="false">IF($B547="","",--(AND(F547&lt;&gt;"",F547&lt;=8))+--(AND(G547&lt;&gt;"",G547&lt;=8))+--(AND(H547&lt;&gt;"",H547&lt;=8))+--(AND(I547&lt;&gt;"",I547&lt;=8))+--(AND(J547&lt;&gt;"",J547&lt;=8))+--(AND(K547&lt;&gt;"",K547&lt;=8))+--(AND(L547&lt;&gt;"",L547&lt;=8))+--(AND(M547&lt;&gt;"",M547&lt;=8))+--(AND(N547&lt;&gt;"",N547&lt;=8))+--(AND(O547&lt;&gt;"",O547&lt;=8)))</f>
        <v/>
      </c>
    </row>
    <row r="548" customFormat="false" ht="15" hidden="false" customHeight="false" outlineLevel="0" collapsed="false">
      <c r="AZ548" s="5" t="str">
        <f aca="false">IF($B548="","",SUMPRODUCT(($AL548:$AO548&lt;&gt;"")*(COUNTIF($AP548:$AX548,$AL548:$AO548)&gt;0)))</f>
        <v/>
      </c>
      <c r="BA548" s="5" t="str">
        <f aca="false">IF($B548="","",IF(AZ548&gt;0,1,0))</f>
        <v/>
      </c>
      <c r="BB548" s="5" t="str">
        <f aca="false">IF($AP548="","",IF((($AP548="Engineering and Technology")+($AP548="Science and Mathematics")+($AP548="Computer Science, IT and Allied Fields")+($AP548="Life Sciences /Medicine and Healthcare")+($AP548="Paramedical")+($AP548="Architecture")+($AP548="Environmental Service")+($AP548="Agriculture, Food Industry and Forestry"))&gt;0,"Science",IF((($AP548="Banking and Finance")+($AP548="Management and Administration")+($AP548="Marketing")+($AP548="Sales")+($AP548="Entrepreneurship")+($AP548="Hospitality and Tourism"))&gt;0,"Commerce",IF((($AP548="Social Sciences and Humanities")+($AP548="Law Studies")+($AP548="Education and Training")+($AP548="Art, Design")+($AP548="Entertainment and Mass Media")+($AP548="Community and Social Service")+($AP548="Personal Care and Services")+($AP548="Government and Public Administration")+($AP548="Defence/ Protective Service")+($AP548="Sports"))&gt;0,"Arts / Humanities",""))))</f>
        <v/>
      </c>
      <c r="BC548" s="5" t="str">
        <f aca="false">IF($AL548="","",IF((($AL548="Engineering and Technology")+($AL548="Science and Mathematics")+($AL548="Computer Science, IT and Allied Fields")+($AL548="Life Sciences /Medicine and Healthcare")+($AL548="Paramedical")+($AL548="Architecture")+($AL548="Environmental Service")+($AL548="Agriculture, Food Industry and Forestry"))&gt;0,"Science",IF((($AL548="Banking and Finance")+($AL548="Management and Administration")+($AL548="Marketing")+($AL548="Sales")+($AL548="Entrepreneurship")+($AL548="Hospitality and Tourism"))&gt;0,"Commerce",IF((($AL548="Social Sciences and Humanities")+($AL548="Law Studies")+($AL548="Education and Training")+($AL548="Art, Design")+($AL548="Entertainment and Mass Media")+($AL548="Community and Social Service")+($AL548="Personal Care and Services")+($AL548="Government and Public Administration")+($AL548="Defence/ Protective Service")+($AL548="Sports"))&gt;0,"Arts / Humanities",""))))</f>
        <v/>
      </c>
      <c r="BD548" s="5" t="str">
        <f aca="false">IF($B548="","",--(F548&gt;=10)+--(G548&gt;=10)+--(H548&gt;=10)+--(I548&gt;=10)+--(J548&gt;=10)+--(K548&gt;=10)+--(L548&gt;=10)+--(M548&gt;=10)+--(N548&gt;=10)+--(O548&gt;=10))</f>
        <v/>
      </c>
      <c r="BE548" s="5" t="str">
        <f aca="false">IF($B548="","",--(AND(F548&lt;&gt;"",F548&lt;=8))+--(AND(G548&lt;&gt;"",G548&lt;=8))+--(AND(H548&lt;&gt;"",H548&lt;=8))+--(AND(I548&lt;&gt;"",I548&lt;=8))+--(AND(J548&lt;&gt;"",J548&lt;=8))+--(AND(K548&lt;&gt;"",K548&lt;=8))+--(AND(L548&lt;&gt;"",L548&lt;=8))+--(AND(M548&lt;&gt;"",M548&lt;=8))+--(AND(N548&lt;&gt;"",N548&lt;=8))+--(AND(O548&lt;&gt;"",O548&lt;=8)))</f>
        <v/>
      </c>
    </row>
    <row r="549" customFormat="false" ht="15" hidden="false" customHeight="false" outlineLevel="0" collapsed="false">
      <c r="AZ549" s="5" t="str">
        <f aca="false">IF($B549="","",SUMPRODUCT(($AL549:$AO549&lt;&gt;"")*(COUNTIF($AP549:$AX549,$AL549:$AO549)&gt;0)))</f>
        <v/>
      </c>
      <c r="BA549" s="5" t="str">
        <f aca="false">IF($B549="","",IF(AZ549&gt;0,1,0))</f>
        <v/>
      </c>
      <c r="BB549" s="5" t="str">
        <f aca="false">IF($AP549="","",IF((($AP549="Engineering and Technology")+($AP549="Science and Mathematics")+($AP549="Computer Science, IT and Allied Fields")+($AP549="Life Sciences /Medicine and Healthcare")+($AP549="Paramedical")+($AP549="Architecture")+($AP549="Environmental Service")+($AP549="Agriculture, Food Industry and Forestry"))&gt;0,"Science",IF((($AP549="Banking and Finance")+($AP549="Management and Administration")+($AP549="Marketing")+($AP549="Sales")+($AP549="Entrepreneurship")+($AP549="Hospitality and Tourism"))&gt;0,"Commerce",IF((($AP549="Social Sciences and Humanities")+($AP549="Law Studies")+($AP549="Education and Training")+($AP549="Art, Design")+($AP549="Entertainment and Mass Media")+($AP549="Community and Social Service")+($AP549="Personal Care and Services")+($AP549="Government and Public Administration")+($AP549="Defence/ Protective Service")+($AP549="Sports"))&gt;0,"Arts / Humanities",""))))</f>
        <v/>
      </c>
      <c r="BC549" s="5" t="str">
        <f aca="false">IF($AL549="","",IF((($AL549="Engineering and Technology")+($AL549="Science and Mathematics")+($AL549="Computer Science, IT and Allied Fields")+($AL549="Life Sciences /Medicine and Healthcare")+($AL549="Paramedical")+($AL549="Architecture")+($AL549="Environmental Service")+($AL549="Agriculture, Food Industry and Forestry"))&gt;0,"Science",IF((($AL549="Banking and Finance")+($AL549="Management and Administration")+($AL549="Marketing")+($AL549="Sales")+($AL549="Entrepreneurship")+($AL549="Hospitality and Tourism"))&gt;0,"Commerce",IF((($AL549="Social Sciences and Humanities")+($AL549="Law Studies")+($AL549="Education and Training")+($AL549="Art, Design")+($AL549="Entertainment and Mass Media")+($AL549="Community and Social Service")+($AL549="Personal Care and Services")+($AL549="Government and Public Administration")+($AL549="Defence/ Protective Service")+($AL549="Sports"))&gt;0,"Arts / Humanities",""))))</f>
        <v/>
      </c>
      <c r="BD549" s="5" t="str">
        <f aca="false">IF($B549="","",--(F549&gt;=10)+--(G549&gt;=10)+--(H549&gt;=10)+--(I549&gt;=10)+--(J549&gt;=10)+--(K549&gt;=10)+--(L549&gt;=10)+--(M549&gt;=10)+--(N549&gt;=10)+--(O549&gt;=10))</f>
        <v/>
      </c>
      <c r="BE549" s="5" t="str">
        <f aca="false">IF($B549="","",--(AND(F549&lt;&gt;"",F549&lt;=8))+--(AND(G549&lt;&gt;"",G549&lt;=8))+--(AND(H549&lt;&gt;"",H549&lt;=8))+--(AND(I549&lt;&gt;"",I549&lt;=8))+--(AND(J549&lt;&gt;"",J549&lt;=8))+--(AND(K549&lt;&gt;"",K549&lt;=8))+--(AND(L549&lt;&gt;"",L549&lt;=8))+--(AND(M549&lt;&gt;"",M549&lt;=8))+--(AND(N549&lt;&gt;"",N549&lt;=8))+--(AND(O549&lt;&gt;"",O549&lt;=8)))</f>
        <v/>
      </c>
    </row>
    <row r="550" customFormat="false" ht="15" hidden="false" customHeight="false" outlineLevel="0" collapsed="false">
      <c r="AZ550" s="5" t="str">
        <f aca="false">IF($B550="","",SUMPRODUCT(($AL550:$AO550&lt;&gt;"")*(COUNTIF($AP550:$AX550,$AL550:$AO550)&gt;0)))</f>
        <v/>
      </c>
      <c r="BA550" s="5" t="str">
        <f aca="false">IF($B550="","",IF(AZ550&gt;0,1,0))</f>
        <v/>
      </c>
      <c r="BB550" s="5" t="str">
        <f aca="false">IF($AP550="","",IF((($AP550="Engineering and Technology")+($AP550="Science and Mathematics")+($AP550="Computer Science, IT and Allied Fields")+($AP550="Life Sciences /Medicine and Healthcare")+($AP550="Paramedical")+($AP550="Architecture")+($AP550="Environmental Service")+($AP550="Agriculture, Food Industry and Forestry"))&gt;0,"Science",IF((($AP550="Banking and Finance")+($AP550="Management and Administration")+($AP550="Marketing")+($AP550="Sales")+($AP550="Entrepreneurship")+($AP550="Hospitality and Tourism"))&gt;0,"Commerce",IF((($AP550="Social Sciences and Humanities")+($AP550="Law Studies")+($AP550="Education and Training")+($AP550="Art, Design")+($AP550="Entertainment and Mass Media")+($AP550="Community and Social Service")+($AP550="Personal Care and Services")+($AP550="Government and Public Administration")+($AP550="Defence/ Protective Service")+($AP550="Sports"))&gt;0,"Arts / Humanities",""))))</f>
        <v/>
      </c>
      <c r="BC550" s="5" t="str">
        <f aca="false">IF($AL550="","",IF((($AL550="Engineering and Technology")+($AL550="Science and Mathematics")+($AL550="Computer Science, IT and Allied Fields")+($AL550="Life Sciences /Medicine and Healthcare")+($AL550="Paramedical")+($AL550="Architecture")+($AL550="Environmental Service")+($AL550="Agriculture, Food Industry and Forestry"))&gt;0,"Science",IF((($AL550="Banking and Finance")+($AL550="Management and Administration")+($AL550="Marketing")+($AL550="Sales")+($AL550="Entrepreneurship")+($AL550="Hospitality and Tourism"))&gt;0,"Commerce",IF((($AL550="Social Sciences and Humanities")+($AL550="Law Studies")+($AL550="Education and Training")+($AL550="Art, Design")+($AL550="Entertainment and Mass Media")+($AL550="Community and Social Service")+($AL550="Personal Care and Services")+($AL550="Government and Public Administration")+($AL550="Defence/ Protective Service")+($AL550="Sports"))&gt;0,"Arts / Humanities",""))))</f>
        <v/>
      </c>
      <c r="BD550" s="5" t="str">
        <f aca="false">IF($B550="","",--(F550&gt;=10)+--(G550&gt;=10)+--(H550&gt;=10)+--(I550&gt;=10)+--(J550&gt;=10)+--(K550&gt;=10)+--(L550&gt;=10)+--(M550&gt;=10)+--(N550&gt;=10)+--(O550&gt;=10))</f>
        <v/>
      </c>
      <c r="BE550" s="5" t="str">
        <f aca="false">IF($B550="","",--(AND(F550&lt;&gt;"",F550&lt;=8))+--(AND(G550&lt;&gt;"",G550&lt;=8))+--(AND(H550&lt;&gt;"",H550&lt;=8))+--(AND(I550&lt;&gt;"",I550&lt;=8))+--(AND(J550&lt;&gt;"",J550&lt;=8))+--(AND(K550&lt;&gt;"",K550&lt;=8))+--(AND(L550&lt;&gt;"",L550&lt;=8))+--(AND(M550&lt;&gt;"",M550&lt;=8))+--(AND(N550&lt;&gt;"",N550&lt;=8))+--(AND(O550&lt;&gt;"",O550&lt;=8)))</f>
        <v/>
      </c>
    </row>
    <row r="551" customFormat="false" ht="15" hidden="false" customHeight="false" outlineLevel="0" collapsed="false">
      <c r="AZ551" s="5" t="str">
        <f aca="false">IF($B551="","",SUMPRODUCT(($AL551:$AO551&lt;&gt;"")*(COUNTIF($AP551:$AX551,$AL551:$AO551)&gt;0)))</f>
        <v/>
      </c>
      <c r="BA551" s="5" t="str">
        <f aca="false">IF($B551="","",IF(AZ551&gt;0,1,0))</f>
        <v/>
      </c>
      <c r="BB551" s="5" t="str">
        <f aca="false">IF($AP551="","",IF((($AP551="Engineering and Technology")+($AP551="Science and Mathematics")+($AP551="Computer Science, IT and Allied Fields")+($AP551="Life Sciences /Medicine and Healthcare")+($AP551="Paramedical")+($AP551="Architecture")+($AP551="Environmental Service")+($AP551="Agriculture, Food Industry and Forestry"))&gt;0,"Science",IF((($AP551="Banking and Finance")+($AP551="Management and Administration")+($AP551="Marketing")+($AP551="Sales")+($AP551="Entrepreneurship")+($AP551="Hospitality and Tourism"))&gt;0,"Commerce",IF((($AP551="Social Sciences and Humanities")+($AP551="Law Studies")+($AP551="Education and Training")+($AP551="Art, Design")+($AP551="Entertainment and Mass Media")+($AP551="Community and Social Service")+($AP551="Personal Care and Services")+($AP551="Government and Public Administration")+($AP551="Defence/ Protective Service")+($AP551="Sports"))&gt;0,"Arts / Humanities",""))))</f>
        <v/>
      </c>
      <c r="BC551" s="5" t="str">
        <f aca="false">IF($AL551="","",IF((($AL551="Engineering and Technology")+($AL551="Science and Mathematics")+($AL551="Computer Science, IT and Allied Fields")+($AL551="Life Sciences /Medicine and Healthcare")+($AL551="Paramedical")+($AL551="Architecture")+($AL551="Environmental Service")+($AL551="Agriculture, Food Industry and Forestry"))&gt;0,"Science",IF((($AL551="Banking and Finance")+($AL551="Management and Administration")+($AL551="Marketing")+($AL551="Sales")+($AL551="Entrepreneurship")+($AL551="Hospitality and Tourism"))&gt;0,"Commerce",IF((($AL551="Social Sciences and Humanities")+($AL551="Law Studies")+($AL551="Education and Training")+($AL551="Art, Design")+($AL551="Entertainment and Mass Media")+($AL551="Community and Social Service")+($AL551="Personal Care and Services")+($AL551="Government and Public Administration")+($AL551="Defence/ Protective Service")+($AL551="Sports"))&gt;0,"Arts / Humanities",""))))</f>
        <v/>
      </c>
      <c r="BD551" s="5" t="str">
        <f aca="false">IF($B551="","",--(F551&gt;=10)+--(G551&gt;=10)+--(H551&gt;=10)+--(I551&gt;=10)+--(J551&gt;=10)+--(K551&gt;=10)+--(L551&gt;=10)+--(M551&gt;=10)+--(N551&gt;=10)+--(O551&gt;=10))</f>
        <v/>
      </c>
      <c r="BE551" s="5" t="str">
        <f aca="false">IF($B551="","",--(AND(F551&lt;&gt;"",F551&lt;=8))+--(AND(G551&lt;&gt;"",G551&lt;=8))+--(AND(H551&lt;&gt;"",H551&lt;=8))+--(AND(I551&lt;&gt;"",I551&lt;=8))+--(AND(J551&lt;&gt;"",J551&lt;=8))+--(AND(K551&lt;&gt;"",K551&lt;=8))+--(AND(L551&lt;&gt;"",L551&lt;=8))+--(AND(M551&lt;&gt;"",M551&lt;=8))+--(AND(N551&lt;&gt;"",N551&lt;=8))+--(AND(O551&lt;&gt;"",O551&lt;=8)))</f>
        <v/>
      </c>
    </row>
    <row r="552" customFormat="false" ht="15" hidden="false" customHeight="false" outlineLevel="0" collapsed="false">
      <c r="AZ552" s="5" t="str">
        <f aca="false">IF($B552="","",SUMPRODUCT(($AL552:$AO552&lt;&gt;"")*(COUNTIF($AP552:$AX552,$AL552:$AO552)&gt;0)))</f>
        <v/>
      </c>
      <c r="BA552" s="5" t="str">
        <f aca="false">IF($B552="","",IF(AZ552&gt;0,1,0))</f>
        <v/>
      </c>
      <c r="BB552" s="5" t="str">
        <f aca="false">IF($AP552="","",IF((($AP552="Engineering and Technology")+($AP552="Science and Mathematics")+($AP552="Computer Science, IT and Allied Fields")+($AP552="Life Sciences /Medicine and Healthcare")+($AP552="Paramedical")+($AP552="Architecture")+($AP552="Environmental Service")+($AP552="Agriculture, Food Industry and Forestry"))&gt;0,"Science",IF((($AP552="Banking and Finance")+($AP552="Management and Administration")+($AP552="Marketing")+($AP552="Sales")+($AP552="Entrepreneurship")+($AP552="Hospitality and Tourism"))&gt;0,"Commerce",IF((($AP552="Social Sciences and Humanities")+($AP552="Law Studies")+($AP552="Education and Training")+($AP552="Art, Design")+($AP552="Entertainment and Mass Media")+($AP552="Community and Social Service")+($AP552="Personal Care and Services")+($AP552="Government and Public Administration")+($AP552="Defence/ Protective Service")+($AP552="Sports"))&gt;0,"Arts / Humanities",""))))</f>
        <v/>
      </c>
      <c r="BC552" s="5" t="str">
        <f aca="false">IF($AL552="","",IF((($AL552="Engineering and Technology")+($AL552="Science and Mathematics")+($AL552="Computer Science, IT and Allied Fields")+($AL552="Life Sciences /Medicine and Healthcare")+($AL552="Paramedical")+($AL552="Architecture")+($AL552="Environmental Service")+($AL552="Agriculture, Food Industry and Forestry"))&gt;0,"Science",IF((($AL552="Banking and Finance")+($AL552="Management and Administration")+($AL552="Marketing")+($AL552="Sales")+($AL552="Entrepreneurship")+($AL552="Hospitality and Tourism"))&gt;0,"Commerce",IF((($AL552="Social Sciences and Humanities")+($AL552="Law Studies")+($AL552="Education and Training")+($AL552="Art, Design")+($AL552="Entertainment and Mass Media")+($AL552="Community and Social Service")+($AL552="Personal Care and Services")+($AL552="Government and Public Administration")+($AL552="Defence/ Protective Service")+($AL552="Sports"))&gt;0,"Arts / Humanities",""))))</f>
        <v/>
      </c>
      <c r="BD552" s="5" t="str">
        <f aca="false">IF($B552="","",--(F552&gt;=10)+--(G552&gt;=10)+--(H552&gt;=10)+--(I552&gt;=10)+--(J552&gt;=10)+--(K552&gt;=10)+--(L552&gt;=10)+--(M552&gt;=10)+--(N552&gt;=10)+--(O552&gt;=10))</f>
        <v/>
      </c>
      <c r="BE552" s="5" t="str">
        <f aca="false">IF($B552="","",--(AND(F552&lt;&gt;"",F552&lt;=8))+--(AND(G552&lt;&gt;"",G552&lt;=8))+--(AND(H552&lt;&gt;"",H552&lt;=8))+--(AND(I552&lt;&gt;"",I552&lt;=8))+--(AND(J552&lt;&gt;"",J552&lt;=8))+--(AND(K552&lt;&gt;"",K552&lt;=8))+--(AND(L552&lt;&gt;"",L552&lt;=8))+--(AND(M552&lt;&gt;"",M552&lt;=8))+--(AND(N552&lt;&gt;"",N552&lt;=8))+--(AND(O552&lt;&gt;"",O552&lt;=8)))</f>
        <v/>
      </c>
    </row>
    <row r="553" customFormat="false" ht="15" hidden="false" customHeight="false" outlineLevel="0" collapsed="false">
      <c r="AZ553" s="5" t="str">
        <f aca="false">IF($B553="","",SUMPRODUCT(($AL553:$AO553&lt;&gt;"")*(COUNTIF($AP553:$AX553,$AL553:$AO553)&gt;0)))</f>
        <v/>
      </c>
      <c r="BA553" s="5" t="str">
        <f aca="false">IF($B553="","",IF(AZ553&gt;0,1,0))</f>
        <v/>
      </c>
      <c r="BB553" s="5" t="str">
        <f aca="false">IF($AP553="","",IF((($AP553="Engineering and Technology")+($AP553="Science and Mathematics")+($AP553="Computer Science, IT and Allied Fields")+($AP553="Life Sciences /Medicine and Healthcare")+($AP553="Paramedical")+($AP553="Architecture")+($AP553="Environmental Service")+($AP553="Agriculture, Food Industry and Forestry"))&gt;0,"Science",IF((($AP553="Banking and Finance")+($AP553="Management and Administration")+($AP553="Marketing")+($AP553="Sales")+($AP553="Entrepreneurship")+($AP553="Hospitality and Tourism"))&gt;0,"Commerce",IF((($AP553="Social Sciences and Humanities")+($AP553="Law Studies")+($AP553="Education and Training")+($AP553="Art, Design")+($AP553="Entertainment and Mass Media")+($AP553="Community and Social Service")+($AP553="Personal Care and Services")+($AP553="Government and Public Administration")+($AP553="Defence/ Protective Service")+($AP553="Sports"))&gt;0,"Arts / Humanities",""))))</f>
        <v/>
      </c>
      <c r="BC553" s="5" t="str">
        <f aca="false">IF($AL553="","",IF((($AL553="Engineering and Technology")+($AL553="Science and Mathematics")+($AL553="Computer Science, IT and Allied Fields")+($AL553="Life Sciences /Medicine and Healthcare")+($AL553="Paramedical")+($AL553="Architecture")+($AL553="Environmental Service")+($AL553="Agriculture, Food Industry and Forestry"))&gt;0,"Science",IF((($AL553="Banking and Finance")+($AL553="Management and Administration")+($AL553="Marketing")+($AL553="Sales")+($AL553="Entrepreneurship")+($AL553="Hospitality and Tourism"))&gt;0,"Commerce",IF((($AL553="Social Sciences and Humanities")+($AL553="Law Studies")+($AL553="Education and Training")+($AL553="Art, Design")+($AL553="Entertainment and Mass Media")+($AL553="Community and Social Service")+($AL553="Personal Care and Services")+($AL553="Government and Public Administration")+($AL553="Defence/ Protective Service")+($AL553="Sports"))&gt;0,"Arts / Humanities",""))))</f>
        <v/>
      </c>
      <c r="BD553" s="5" t="str">
        <f aca="false">IF($B553="","",--(F553&gt;=10)+--(G553&gt;=10)+--(H553&gt;=10)+--(I553&gt;=10)+--(J553&gt;=10)+--(K553&gt;=10)+--(L553&gt;=10)+--(M553&gt;=10)+--(N553&gt;=10)+--(O553&gt;=10))</f>
        <v/>
      </c>
      <c r="BE553" s="5" t="str">
        <f aca="false">IF($B553="","",--(AND(F553&lt;&gt;"",F553&lt;=8))+--(AND(G553&lt;&gt;"",G553&lt;=8))+--(AND(H553&lt;&gt;"",H553&lt;=8))+--(AND(I553&lt;&gt;"",I553&lt;=8))+--(AND(J553&lt;&gt;"",J553&lt;=8))+--(AND(K553&lt;&gt;"",K553&lt;=8))+--(AND(L553&lt;&gt;"",L553&lt;=8))+--(AND(M553&lt;&gt;"",M553&lt;=8))+--(AND(N553&lt;&gt;"",N553&lt;=8))+--(AND(O553&lt;&gt;"",O553&lt;=8)))</f>
        <v/>
      </c>
    </row>
    <row r="554" customFormat="false" ht="15" hidden="false" customHeight="false" outlineLevel="0" collapsed="false">
      <c r="AZ554" s="5" t="str">
        <f aca="false">IF($B554="","",SUMPRODUCT(($AL554:$AO554&lt;&gt;"")*(COUNTIF($AP554:$AX554,$AL554:$AO554)&gt;0)))</f>
        <v/>
      </c>
      <c r="BA554" s="5" t="str">
        <f aca="false">IF($B554="","",IF(AZ554&gt;0,1,0))</f>
        <v/>
      </c>
      <c r="BB554" s="5" t="str">
        <f aca="false">IF($AP554="","",IF((($AP554="Engineering and Technology")+($AP554="Science and Mathematics")+($AP554="Computer Science, IT and Allied Fields")+($AP554="Life Sciences /Medicine and Healthcare")+($AP554="Paramedical")+($AP554="Architecture")+($AP554="Environmental Service")+($AP554="Agriculture, Food Industry and Forestry"))&gt;0,"Science",IF((($AP554="Banking and Finance")+($AP554="Management and Administration")+($AP554="Marketing")+($AP554="Sales")+($AP554="Entrepreneurship")+($AP554="Hospitality and Tourism"))&gt;0,"Commerce",IF((($AP554="Social Sciences and Humanities")+($AP554="Law Studies")+($AP554="Education and Training")+($AP554="Art, Design")+($AP554="Entertainment and Mass Media")+($AP554="Community and Social Service")+($AP554="Personal Care and Services")+($AP554="Government and Public Administration")+($AP554="Defence/ Protective Service")+($AP554="Sports"))&gt;0,"Arts / Humanities",""))))</f>
        <v/>
      </c>
      <c r="BC554" s="5" t="str">
        <f aca="false">IF($AL554="","",IF((($AL554="Engineering and Technology")+($AL554="Science and Mathematics")+($AL554="Computer Science, IT and Allied Fields")+($AL554="Life Sciences /Medicine and Healthcare")+($AL554="Paramedical")+($AL554="Architecture")+($AL554="Environmental Service")+($AL554="Agriculture, Food Industry and Forestry"))&gt;0,"Science",IF((($AL554="Banking and Finance")+($AL554="Management and Administration")+($AL554="Marketing")+($AL554="Sales")+($AL554="Entrepreneurship")+($AL554="Hospitality and Tourism"))&gt;0,"Commerce",IF((($AL554="Social Sciences and Humanities")+($AL554="Law Studies")+($AL554="Education and Training")+($AL554="Art, Design")+($AL554="Entertainment and Mass Media")+($AL554="Community and Social Service")+($AL554="Personal Care and Services")+($AL554="Government and Public Administration")+($AL554="Defence/ Protective Service")+($AL554="Sports"))&gt;0,"Arts / Humanities",""))))</f>
        <v/>
      </c>
      <c r="BD554" s="5" t="str">
        <f aca="false">IF($B554="","",--(F554&gt;=10)+--(G554&gt;=10)+--(H554&gt;=10)+--(I554&gt;=10)+--(J554&gt;=10)+--(K554&gt;=10)+--(L554&gt;=10)+--(M554&gt;=10)+--(N554&gt;=10)+--(O554&gt;=10))</f>
        <v/>
      </c>
      <c r="BE554" s="5" t="str">
        <f aca="false">IF($B554="","",--(AND(F554&lt;&gt;"",F554&lt;=8))+--(AND(G554&lt;&gt;"",G554&lt;=8))+--(AND(H554&lt;&gt;"",H554&lt;=8))+--(AND(I554&lt;&gt;"",I554&lt;=8))+--(AND(J554&lt;&gt;"",J554&lt;=8))+--(AND(K554&lt;&gt;"",K554&lt;=8))+--(AND(L554&lt;&gt;"",L554&lt;=8))+--(AND(M554&lt;&gt;"",M554&lt;=8))+--(AND(N554&lt;&gt;"",N554&lt;=8))+--(AND(O554&lt;&gt;"",O554&lt;=8)))</f>
        <v/>
      </c>
    </row>
    <row r="555" customFormat="false" ht="15" hidden="false" customHeight="false" outlineLevel="0" collapsed="false">
      <c r="AZ555" s="5" t="str">
        <f aca="false">IF($B555="","",SUMPRODUCT(($AL555:$AO555&lt;&gt;"")*(COUNTIF($AP555:$AX555,$AL555:$AO555)&gt;0)))</f>
        <v/>
      </c>
      <c r="BA555" s="5" t="str">
        <f aca="false">IF($B555="","",IF(AZ555&gt;0,1,0))</f>
        <v/>
      </c>
      <c r="BB555" s="5" t="str">
        <f aca="false">IF($AP555="","",IF((($AP555="Engineering and Technology")+($AP555="Science and Mathematics")+($AP555="Computer Science, IT and Allied Fields")+($AP555="Life Sciences /Medicine and Healthcare")+($AP555="Paramedical")+($AP555="Architecture")+($AP555="Environmental Service")+($AP555="Agriculture, Food Industry and Forestry"))&gt;0,"Science",IF((($AP555="Banking and Finance")+($AP555="Management and Administration")+($AP555="Marketing")+($AP555="Sales")+($AP555="Entrepreneurship")+($AP555="Hospitality and Tourism"))&gt;0,"Commerce",IF((($AP555="Social Sciences and Humanities")+($AP555="Law Studies")+($AP555="Education and Training")+($AP555="Art, Design")+($AP555="Entertainment and Mass Media")+($AP555="Community and Social Service")+($AP555="Personal Care and Services")+($AP555="Government and Public Administration")+($AP555="Defence/ Protective Service")+($AP555="Sports"))&gt;0,"Arts / Humanities",""))))</f>
        <v/>
      </c>
      <c r="BC555" s="5" t="str">
        <f aca="false">IF($AL555="","",IF((($AL555="Engineering and Technology")+($AL555="Science and Mathematics")+($AL555="Computer Science, IT and Allied Fields")+($AL555="Life Sciences /Medicine and Healthcare")+($AL555="Paramedical")+($AL555="Architecture")+($AL555="Environmental Service")+($AL555="Agriculture, Food Industry and Forestry"))&gt;0,"Science",IF((($AL555="Banking and Finance")+($AL555="Management and Administration")+($AL555="Marketing")+($AL555="Sales")+($AL555="Entrepreneurship")+($AL555="Hospitality and Tourism"))&gt;0,"Commerce",IF((($AL555="Social Sciences and Humanities")+($AL555="Law Studies")+($AL555="Education and Training")+($AL555="Art, Design")+($AL555="Entertainment and Mass Media")+($AL555="Community and Social Service")+($AL555="Personal Care and Services")+($AL555="Government and Public Administration")+($AL555="Defence/ Protective Service")+($AL555="Sports"))&gt;0,"Arts / Humanities",""))))</f>
        <v/>
      </c>
      <c r="BD555" s="5" t="str">
        <f aca="false">IF($B555="","",--(F555&gt;=10)+--(G555&gt;=10)+--(H555&gt;=10)+--(I555&gt;=10)+--(J555&gt;=10)+--(K555&gt;=10)+--(L555&gt;=10)+--(M555&gt;=10)+--(N555&gt;=10)+--(O555&gt;=10))</f>
        <v/>
      </c>
      <c r="BE555" s="5" t="str">
        <f aca="false">IF($B555="","",--(AND(F555&lt;&gt;"",F555&lt;=8))+--(AND(G555&lt;&gt;"",G555&lt;=8))+--(AND(H555&lt;&gt;"",H555&lt;=8))+--(AND(I555&lt;&gt;"",I555&lt;=8))+--(AND(J555&lt;&gt;"",J555&lt;=8))+--(AND(K555&lt;&gt;"",K555&lt;=8))+--(AND(L555&lt;&gt;"",L555&lt;=8))+--(AND(M555&lt;&gt;"",M555&lt;=8))+--(AND(N555&lt;&gt;"",N555&lt;=8))+--(AND(O555&lt;&gt;"",O555&lt;=8)))</f>
        <v/>
      </c>
    </row>
    <row r="556" customFormat="false" ht="15" hidden="false" customHeight="false" outlineLevel="0" collapsed="false">
      <c r="AZ556" s="5" t="str">
        <f aca="false">IF($B556="","",SUMPRODUCT(($AL556:$AO556&lt;&gt;"")*(COUNTIF($AP556:$AX556,$AL556:$AO556)&gt;0)))</f>
        <v/>
      </c>
      <c r="BA556" s="5" t="str">
        <f aca="false">IF($B556="","",IF(AZ556&gt;0,1,0))</f>
        <v/>
      </c>
      <c r="BB556" s="5" t="str">
        <f aca="false">IF($AP556="","",IF((($AP556="Engineering and Technology")+($AP556="Science and Mathematics")+($AP556="Computer Science, IT and Allied Fields")+($AP556="Life Sciences /Medicine and Healthcare")+($AP556="Paramedical")+($AP556="Architecture")+($AP556="Environmental Service")+($AP556="Agriculture, Food Industry and Forestry"))&gt;0,"Science",IF((($AP556="Banking and Finance")+($AP556="Management and Administration")+($AP556="Marketing")+($AP556="Sales")+($AP556="Entrepreneurship")+($AP556="Hospitality and Tourism"))&gt;0,"Commerce",IF((($AP556="Social Sciences and Humanities")+($AP556="Law Studies")+($AP556="Education and Training")+($AP556="Art, Design")+($AP556="Entertainment and Mass Media")+($AP556="Community and Social Service")+($AP556="Personal Care and Services")+($AP556="Government and Public Administration")+($AP556="Defence/ Protective Service")+($AP556="Sports"))&gt;0,"Arts / Humanities",""))))</f>
        <v/>
      </c>
      <c r="BC556" s="5" t="str">
        <f aca="false">IF($AL556="","",IF((($AL556="Engineering and Technology")+($AL556="Science and Mathematics")+($AL556="Computer Science, IT and Allied Fields")+($AL556="Life Sciences /Medicine and Healthcare")+($AL556="Paramedical")+($AL556="Architecture")+($AL556="Environmental Service")+($AL556="Agriculture, Food Industry and Forestry"))&gt;0,"Science",IF((($AL556="Banking and Finance")+($AL556="Management and Administration")+($AL556="Marketing")+($AL556="Sales")+($AL556="Entrepreneurship")+($AL556="Hospitality and Tourism"))&gt;0,"Commerce",IF((($AL556="Social Sciences and Humanities")+($AL556="Law Studies")+($AL556="Education and Training")+($AL556="Art, Design")+($AL556="Entertainment and Mass Media")+($AL556="Community and Social Service")+($AL556="Personal Care and Services")+($AL556="Government and Public Administration")+($AL556="Defence/ Protective Service")+($AL556="Sports"))&gt;0,"Arts / Humanities",""))))</f>
        <v/>
      </c>
      <c r="BD556" s="5" t="str">
        <f aca="false">IF($B556="","",--(F556&gt;=10)+--(G556&gt;=10)+--(H556&gt;=10)+--(I556&gt;=10)+--(J556&gt;=10)+--(K556&gt;=10)+--(L556&gt;=10)+--(M556&gt;=10)+--(N556&gt;=10)+--(O556&gt;=10))</f>
        <v/>
      </c>
      <c r="BE556" s="5" t="str">
        <f aca="false">IF($B556="","",--(AND(F556&lt;&gt;"",F556&lt;=8))+--(AND(G556&lt;&gt;"",G556&lt;=8))+--(AND(H556&lt;&gt;"",H556&lt;=8))+--(AND(I556&lt;&gt;"",I556&lt;=8))+--(AND(J556&lt;&gt;"",J556&lt;=8))+--(AND(K556&lt;&gt;"",K556&lt;=8))+--(AND(L556&lt;&gt;"",L556&lt;=8))+--(AND(M556&lt;&gt;"",M556&lt;=8))+--(AND(N556&lt;&gt;"",N556&lt;=8))+--(AND(O556&lt;&gt;"",O556&lt;=8)))</f>
        <v/>
      </c>
    </row>
    <row r="557" customFormat="false" ht="15" hidden="false" customHeight="false" outlineLevel="0" collapsed="false">
      <c r="AZ557" s="5" t="str">
        <f aca="false">IF($B557="","",SUMPRODUCT(($AL557:$AO557&lt;&gt;"")*(COUNTIF($AP557:$AX557,$AL557:$AO557)&gt;0)))</f>
        <v/>
      </c>
      <c r="BA557" s="5" t="str">
        <f aca="false">IF($B557="","",IF(AZ557&gt;0,1,0))</f>
        <v/>
      </c>
      <c r="BB557" s="5" t="str">
        <f aca="false">IF($AP557="","",IF((($AP557="Engineering and Technology")+($AP557="Science and Mathematics")+($AP557="Computer Science, IT and Allied Fields")+($AP557="Life Sciences /Medicine and Healthcare")+($AP557="Paramedical")+($AP557="Architecture")+($AP557="Environmental Service")+($AP557="Agriculture, Food Industry and Forestry"))&gt;0,"Science",IF((($AP557="Banking and Finance")+($AP557="Management and Administration")+($AP557="Marketing")+($AP557="Sales")+($AP557="Entrepreneurship")+($AP557="Hospitality and Tourism"))&gt;0,"Commerce",IF((($AP557="Social Sciences and Humanities")+($AP557="Law Studies")+($AP557="Education and Training")+($AP557="Art, Design")+($AP557="Entertainment and Mass Media")+($AP557="Community and Social Service")+($AP557="Personal Care and Services")+($AP557="Government and Public Administration")+($AP557="Defence/ Protective Service")+($AP557="Sports"))&gt;0,"Arts / Humanities",""))))</f>
        <v/>
      </c>
      <c r="BC557" s="5" t="str">
        <f aca="false">IF($AL557="","",IF((($AL557="Engineering and Technology")+($AL557="Science and Mathematics")+($AL557="Computer Science, IT and Allied Fields")+($AL557="Life Sciences /Medicine and Healthcare")+($AL557="Paramedical")+($AL557="Architecture")+($AL557="Environmental Service")+($AL557="Agriculture, Food Industry and Forestry"))&gt;0,"Science",IF((($AL557="Banking and Finance")+($AL557="Management and Administration")+($AL557="Marketing")+($AL557="Sales")+($AL557="Entrepreneurship")+($AL557="Hospitality and Tourism"))&gt;0,"Commerce",IF((($AL557="Social Sciences and Humanities")+($AL557="Law Studies")+($AL557="Education and Training")+($AL557="Art, Design")+($AL557="Entertainment and Mass Media")+($AL557="Community and Social Service")+($AL557="Personal Care and Services")+($AL557="Government and Public Administration")+($AL557="Defence/ Protective Service")+($AL557="Sports"))&gt;0,"Arts / Humanities",""))))</f>
        <v/>
      </c>
      <c r="BD557" s="5" t="str">
        <f aca="false">IF($B557="","",--(F557&gt;=10)+--(G557&gt;=10)+--(H557&gt;=10)+--(I557&gt;=10)+--(J557&gt;=10)+--(K557&gt;=10)+--(L557&gt;=10)+--(M557&gt;=10)+--(N557&gt;=10)+--(O557&gt;=10))</f>
        <v/>
      </c>
      <c r="BE557" s="5" t="str">
        <f aca="false">IF($B557="","",--(AND(F557&lt;&gt;"",F557&lt;=8))+--(AND(G557&lt;&gt;"",G557&lt;=8))+--(AND(H557&lt;&gt;"",H557&lt;=8))+--(AND(I557&lt;&gt;"",I557&lt;=8))+--(AND(J557&lt;&gt;"",J557&lt;=8))+--(AND(K557&lt;&gt;"",K557&lt;=8))+--(AND(L557&lt;&gt;"",L557&lt;=8))+--(AND(M557&lt;&gt;"",M557&lt;=8))+--(AND(N557&lt;&gt;"",N557&lt;=8))+--(AND(O557&lt;&gt;"",O557&lt;=8)))</f>
        <v/>
      </c>
    </row>
    <row r="558" customFormat="false" ht="15" hidden="false" customHeight="false" outlineLevel="0" collapsed="false">
      <c r="AZ558" s="5" t="str">
        <f aca="false">IF($B558="","",SUMPRODUCT(($AL558:$AO558&lt;&gt;"")*(COUNTIF($AP558:$AX558,$AL558:$AO558)&gt;0)))</f>
        <v/>
      </c>
      <c r="BA558" s="5" t="str">
        <f aca="false">IF($B558="","",IF(AZ558&gt;0,1,0))</f>
        <v/>
      </c>
      <c r="BB558" s="5" t="str">
        <f aca="false">IF($AP558="","",IF((($AP558="Engineering and Technology")+($AP558="Science and Mathematics")+($AP558="Computer Science, IT and Allied Fields")+($AP558="Life Sciences /Medicine and Healthcare")+($AP558="Paramedical")+($AP558="Architecture")+($AP558="Environmental Service")+($AP558="Agriculture, Food Industry and Forestry"))&gt;0,"Science",IF((($AP558="Banking and Finance")+($AP558="Management and Administration")+($AP558="Marketing")+($AP558="Sales")+($AP558="Entrepreneurship")+($AP558="Hospitality and Tourism"))&gt;0,"Commerce",IF((($AP558="Social Sciences and Humanities")+($AP558="Law Studies")+($AP558="Education and Training")+($AP558="Art, Design")+($AP558="Entertainment and Mass Media")+($AP558="Community and Social Service")+($AP558="Personal Care and Services")+($AP558="Government and Public Administration")+($AP558="Defence/ Protective Service")+($AP558="Sports"))&gt;0,"Arts / Humanities",""))))</f>
        <v/>
      </c>
      <c r="BC558" s="5" t="str">
        <f aca="false">IF($AL558="","",IF((($AL558="Engineering and Technology")+($AL558="Science and Mathematics")+($AL558="Computer Science, IT and Allied Fields")+($AL558="Life Sciences /Medicine and Healthcare")+($AL558="Paramedical")+($AL558="Architecture")+($AL558="Environmental Service")+($AL558="Agriculture, Food Industry and Forestry"))&gt;0,"Science",IF((($AL558="Banking and Finance")+($AL558="Management and Administration")+($AL558="Marketing")+($AL558="Sales")+($AL558="Entrepreneurship")+($AL558="Hospitality and Tourism"))&gt;0,"Commerce",IF((($AL558="Social Sciences and Humanities")+($AL558="Law Studies")+($AL558="Education and Training")+($AL558="Art, Design")+($AL558="Entertainment and Mass Media")+($AL558="Community and Social Service")+($AL558="Personal Care and Services")+($AL558="Government and Public Administration")+($AL558="Defence/ Protective Service")+($AL558="Sports"))&gt;0,"Arts / Humanities",""))))</f>
        <v/>
      </c>
      <c r="BD558" s="5" t="str">
        <f aca="false">IF($B558="","",--(F558&gt;=10)+--(G558&gt;=10)+--(H558&gt;=10)+--(I558&gt;=10)+--(J558&gt;=10)+--(K558&gt;=10)+--(L558&gt;=10)+--(M558&gt;=10)+--(N558&gt;=10)+--(O558&gt;=10))</f>
        <v/>
      </c>
      <c r="BE558" s="5" t="str">
        <f aca="false">IF($B558="","",--(AND(F558&lt;&gt;"",F558&lt;=8))+--(AND(G558&lt;&gt;"",G558&lt;=8))+--(AND(H558&lt;&gt;"",H558&lt;=8))+--(AND(I558&lt;&gt;"",I558&lt;=8))+--(AND(J558&lt;&gt;"",J558&lt;=8))+--(AND(K558&lt;&gt;"",K558&lt;=8))+--(AND(L558&lt;&gt;"",L558&lt;=8))+--(AND(M558&lt;&gt;"",M558&lt;=8))+--(AND(N558&lt;&gt;"",N558&lt;=8))+--(AND(O558&lt;&gt;"",O558&lt;=8)))</f>
        <v/>
      </c>
    </row>
    <row r="559" customFormat="false" ht="15" hidden="false" customHeight="false" outlineLevel="0" collapsed="false">
      <c r="AZ559" s="5" t="str">
        <f aca="false">IF($B559="","",SUMPRODUCT(($AL559:$AO559&lt;&gt;"")*(COUNTIF($AP559:$AX559,$AL559:$AO559)&gt;0)))</f>
        <v/>
      </c>
      <c r="BA559" s="5" t="str">
        <f aca="false">IF($B559="","",IF(AZ559&gt;0,1,0))</f>
        <v/>
      </c>
      <c r="BB559" s="5" t="str">
        <f aca="false">IF($AP559="","",IF((($AP559="Engineering and Technology")+($AP559="Science and Mathematics")+($AP559="Computer Science, IT and Allied Fields")+($AP559="Life Sciences /Medicine and Healthcare")+($AP559="Paramedical")+($AP559="Architecture")+($AP559="Environmental Service")+($AP559="Agriculture, Food Industry and Forestry"))&gt;0,"Science",IF((($AP559="Banking and Finance")+($AP559="Management and Administration")+($AP559="Marketing")+($AP559="Sales")+($AP559="Entrepreneurship")+($AP559="Hospitality and Tourism"))&gt;0,"Commerce",IF((($AP559="Social Sciences and Humanities")+($AP559="Law Studies")+($AP559="Education and Training")+($AP559="Art, Design")+($AP559="Entertainment and Mass Media")+($AP559="Community and Social Service")+($AP559="Personal Care and Services")+($AP559="Government and Public Administration")+($AP559="Defence/ Protective Service")+($AP559="Sports"))&gt;0,"Arts / Humanities",""))))</f>
        <v/>
      </c>
      <c r="BC559" s="5" t="str">
        <f aca="false">IF($AL559="","",IF((($AL559="Engineering and Technology")+($AL559="Science and Mathematics")+($AL559="Computer Science, IT and Allied Fields")+($AL559="Life Sciences /Medicine and Healthcare")+($AL559="Paramedical")+($AL559="Architecture")+($AL559="Environmental Service")+($AL559="Agriculture, Food Industry and Forestry"))&gt;0,"Science",IF((($AL559="Banking and Finance")+($AL559="Management and Administration")+($AL559="Marketing")+($AL559="Sales")+($AL559="Entrepreneurship")+($AL559="Hospitality and Tourism"))&gt;0,"Commerce",IF((($AL559="Social Sciences and Humanities")+($AL559="Law Studies")+($AL559="Education and Training")+($AL559="Art, Design")+($AL559="Entertainment and Mass Media")+($AL559="Community and Social Service")+($AL559="Personal Care and Services")+($AL559="Government and Public Administration")+($AL559="Defence/ Protective Service")+($AL559="Sports"))&gt;0,"Arts / Humanities",""))))</f>
        <v/>
      </c>
      <c r="BD559" s="5" t="str">
        <f aca="false">IF($B559="","",--(F559&gt;=10)+--(G559&gt;=10)+--(H559&gt;=10)+--(I559&gt;=10)+--(J559&gt;=10)+--(K559&gt;=10)+--(L559&gt;=10)+--(M559&gt;=10)+--(N559&gt;=10)+--(O559&gt;=10))</f>
        <v/>
      </c>
      <c r="BE559" s="5" t="str">
        <f aca="false">IF($B559="","",--(AND(F559&lt;&gt;"",F559&lt;=8))+--(AND(G559&lt;&gt;"",G559&lt;=8))+--(AND(H559&lt;&gt;"",H559&lt;=8))+--(AND(I559&lt;&gt;"",I559&lt;=8))+--(AND(J559&lt;&gt;"",J559&lt;=8))+--(AND(K559&lt;&gt;"",K559&lt;=8))+--(AND(L559&lt;&gt;"",L559&lt;=8))+--(AND(M559&lt;&gt;"",M559&lt;=8))+--(AND(N559&lt;&gt;"",N559&lt;=8))+--(AND(O559&lt;&gt;"",O559&lt;=8)))</f>
        <v/>
      </c>
    </row>
    <row r="560" customFormat="false" ht="15" hidden="false" customHeight="false" outlineLevel="0" collapsed="false">
      <c r="AZ560" s="5" t="str">
        <f aca="false">IF($B560="","",SUMPRODUCT(($AL560:$AO560&lt;&gt;"")*(COUNTIF($AP560:$AX560,$AL560:$AO560)&gt;0)))</f>
        <v/>
      </c>
      <c r="BA560" s="5" t="str">
        <f aca="false">IF($B560="","",IF(AZ560&gt;0,1,0))</f>
        <v/>
      </c>
      <c r="BB560" s="5" t="str">
        <f aca="false">IF($AP560="","",IF((($AP560="Engineering and Technology")+($AP560="Science and Mathematics")+($AP560="Computer Science, IT and Allied Fields")+($AP560="Life Sciences /Medicine and Healthcare")+($AP560="Paramedical")+($AP560="Architecture")+($AP560="Environmental Service")+($AP560="Agriculture, Food Industry and Forestry"))&gt;0,"Science",IF((($AP560="Banking and Finance")+($AP560="Management and Administration")+($AP560="Marketing")+($AP560="Sales")+($AP560="Entrepreneurship")+($AP560="Hospitality and Tourism"))&gt;0,"Commerce",IF((($AP560="Social Sciences and Humanities")+($AP560="Law Studies")+($AP560="Education and Training")+($AP560="Art, Design")+($AP560="Entertainment and Mass Media")+($AP560="Community and Social Service")+($AP560="Personal Care and Services")+($AP560="Government and Public Administration")+($AP560="Defence/ Protective Service")+($AP560="Sports"))&gt;0,"Arts / Humanities",""))))</f>
        <v/>
      </c>
      <c r="BC560" s="5" t="str">
        <f aca="false">IF($AL560="","",IF((($AL560="Engineering and Technology")+($AL560="Science and Mathematics")+($AL560="Computer Science, IT and Allied Fields")+($AL560="Life Sciences /Medicine and Healthcare")+($AL560="Paramedical")+($AL560="Architecture")+($AL560="Environmental Service")+($AL560="Agriculture, Food Industry and Forestry"))&gt;0,"Science",IF((($AL560="Banking and Finance")+($AL560="Management and Administration")+($AL560="Marketing")+($AL560="Sales")+($AL560="Entrepreneurship")+($AL560="Hospitality and Tourism"))&gt;0,"Commerce",IF((($AL560="Social Sciences and Humanities")+($AL560="Law Studies")+($AL560="Education and Training")+($AL560="Art, Design")+($AL560="Entertainment and Mass Media")+($AL560="Community and Social Service")+($AL560="Personal Care and Services")+($AL560="Government and Public Administration")+($AL560="Defence/ Protective Service")+($AL560="Sports"))&gt;0,"Arts / Humanities",""))))</f>
        <v/>
      </c>
      <c r="BD560" s="5" t="str">
        <f aca="false">IF($B560="","",--(F560&gt;=10)+--(G560&gt;=10)+--(H560&gt;=10)+--(I560&gt;=10)+--(J560&gt;=10)+--(K560&gt;=10)+--(L560&gt;=10)+--(M560&gt;=10)+--(N560&gt;=10)+--(O560&gt;=10))</f>
        <v/>
      </c>
      <c r="BE560" s="5" t="str">
        <f aca="false">IF($B560="","",--(AND(F560&lt;&gt;"",F560&lt;=8))+--(AND(G560&lt;&gt;"",G560&lt;=8))+--(AND(H560&lt;&gt;"",H560&lt;=8))+--(AND(I560&lt;&gt;"",I560&lt;=8))+--(AND(J560&lt;&gt;"",J560&lt;=8))+--(AND(K560&lt;&gt;"",K560&lt;=8))+--(AND(L560&lt;&gt;"",L560&lt;=8))+--(AND(M560&lt;&gt;"",M560&lt;=8))+--(AND(N560&lt;&gt;"",N560&lt;=8))+--(AND(O560&lt;&gt;"",O560&lt;=8)))</f>
        <v/>
      </c>
    </row>
    <row r="561" customFormat="false" ht="15" hidden="false" customHeight="false" outlineLevel="0" collapsed="false">
      <c r="AZ561" s="5" t="str">
        <f aca="false">IF($B561="","",SUMPRODUCT(($AL561:$AO561&lt;&gt;"")*(COUNTIF($AP561:$AX561,$AL561:$AO561)&gt;0)))</f>
        <v/>
      </c>
      <c r="BA561" s="5" t="str">
        <f aca="false">IF($B561="","",IF(AZ561&gt;0,1,0))</f>
        <v/>
      </c>
      <c r="BB561" s="5" t="str">
        <f aca="false">IF($AP561="","",IF((($AP561="Engineering and Technology")+($AP561="Science and Mathematics")+($AP561="Computer Science, IT and Allied Fields")+($AP561="Life Sciences /Medicine and Healthcare")+($AP561="Paramedical")+($AP561="Architecture")+($AP561="Environmental Service")+($AP561="Agriculture, Food Industry and Forestry"))&gt;0,"Science",IF((($AP561="Banking and Finance")+($AP561="Management and Administration")+($AP561="Marketing")+($AP561="Sales")+($AP561="Entrepreneurship")+($AP561="Hospitality and Tourism"))&gt;0,"Commerce",IF((($AP561="Social Sciences and Humanities")+($AP561="Law Studies")+($AP561="Education and Training")+($AP561="Art, Design")+($AP561="Entertainment and Mass Media")+($AP561="Community and Social Service")+($AP561="Personal Care and Services")+($AP561="Government and Public Administration")+($AP561="Defence/ Protective Service")+($AP561="Sports"))&gt;0,"Arts / Humanities",""))))</f>
        <v/>
      </c>
      <c r="BC561" s="5" t="str">
        <f aca="false">IF($AL561="","",IF((($AL561="Engineering and Technology")+($AL561="Science and Mathematics")+($AL561="Computer Science, IT and Allied Fields")+($AL561="Life Sciences /Medicine and Healthcare")+($AL561="Paramedical")+($AL561="Architecture")+($AL561="Environmental Service")+($AL561="Agriculture, Food Industry and Forestry"))&gt;0,"Science",IF((($AL561="Banking and Finance")+($AL561="Management and Administration")+($AL561="Marketing")+($AL561="Sales")+($AL561="Entrepreneurship")+($AL561="Hospitality and Tourism"))&gt;0,"Commerce",IF((($AL561="Social Sciences and Humanities")+($AL561="Law Studies")+($AL561="Education and Training")+($AL561="Art, Design")+($AL561="Entertainment and Mass Media")+($AL561="Community and Social Service")+($AL561="Personal Care and Services")+($AL561="Government and Public Administration")+($AL561="Defence/ Protective Service")+($AL561="Sports"))&gt;0,"Arts / Humanities",""))))</f>
        <v/>
      </c>
      <c r="BD561" s="5" t="str">
        <f aca="false">IF($B561="","",--(F561&gt;=10)+--(G561&gt;=10)+--(H561&gt;=10)+--(I561&gt;=10)+--(J561&gt;=10)+--(K561&gt;=10)+--(L561&gt;=10)+--(M561&gt;=10)+--(N561&gt;=10)+--(O561&gt;=10))</f>
        <v/>
      </c>
      <c r="BE561" s="5" t="str">
        <f aca="false">IF($B561="","",--(AND(F561&lt;&gt;"",F561&lt;=8))+--(AND(G561&lt;&gt;"",G561&lt;=8))+--(AND(H561&lt;&gt;"",H561&lt;=8))+--(AND(I561&lt;&gt;"",I561&lt;=8))+--(AND(J561&lt;&gt;"",J561&lt;=8))+--(AND(K561&lt;&gt;"",K561&lt;=8))+--(AND(L561&lt;&gt;"",L561&lt;=8))+--(AND(M561&lt;&gt;"",M561&lt;=8))+--(AND(N561&lt;&gt;"",N561&lt;=8))+--(AND(O561&lt;&gt;"",O561&lt;=8)))</f>
        <v/>
      </c>
    </row>
    <row r="562" customFormat="false" ht="15" hidden="false" customHeight="false" outlineLevel="0" collapsed="false">
      <c r="AZ562" s="5" t="str">
        <f aca="false">IF($B562="","",SUMPRODUCT(($AL562:$AO562&lt;&gt;"")*(COUNTIF($AP562:$AX562,$AL562:$AO562)&gt;0)))</f>
        <v/>
      </c>
      <c r="BA562" s="5" t="str">
        <f aca="false">IF($B562="","",IF(AZ562&gt;0,1,0))</f>
        <v/>
      </c>
      <c r="BB562" s="5" t="str">
        <f aca="false">IF($AP562="","",IF((($AP562="Engineering and Technology")+($AP562="Science and Mathematics")+($AP562="Computer Science, IT and Allied Fields")+($AP562="Life Sciences /Medicine and Healthcare")+($AP562="Paramedical")+($AP562="Architecture")+($AP562="Environmental Service")+($AP562="Agriculture, Food Industry and Forestry"))&gt;0,"Science",IF((($AP562="Banking and Finance")+($AP562="Management and Administration")+($AP562="Marketing")+($AP562="Sales")+($AP562="Entrepreneurship")+($AP562="Hospitality and Tourism"))&gt;0,"Commerce",IF((($AP562="Social Sciences and Humanities")+($AP562="Law Studies")+($AP562="Education and Training")+($AP562="Art, Design")+($AP562="Entertainment and Mass Media")+($AP562="Community and Social Service")+($AP562="Personal Care and Services")+($AP562="Government and Public Administration")+($AP562="Defence/ Protective Service")+($AP562="Sports"))&gt;0,"Arts / Humanities",""))))</f>
        <v/>
      </c>
      <c r="BC562" s="5" t="str">
        <f aca="false">IF($AL562="","",IF((($AL562="Engineering and Technology")+($AL562="Science and Mathematics")+($AL562="Computer Science, IT and Allied Fields")+($AL562="Life Sciences /Medicine and Healthcare")+($AL562="Paramedical")+($AL562="Architecture")+($AL562="Environmental Service")+($AL562="Agriculture, Food Industry and Forestry"))&gt;0,"Science",IF((($AL562="Banking and Finance")+($AL562="Management and Administration")+($AL562="Marketing")+($AL562="Sales")+($AL562="Entrepreneurship")+($AL562="Hospitality and Tourism"))&gt;0,"Commerce",IF((($AL562="Social Sciences and Humanities")+($AL562="Law Studies")+($AL562="Education and Training")+($AL562="Art, Design")+($AL562="Entertainment and Mass Media")+($AL562="Community and Social Service")+($AL562="Personal Care and Services")+($AL562="Government and Public Administration")+($AL562="Defence/ Protective Service")+($AL562="Sports"))&gt;0,"Arts / Humanities",""))))</f>
        <v/>
      </c>
      <c r="BD562" s="5" t="str">
        <f aca="false">IF($B562="","",--(F562&gt;=10)+--(G562&gt;=10)+--(H562&gt;=10)+--(I562&gt;=10)+--(J562&gt;=10)+--(K562&gt;=10)+--(L562&gt;=10)+--(M562&gt;=10)+--(N562&gt;=10)+--(O562&gt;=10))</f>
        <v/>
      </c>
      <c r="BE562" s="5" t="str">
        <f aca="false">IF($B562="","",--(AND(F562&lt;&gt;"",F562&lt;=8))+--(AND(G562&lt;&gt;"",G562&lt;=8))+--(AND(H562&lt;&gt;"",H562&lt;=8))+--(AND(I562&lt;&gt;"",I562&lt;=8))+--(AND(J562&lt;&gt;"",J562&lt;=8))+--(AND(K562&lt;&gt;"",K562&lt;=8))+--(AND(L562&lt;&gt;"",L562&lt;=8))+--(AND(M562&lt;&gt;"",M562&lt;=8))+--(AND(N562&lt;&gt;"",N562&lt;=8))+--(AND(O562&lt;&gt;"",O562&lt;=8)))</f>
        <v/>
      </c>
    </row>
    <row r="563" customFormat="false" ht="15" hidden="false" customHeight="false" outlineLevel="0" collapsed="false">
      <c r="AZ563" s="5" t="str">
        <f aca="false">IF($B563="","",SUMPRODUCT(($AL563:$AO563&lt;&gt;"")*(COUNTIF($AP563:$AX563,$AL563:$AO563)&gt;0)))</f>
        <v/>
      </c>
      <c r="BA563" s="5" t="str">
        <f aca="false">IF($B563="","",IF(AZ563&gt;0,1,0))</f>
        <v/>
      </c>
      <c r="BB563" s="5" t="str">
        <f aca="false">IF($AP563="","",IF((($AP563="Engineering and Technology")+($AP563="Science and Mathematics")+($AP563="Computer Science, IT and Allied Fields")+($AP563="Life Sciences /Medicine and Healthcare")+($AP563="Paramedical")+($AP563="Architecture")+($AP563="Environmental Service")+($AP563="Agriculture, Food Industry and Forestry"))&gt;0,"Science",IF((($AP563="Banking and Finance")+($AP563="Management and Administration")+($AP563="Marketing")+($AP563="Sales")+($AP563="Entrepreneurship")+($AP563="Hospitality and Tourism"))&gt;0,"Commerce",IF((($AP563="Social Sciences and Humanities")+($AP563="Law Studies")+($AP563="Education and Training")+($AP563="Art, Design")+($AP563="Entertainment and Mass Media")+($AP563="Community and Social Service")+($AP563="Personal Care and Services")+($AP563="Government and Public Administration")+($AP563="Defence/ Protective Service")+($AP563="Sports"))&gt;0,"Arts / Humanities",""))))</f>
        <v/>
      </c>
      <c r="BC563" s="5" t="str">
        <f aca="false">IF($AL563="","",IF((($AL563="Engineering and Technology")+($AL563="Science and Mathematics")+($AL563="Computer Science, IT and Allied Fields")+($AL563="Life Sciences /Medicine and Healthcare")+($AL563="Paramedical")+($AL563="Architecture")+($AL563="Environmental Service")+($AL563="Agriculture, Food Industry and Forestry"))&gt;0,"Science",IF((($AL563="Banking and Finance")+($AL563="Management and Administration")+($AL563="Marketing")+($AL563="Sales")+($AL563="Entrepreneurship")+($AL563="Hospitality and Tourism"))&gt;0,"Commerce",IF((($AL563="Social Sciences and Humanities")+($AL563="Law Studies")+($AL563="Education and Training")+($AL563="Art, Design")+($AL563="Entertainment and Mass Media")+($AL563="Community and Social Service")+($AL563="Personal Care and Services")+($AL563="Government and Public Administration")+($AL563="Defence/ Protective Service")+($AL563="Sports"))&gt;0,"Arts / Humanities",""))))</f>
        <v/>
      </c>
      <c r="BD563" s="5" t="str">
        <f aca="false">IF($B563="","",--(F563&gt;=10)+--(G563&gt;=10)+--(H563&gt;=10)+--(I563&gt;=10)+--(J563&gt;=10)+--(K563&gt;=10)+--(L563&gt;=10)+--(M563&gt;=10)+--(N563&gt;=10)+--(O563&gt;=10))</f>
        <v/>
      </c>
      <c r="BE563" s="5" t="str">
        <f aca="false">IF($B563="","",--(AND(F563&lt;&gt;"",F563&lt;=8))+--(AND(G563&lt;&gt;"",G563&lt;=8))+--(AND(H563&lt;&gt;"",H563&lt;=8))+--(AND(I563&lt;&gt;"",I563&lt;=8))+--(AND(J563&lt;&gt;"",J563&lt;=8))+--(AND(K563&lt;&gt;"",K563&lt;=8))+--(AND(L563&lt;&gt;"",L563&lt;=8))+--(AND(M563&lt;&gt;"",M563&lt;=8))+--(AND(N563&lt;&gt;"",N563&lt;=8))+--(AND(O563&lt;&gt;"",O563&lt;=8)))</f>
        <v/>
      </c>
    </row>
    <row r="564" customFormat="false" ht="15" hidden="false" customHeight="false" outlineLevel="0" collapsed="false">
      <c r="AZ564" s="5" t="str">
        <f aca="false">IF($B564="","",SUMPRODUCT(($AL564:$AO564&lt;&gt;"")*(COUNTIF($AP564:$AX564,$AL564:$AO564)&gt;0)))</f>
        <v/>
      </c>
      <c r="BA564" s="5" t="str">
        <f aca="false">IF($B564="","",IF(AZ564&gt;0,1,0))</f>
        <v/>
      </c>
      <c r="BB564" s="5" t="str">
        <f aca="false">IF($AP564="","",IF((($AP564="Engineering and Technology")+($AP564="Science and Mathematics")+($AP564="Computer Science, IT and Allied Fields")+($AP564="Life Sciences /Medicine and Healthcare")+($AP564="Paramedical")+($AP564="Architecture")+($AP564="Environmental Service")+($AP564="Agriculture, Food Industry and Forestry"))&gt;0,"Science",IF((($AP564="Banking and Finance")+($AP564="Management and Administration")+($AP564="Marketing")+($AP564="Sales")+($AP564="Entrepreneurship")+($AP564="Hospitality and Tourism"))&gt;0,"Commerce",IF((($AP564="Social Sciences and Humanities")+($AP564="Law Studies")+($AP564="Education and Training")+($AP564="Art, Design")+($AP564="Entertainment and Mass Media")+($AP564="Community and Social Service")+($AP564="Personal Care and Services")+($AP564="Government and Public Administration")+($AP564="Defence/ Protective Service")+($AP564="Sports"))&gt;0,"Arts / Humanities",""))))</f>
        <v/>
      </c>
      <c r="BC564" s="5" t="str">
        <f aca="false">IF($AL564="","",IF((($AL564="Engineering and Technology")+($AL564="Science and Mathematics")+($AL564="Computer Science, IT and Allied Fields")+($AL564="Life Sciences /Medicine and Healthcare")+($AL564="Paramedical")+($AL564="Architecture")+($AL564="Environmental Service")+($AL564="Agriculture, Food Industry and Forestry"))&gt;0,"Science",IF((($AL564="Banking and Finance")+($AL564="Management and Administration")+($AL564="Marketing")+($AL564="Sales")+($AL564="Entrepreneurship")+($AL564="Hospitality and Tourism"))&gt;0,"Commerce",IF((($AL564="Social Sciences and Humanities")+($AL564="Law Studies")+($AL564="Education and Training")+($AL564="Art, Design")+($AL564="Entertainment and Mass Media")+($AL564="Community and Social Service")+($AL564="Personal Care and Services")+($AL564="Government and Public Administration")+($AL564="Defence/ Protective Service")+($AL564="Sports"))&gt;0,"Arts / Humanities",""))))</f>
        <v/>
      </c>
      <c r="BD564" s="5" t="str">
        <f aca="false">IF($B564="","",--(F564&gt;=10)+--(G564&gt;=10)+--(H564&gt;=10)+--(I564&gt;=10)+--(J564&gt;=10)+--(K564&gt;=10)+--(L564&gt;=10)+--(M564&gt;=10)+--(N564&gt;=10)+--(O564&gt;=10))</f>
        <v/>
      </c>
      <c r="BE564" s="5" t="str">
        <f aca="false">IF($B564="","",--(AND(F564&lt;&gt;"",F564&lt;=8))+--(AND(G564&lt;&gt;"",G564&lt;=8))+--(AND(H564&lt;&gt;"",H564&lt;=8))+--(AND(I564&lt;&gt;"",I564&lt;=8))+--(AND(J564&lt;&gt;"",J564&lt;=8))+--(AND(K564&lt;&gt;"",K564&lt;=8))+--(AND(L564&lt;&gt;"",L564&lt;=8))+--(AND(M564&lt;&gt;"",M564&lt;=8))+--(AND(N564&lt;&gt;"",N564&lt;=8))+--(AND(O564&lt;&gt;"",O564&lt;=8)))</f>
        <v/>
      </c>
    </row>
    <row r="565" customFormat="false" ht="15" hidden="false" customHeight="false" outlineLevel="0" collapsed="false">
      <c r="AZ565" s="5" t="str">
        <f aca="false">IF($B565="","",SUMPRODUCT(($AL565:$AO565&lt;&gt;"")*(COUNTIF($AP565:$AX565,$AL565:$AO565)&gt;0)))</f>
        <v/>
      </c>
      <c r="BA565" s="5" t="str">
        <f aca="false">IF($B565="","",IF(AZ565&gt;0,1,0))</f>
        <v/>
      </c>
      <c r="BB565" s="5" t="str">
        <f aca="false">IF($AP565="","",IF((($AP565="Engineering and Technology")+($AP565="Science and Mathematics")+($AP565="Computer Science, IT and Allied Fields")+($AP565="Life Sciences /Medicine and Healthcare")+($AP565="Paramedical")+($AP565="Architecture")+($AP565="Environmental Service")+($AP565="Agriculture, Food Industry and Forestry"))&gt;0,"Science",IF((($AP565="Banking and Finance")+($AP565="Management and Administration")+($AP565="Marketing")+($AP565="Sales")+($AP565="Entrepreneurship")+($AP565="Hospitality and Tourism"))&gt;0,"Commerce",IF((($AP565="Social Sciences and Humanities")+($AP565="Law Studies")+($AP565="Education and Training")+($AP565="Art, Design")+($AP565="Entertainment and Mass Media")+($AP565="Community and Social Service")+($AP565="Personal Care and Services")+($AP565="Government and Public Administration")+($AP565="Defence/ Protective Service")+($AP565="Sports"))&gt;0,"Arts / Humanities",""))))</f>
        <v/>
      </c>
      <c r="BC565" s="5" t="str">
        <f aca="false">IF($AL565="","",IF((($AL565="Engineering and Technology")+($AL565="Science and Mathematics")+($AL565="Computer Science, IT and Allied Fields")+($AL565="Life Sciences /Medicine and Healthcare")+($AL565="Paramedical")+($AL565="Architecture")+($AL565="Environmental Service")+($AL565="Agriculture, Food Industry and Forestry"))&gt;0,"Science",IF((($AL565="Banking and Finance")+($AL565="Management and Administration")+($AL565="Marketing")+($AL565="Sales")+($AL565="Entrepreneurship")+($AL565="Hospitality and Tourism"))&gt;0,"Commerce",IF((($AL565="Social Sciences and Humanities")+($AL565="Law Studies")+($AL565="Education and Training")+($AL565="Art, Design")+($AL565="Entertainment and Mass Media")+($AL565="Community and Social Service")+($AL565="Personal Care and Services")+($AL565="Government and Public Administration")+($AL565="Defence/ Protective Service")+($AL565="Sports"))&gt;0,"Arts / Humanities",""))))</f>
        <v/>
      </c>
      <c r="BD565" s="5" t="str">
        <f aca="false">IF($B565="","",--(F565&gt;=10)+--(G565&gt;=10)+--(H565&gt;=10)+--(I565&gt;=10)+--(J565&gt;=10)+--(K565&gt;=10)+--(L565&gt;=10)+--(M565&gt;=10)+--(N565&gt;=10)+--(O565&gt;=10))</f>
        <v/>
      </c>
      <c r="BE565" s="5" t="str">
        <f aca="false">IF($B565="","",--(AND(F565&lt;&gt;"",F565&lt;=8))+--(AND(G565&lt;&gt;"",G565&lt;=8))+--(AND(H565&lt;&gt;"",H565&lt;=8))+--(AND(I565&lt;&gt;"",I565&lt;=8))+--(AND(J565&lt;&gt;"",J565&lt;=8))+--(AND(K565&lt;&gt;"",K565&lt;=8))+--(AND(L565&lt;&gt;"",L565&lt;=8))+--(AND(M565&lt;&gt;"",M565&lt;=8))+--(AND(N565&lt;&gt;"",N565&lt;=8))+--(AND(O565&lt;&gt;"",O565&lt;=8)))</f>
        <v/>
      </c>
    </row>
    <row r="566" customFormat="false" ht="15" hidden="false" customHeight="false" outlineLevel="0" collapsed="false">
      <c r="AZ566" s="5" t="str">
        <f aca="false">IF($B566="","",SUMPRODUCT(($AL566:$AO566&lt;&gt;"")*(COUNTIF($AP566:$AX566,$AL566:$AO566)&gt;0)))</f>
        <v/>
      </c>
      <c r="BA566" s="5" t="str">
        <f aca="false">IF($B566="","",IF(AZ566&gt;0,1,0))</f>
        <v/>
      </c>
      <c r="BB566" s="5" t="str">
        <f aca="false">IF($AP566="","",IF((($AP566="Engineering and Technology")+($AP566="Science and Mathematics")+($AP566="Computer Science, IT and Allied Fields")+($AP566="Life Sciences /Medicine and Healthcare")+($AP566="Paramedical")+($AP566="Architecture")+($AP566="Environmental Service")+($AP566="Agriculture, Food Industry and Forestry"))&gt;0,"Science",IF((($AP566="Banking and Finance")+($AP566="Management and Administration")+($AP566="Marketing")+($AP566="Sales")+($AP566="Entrepreneurship")+($AP566="Hospitality and Tourism"))&gt;0,"Commerce",IF((($AP566="Social Sciences and Humanities")+($AP566="Law Studies")+($AP566="Education and Training")+($AP566="Art, Design")+($AP566="Entertainment and Mass Media")+($AP566="Community and Social Service")+($AP566="Personal Care and Services")+($AP566="Government and Public Administration")+($AP566="Defence/ Protective Service")+($AP566="Sports"))&gt;0,"Arts / Humanities",""))))</f>
        <v/>
      </c>
      <c r="BC566" s="5" t="str">
        <f aca="false">IF($AL566="","",IF((($AL566="Engineering and Technology")+($AL566="Science and Mathematics")+($AL566="Computer Science, IT and Allied Fields")+($AL566="Life Sciences /Medicine and Healthcare")+($AL566="Paramedical")+($AL566="Architecture")+($AL566="Environmental Service")+($AL566="Agriculture, Food Industry and Forestry"))&gt;0,"Science",IF((($AL566="Banking and Finance")+($AL566="Management and Administration")+($AL566="Marketing")+($AL566="Sales")+($AL566="Entrepreneurship")+($AL566="Hospitality and Tourism"))&gt;0,"Commerce",IF((($AL566="Social Sciences and Humanities")+($AL566="Law Studies")+($AL566="Education and Training")+($AL566="Art, Design")+($AL566="Entertainment and Mass Media")+($AL566="Community and Social Service")+($AL566="Personal Care and Services")+($AL566="Government and Public Administration")+($AL566="Defence/ Protective Service")+($AL566="Sports"))&gt;0,"Arts / Humanities",""))))</f>
        <v/>
      </c>
      <c r="BD566" s="5" t="str">
        <f aca="false">IF($B566="","",--(F566&gt;=10)+--(G566&gt;=10)+--(H566&gt;=10)+--(I566&gt;=10)+--(J566&gt;=10)+--(K566&gt;=10)+--(L566&gt;=10)+--(M566&gt;=10)+--(N566&gt;=10)+--(O566&gt;=10))</f>
        <v/>
      </c>
      <c r="BE566" s="5" t="str">
        <f aca="false">IF($B566="","",--(AND(F566&lt;&gt;"",F566&lt;=8))+--(AND(G566&lt;&gt;"",G566&lt;=8))+--(AND(H566&lt;&gt;"",H566&lt;=8))+--(AND(I566&lt;&gt;"",I566&lt;=8))+--(AND(J566&lt;&gt;"",J566&lt;=8))+--(AND(K566&lt;&gt;"",K566&lt;=8))+--(AND(L566&lt;&gt;"",L566&lt;=8))+--(AND(M566&lt;&gt;"",M566&lt;=8))+--(AND(N566&lt;&gt;"",N566&lt;=8))+--(AND(O566&lt;&gt;"",O566&lt;=8)))</f>
        <v/>
      </c>
    </row>
    <row r="567" customFormat="false" ht="15" hidden="false" customHeight="false" outlineLevel="0" collapsed="false">
      <c r="AZ567" s="5" t="str">
        <f aca="false">IF($B567="","",SUMPRODUCT(($AL567:$AO567&lt;&gt;"")*(COUNTIF($AP567:$AX567,$AL567:$AO567)&gt;0)))</f>
        <v/>
      </c>
      <c r="BA567" s="5" t="str">
        <f aca="false">IF($B567="","",IF(AZ567&gt;0,1,0))</f>
        <v/>
      </c>
      <c r="BB567" s="5" t="str">
        <f aca="false">IF($AP567="","",IF((($AP567="Engineering and Technology")+($AP567="Science and Mathematics")+($AP567="Computer Science, IT and Allied Fields")+($AP567="Life Sciences /Medicine and Healthcare")+($AP567="Paramedical")+($AP567="Architecture")+($AP567="Environmental Service")+($AP567="Agriculture, Food Industry and Forestry"))&gt;0,"Science",IF((($AP567="Banking and Finance")+($AP567="Management and Administration")+($AP567="Marketing")+($AP567="Sales")+($AP567="Entrepreneurship")+($AP567="Hospitality and Tourism"))&gt;0,"Commerce",IF((($AP567="Social Sciences and Humanities")+($AP567="Law Studies")+($AP567="Education and Training")+($AP567="Art, Design")+($AP567="Entertainment and Mass Media")+($AP567="Community and Social Service")+($AP567="Personal Care and Services")+($AP567="Government and Public Administration")+($AP567="Defence/ Protective Service")+($AP567="Sports"))&gt;0,"Arts / Humanities",""))))</f>
        <v/>
      </c>
      <c r="BC567" s="5" t="str">
        <f aca="false">IF($AL567="","",IF((($AL567="Engineering and Technology")+($AL567="Science and Mathematics")+($AL567="Computer Science, IT and Allied Fields")+($AL567="Life Sciences /Medicine and Healthcare")+($AL567="Paramedical")+($AL567="Architecture")+($AL567="Environmental Service")+($AL567="Agriculture, Food Industry and Forestry"))&gt;0,"Science",IF((($AL567="Banking and Finance")+($AL567="Management and Administration")+($AL567="Marketing")+($AL567="Sales")+($AL567="Entrepreneurship")+($AL567="Hospitality and Tourism"))&gt;0,"Commerce",IF((($AL567="Social Sciences and Humanities")+($AL567="Law Studies")+($AL567="Education and Training")+($AL567="Art, Design")+($AL567="Entertainment and Mass Media")+($AL567="Community and Social Service")+($AL567="Personal Care and Services")+($AL567="Government and Public Administration")+($AL567="Defence/ Protective Service")+($AL567="Sports"))&gt;0,"Arts / Humanities",""))))</f>
        <v/>
      </c>
      <c r="BD567" s="5" t="str">
        <f aca="false">IF($B567="","",--(F567&gt;=10)+--(G567&gt;=10)+--(H567&gt;=10)+--(I567&gt;=10)+--(J567&gt;=10)+--(K567&gt;=10)+--(L567&gt;=10)+--(M567&gt;=10)+--(N567&gt;=10)+--(O567&gt;=10))</f>
        <v/>
      </c>
      <c r="BE567" s="5" t="str">
        <f aca="false">IF($B567="","",--(AND(F567&lt;&gt;"",F567&lt;=8))+--(AND(G567&lt;&gt;"",G567&lt;=8))+--(AND(H567&lt;&gt;"",H567&lt;=8))+--(AND(I567&lt;&gt;"",I567&lt;=8))+--(AND(J567&lt;&gt;"",J567&lt;=8))+--(AND(K567&lt;&gt;"",K567&lt;=8))+--(AND(L567&lt;&gt;"",L567&lt;=8))+--(AND(M567&lt;&gt;"",M567&lt;=8))+--(AND(N567&lt;&gt;"",N567&lt;=8))+--(AND(O567&lt;&gt;"",O567&lt;=8)))</f>
        <v/>
      </c>
    </row>
    <row r="568" customFormat="false" ht="15" hidden="false" customHeight="false" outlineLevel="0" collapsed="false">
      <c r="AZ568" s="5" t="str">
        <f aca="false">IF($B568="","",SUMPRODUCT(($AL568:$AO568&lt;&gt;"")*(COUNTIF($AP568:$AX568,$AL568:$AO568)&gt;0)))</f>
        <v/>
      </c>
      <c r="BA568" s="5" t="str">
        <f aca="false">IF($B568="","",IF(AZ568&gt;0,1,0))</f>
        <v/>
      </c>
      <c r="BB568" s="5" t="str">
        <f aca="false">IF($AP568="","",IF((($AP568="Engineering and Technology")+($AP568="Science and Mathematics")+($AP568="Computer Science, IT and Allied Fields")+($AP568="Life Sciences /Medicine and Healthcare")+($AP568="Paramedical")+($AP568="Architecture")+($AP568="Environmental Service")+($AP568="Agriculture, Food Industry and Forestry"))&gt;0,"Science",IF((($AP568="Banking and Finance")+($AP568="Management and Administration")+($AP568="Marketing")+($AP568="Sales")+($AP568="Entrepreneurship")+($AP568="Hospitality and Tourism"))&gt;0,"Commerce",IF((($AP568="Social Sciences and Humanities")+($AP568="Law Studies")+($AP568="Education and Training")+($AP568="Art, Design")+($AP568="Entertainment and Mass Media")+($AP568="Community and Social Service")+($AP568="Personal Care and Services")+($AP568="Government and Public Administration")+($AP568="Defence/ Protective Service")+($AP568="Sports"))&gt;0,"Arts / Humanities",""))))</f>
        <v/>
      </c>
      <c r="BC568" s="5" t="str">
        <f aca="false">IF($AL568="","",IF((($AL568="Engineering and Technology")+($AL568="Science and Mathematics")+($AL568="Computer Science, IT and Allied Fields")+($AL568="Life Sciences /Medicine and Healthcare")+($AL568="Paramedical")+($AL568="Architecture")+($AL568="Environmental Service")+($AL568="Agriculture, Food Industry and Forestry"))&gt;0,"Science",IF((($AL568="Banking and Finance")+($AL568="Management and Administration")+($AL568="Marketing")+($AL568="Sales")+($AL568="Entrepreneurship")+($AL568="Hospitality and Tourism"))&gt;0,"Commerce",IF((($AL568="Social Sciences and Humanities")+($AL568="Law Studies")+($AL568="Education and Training")+($AL568="Art, Design")+($AL568="Entertainment and Mass Media")+($AL568="Community and Social Service")+($AL568="Personal Care and Services")+($AL568="Government and Public Administration")+($AL568="Defence/ Protective Service")+($AL568="Sports"))&gt;0,"Arts / Humanities",""))))</f>
        <v/>
      </c>
      <c r="BD568" s="5" t="str">
        <f aca="false">IF($B568="","",--(F568&gt;=10)+--(G568&gt;=10)+--(H568&gt;=10)+--(I568&gt;=10)+--(J568&gt;=10)+--(K568&gt;=10)+--(L568&gt;=10)+--(M568&gt;=10)+--(N568&gt;=10)+--(O568&gt;=10))</f>
        <v/>
      </c>
      <c r="BE568" s="5" t="str">
        <f aca="false">IF($B568="","",--(AND(F568&lt;&gt;"",F568&lt;=8))+--(AND(G568&lt;&gt;"",G568&lt;=8))+--(AND(H568&lt;&gt;"",H568&lt;=8))+--(AND(I568&lt;&gt;"",I568&lt;=8))+--(AND(J568&lt;&gt;"",J568&lt;=8))+--(AND(K568&lt;&gt;"",K568&lt;=8))+--(AND(L568&lt;&gt;"",L568&lt;=8))+--(AND(M568&lt;&gt;"",M568&lt;=8))+--(AND(N568&lt;&gt;"",N568&lt;=8))+--(AND(O568&lt;&gt;"",O568&lt;=8)))</f>
        <v/>
      </c>
    </row>
    <row r="569" customFormat="false" ht="15" hidden="false" customHeight="false" outlineLevel="0" collapsed="false">
      <c r="AZ569" s="5" t="str">
        <f aca="false">IF($B569="","",SUMPRODUCT(($AL569:$AO569&lt;&gt;"")*(COUNTIF($AP569:$AX569,$AL569:$AO569)&gt;0)))</f>
        <v/>
      </c>
      <c r="BA569" s="5" t="str">
        <f aca="false">IF($B569="","",IF(AZ569&gt;0,1,0))</f>
        <v/>
      </c>
      <c r="BB569" s="5" t="str">
        <f aca="false">IF($AP569="","",IF((($AP569="Engineering and Technology")+($AP569="Science and Mathematics")+($AP569="Computer Science, IT and Allied Fields")+($AP569="Life Sciences /Medicine and Healthcare")+($AP569="Paramedical")+($AP569="Architecture")+($AP569="Environmental Service")+($AP569="Agriculture, Food Industry and Forestry"))&gt;0,"Science",IF((($AP569="Banking and Finance")+($AP569="Management and Administration")+($AP569="Marketing")+($AP569="Sales")+($AP569="Entrepreneurship")+($AP569="Hospitality and Tourism"))&gt;0,"Commerce",IF((($AP569="Social Sciences and Humanities")+($AP569="Law Studies")+($AP569="Education and Training")+($AP569="Art, Design")+($AP569="Entertainment and Mass Media")+($AP569="Community and Social Service")+($AP569="Personal Care and Services")+($AP569="Government and Public Administration")+($AP569="Defence/ Protective Service")+($AP569="Sports"))&gt;0,"Arts / Humanities",""))))</f>
        <v/>
      </c>
      <c r="BC569" s="5" t="str">
        <f aca="false">IF($AL569="","",IF((($AL569="Engineering and Technology")+($AL569="Science and Mathematics")+($AL569="Computer Science, IT and Allied Fields")+($AL569="Life Sciences /Medicine and Healthcare")+($AL569="Paramedical")+($AL569="Architecture")+($AL569="Environmental Service")+($AL569="Agriculture, Food Industry and Forestry"))&gt;0,"Science",IF((($AL569="Banking and Finance")+($AL569="Management and Administration")+($AL569="Marketing")+($AL569="Sales")+($AL569="Entrepreneurship")+($AL569="Hospitality and Tourism"))&gt;0,"Commerce",IF((($AL569="Social Sciences and Humanities")+($AL569="Law Studies")+($AL569="Education and Training")+($AL569="Art, Design")+($AL569="Entertainment and Mass Media")+($AL569="Community and Social Service")+($AL569="Personal Care and Services")+($AL569="Government and Public Administration")+($AL569="Defence/ Protective Service")+($AL569="Sports"))&gt;0,"Arts / Humanities",""))))</f>
        <v/>
      </c>
      <c r="BD569" s="5" t="str">
        <f aca="false">IF($B569="","",--(F569&gt;=10)+--(G569&gt;=10)+--(H569&gt;=10)+--(I569&gt;=10)+--(J569&gt;=10)+--(K569&gt;=10)+--(L569&gt;=10)+--(M569&gt;=10)+--(N569&gt;=10)+--(O569&gt;=10))</f>
        <v/>
      </c>
      <c r="BE569" s="5" t="str">
        <f aca="false">IF($B569="","",--(AND(F569&lt;&gt;"",F569&lt;=8))+--(AND(G569&lt;&gt;"",G569&lt;=8))+--(AND(H569&lt;&gt;"",H569&lt;=8))+--(AND(I569&lt;&gt;"",I569&lt;=8))+--(AND(J569&lt;&gt;"",J569&lt;=8))+--(AND(K569&lt;&gt;"",K569&lt;=8))+--(AND(L569&lt;&gt;"",L569&lt;=8))+--(AND(M569&lt;&gt;"",M569&lt;=8))+--(AND(N569&lt;&gt;"",N569&lt;=8))+--(AND(O569&lt;&gt;"",O569&lt;=8)))</f>
        <v/>
      </c>
    </row>
    <row r="570" customFormat="false" ht="15" hidden="false" customHeight="false" outlineLevel="0" collapsed="false">
      <c r="AZ570" s="5" t="str">
        <f aca="false">IF($B570="","",SUMPRODUCT(($AL570:$AO570&lt;&gt;"")*(COUNTIF($AP570:$AX570,$AL570:$AO570)&gt;0)))</f>
        <v/>
      </c>
      <c r="BA570" s="5" t="str">
        <f aca="false">IF($B570="","",IF(AZ570&gt;0,1,0))</f>
        <v/>
      </c>
      <c r="BB570" s="5" t="str">
        <f aca="false">IF($AP570="","",IF((($AP570="Engineering and Technology")+($AP570="Science and Mathematics")+($AP570="Computer Science, IT and Allied Fields")+($AP570="Life Sciences /Medicine and Healthcare")+($AP570="Paramedical")+($AP570="Architecture")+($AP570="Environmental Service")+($AP570="Agriculture, Food Industry and Forestry"))&gt;0,"Science",IF((($AP570="Banking and Finance")+($AP570="Management and Administration")+($AP570="Marketing")+($AP570="Sales")+($AP570="Entrepreneurship")+($AP570="Hospitality and Tourism"))&gt;0,"Commerce",IF((($AP570="Social Sciences and Humanities")+($AP570="Law Studies")+($AP570="Education and Training")+($AP570="Art, Design")+($AP570="Entertainment and Mass Media")+($AP570="Community and Social Service")+($AP570="Personal Care and Services")+($AP570="Government and Public Administration")+($AP570="Defence/ Protective Service")+($AP570="Sports"))&gt;0,"Arts / Humanities",""))))</f>
        <v/>
      </c>
      <c r="BC570" s="5" t="str">
        <f aca="false">IF($AL570="","",IF((($AL570="Engineering and Technology")+($AL570="Science and Mathematics")+($AL570="Computer Science, IT and Allied Fields")+($AL570="Life Sciences /Medicine and Healthcare")+($AL570="Paramedical")+($AL570="Architecture")+($AL570="Environmental Service")+($AL570="Agriculture, Food Industry and Forestry"))&gt;0,"Science",IF((($AL570="Banking and Finance")+($AL570="Management and Administration")+($AL570="Marketing")+($AL570="Sales")+($AL570="Entrepreneurship")+($AL570="Hospitality and Tourism"))&gt;0,"Commerce",IF((($AL570="Social Sciences and Humanities")+($AL570="Law Studies")+($AL570="Education and Training")+($AL570="Art, Design")+($AL570="Entertainment and Mass Media")+($AL570="Community and Social Service")+($AL570="Personal Care and Services")+($AL570="Government and Public Administration")+($AL570="Defence/ Protective Service")+($AL570="Sports"))&gt;0,"Arts / Humanities",""))))</f>
        <v/>
      </c>
      <c r="BD570" s="5" t="str">
        <f aca="false">IF($B570="","",--(F570&gt;=10)+--(G570&gt;=10)+--(H570&gt;=10)+--(I570&gt;=10)+--(J570&gt;=10)+--(K570&gt;=10)+--(L570&gt;=10)+--(M570&gt;=10)+--(N570&gt;=10)+--(O570&gt;=10))</f>
        <v/>
      </c>
      <c r="BE570" s="5" t="str">
        <f aca="false">IF($B570="","",--(AND(F570&lt;&gt;"",F570&lt;=8))+--(AND(G570&lt;&gt;"",G570&lt;=8))+--(AND(H570&lt;&gt;"",H570&lt;=8))+--(AND(I570&lt;&gt;"",I570&lt;=8))+--(AND(J570&lt;&gt;"",J570&lt;=8))+--(AND(K570&lt;&gt;"",K570&lt;=8))+--(AND(L570&lt;&gt;"",L570&lt;=8))+--(AND(M570&lt;&gt;"",M570&lt;=8))+--(AND(N570&lt;&gt;"",N570&lt;=8))+--(AND(O570&lt;&gt;"",O570&lt;=8)))</f>
        <v/>
      </c>
    </row>
    <row r="571" customFormat="false" ht="15" hidden="false" customHeight="false" outlineLevel="0" collapsed="false">
      <c r="AZ571" s="5" t="str">
        <f aca="false">IF($B571="","",SUMPRODUCT(($AL571:$AO571&lt;&gt;"")*(COUNTIF($AP571:$AX571,$AL571:$AO571)&gt;0)))</f>
        <v/>
      </c>
      <c r="BA571" s="5" t="str">
        <f aca="false">IF($B571="","",IF(AZ571&gt;0,1,0))</f>
        <v/>
      </c>
      <c r="BB571" s="5" t="str">
        <f aca="false">IF($AP571="","",IF((($AP571="Engineering and Technology")+($AP571="Science and Mathematics")+($AP571="Computer Science, IT and Allied Fields")+($AP571="Life Sciences /Medicine and Healthcare")+($AP571="Paramedical")+($AP571="Architecture")+($AP571="Environmental Service")+($AP571="Agriculture, Food Industry and Forestry"))&gt;0,"Science",IF((($AP571="Banking and Finance")+($AP571="Management and Administration")+($AP571="Marketing")+($AP571="Sales")+($AP571="Entrepreneurship")+($AP571="Hospitality and Tourism"))&gt;0,"Commerce",IF((($AP571="Social Sciences and Humanities")+($AP571="Law Studies")+($AP571="Education and Training")+($AP571="Art, Design")+($AP571="Entertainment and Mass Media")+($AP571="Community and Social Service")+($AP571="Personal Care and Services")+($AP571="Government and Public Administration")+($AP571="Defence/ Protective Service")+($AP571="Sports"))&gt;0,"Arts / Humanities",""))))</f>
        <v/>
      </c>
      <c r="BC571" s="5" t="str">
        <f aca="false">IF($AL571="","",IF((($AL571="Engineering and Technology")+($AL571="Science and Mathematics")+($AL571="Computer Science, IT and Allied Fields")+($AL571="Life Sciences /Medicine and Healthcare")+($AL571="Paramedical")+($AL571="Architecture")+($AL571="Environmental Service")+($AL571="Agriculture, Food Industry and Forestry"))&gt;0,"Science",IF((($AL571="Banking and Finance")+($AL571="Management and Administration")+($AL571="Marketing")+($AL571="Sales")+($AL571="Entrepreneurship")+($AL571="Hospitality and Tourism"))&gt;0,"Commerce",IF((($AL571="Social Sciences and Humanities")+($AL571="Law Studies")+($AL571="Education and Training")+($AL571="Art, Design")+($AL571="Entertainment and Mass Media")+($AL571="Community and Social Service")+($AL571="Personal Care and Services")+($AL571="Government and Public Administration")+($AL571="Defence/ Protective Service")+($AL571="Sports"))&gt;0,"Arts / Humanities",""))))</f>
        <v/>
      </c>
      <c r="BD571" s="5" t="str">
        <f aca="false">IF($B571="","",--(F571&gt;=10)+--(G571&gt;=10)+--(H571&gt;=10)+--(I571&gt;=10)+--(J571&gt;=10)+--(K571&gt;=10)+--(L571&gt;=10)+--(M571&gt;=10)+--(N571&gt;=10)+--(O571&gt;=10))</f>
        <v/>
      </c>
      <c r="BE571" s="5" t="str">
        <f aca="false">IF($B571="","",--(AND(F571&lt;&gt;"",F571&lt;=8))+--(AND(G571&lt;&gt;"",G571&lt;=8))+--(AND(H571&lt;&gt;"",H571&lt;=8))+--(AND(I571&lt;&gt;"",I571&lt;=8))+--(AND(J571&lt;&gt;"",J571&lt;=8))+--(AND(K571&lt;&gt;"",K571&lt;=8))+--(AND(L571&lt;&gt;"",L571&lt;=8))+--(AND(M571&lt;&gt;"",M571&lt;=8))+--(AND(N571&lt;&gt;"",N571&lt;=8))+--(AND(O571&lt;&gt;"",O571&lt;=8)))</f>
        <v/>
      </c>
    </row>
    <row r="572" customFormat="false" ht="15" hidden="false" customHeight="false" outlineLevel="0" collapsed="false">
      <c r="AZ572" s="5" t="str">
        <f aca="false">IF($B572="","",SUMPRODUCT(($AL572:$AO572&lt;&gt;"")*(COUNTIF($AP572:$AX572,$AL572:$AO572)&gt;0)))</f>
        <v/>
      </c>
      <c r="BA572" s="5" t="str">
        <f aca="false">IF($B572="","",IF(AZ572&gt;0,1,0))</f>
        <v/>
      </c>
      <c r="BB572" s="5" t="str">
        <f aca="false">IF($AP572="","",IF((($AP572="Engineering and Technology")+($AP572="Science and Mathematics")+($AP572="Computer Science, IT and Allied Fields")+($AP572="Life Sciences /Medicine and Healthcare")+($AP572="Paramedical")+($AP572="Architecture")+($AP572="Environmental Service")+($AP572="Agriculture, Food Industry and Forestry"))&gt;0,"Science",IF((($AP572="Banking and Finance")+($AP572="Management and Administration")+($AP572="Marketing")+($AP572="Sales")+($AP572="Entrepreneurship")+($AP572="Hospitality and Tourism"))&gt;0,"Commerce",IF((($AP572="Social Sciences and Humanities")+($AP572="Law Studies")+($AP572="Education and Training")+($AP572="Art, Design")+($AP572="Entertainment and Mass Media")+($AP572="Community and Social Service")+($AP572="Personal Care and Services")+($AP572="Government and Public Administration")+($AP572="Defence/ Protective Service")+($AP572="Sports"))&gt;0,"Arts / Humanities",""))))</f>
        <v/>
      </c>
      <c r="BC572" s="5" t="str">
        <f aca="false">IF($AL572="","",IF((($AL572="Engineering and Technology")+($AL572="Science and Mathematics")+($AL572="Computer Science, IT and Allied Fields")+($AL572="Life Sciences /Medicine and Healthcare")+($AL572="Paramedical")+($AL572="Architecture")+($AL572="Environmental Service")+($AL572="Agriculture, Food Industry and Forestry"))&gt;0,"Science",IF((($AL572="Banking and Finance")+($AL572="Management and Administration")+($AL572="Marketing")+($AL572="Sales")+($AL572="Entrepreneurship")+($AL572="Hospitality and Tourism"))&gt;0,"Commerce",IF((($AL572="Social Sciences and Humanities")+($AL572="Law Studies")+($AL572="Education and Training")+($AL572="Art, Design")+($AL572="Entertainment and Mass Media")+($AL572="Community and Social Service")+($AL572="Personal Care and Services")+($AL572="Government and Public Administration")+($AL572="Defence/ Protective Service")+($AL572="Sports"))&gt;0,"Arts / Humanities",""))))</f>
        <v/>
      </c>
      <c r="BD572" s="5" t="str">
        <f aca="false">IF($B572="","",--(F572&gt;=10)+--(G572&gt;=10)+--(H572&gt;=10)+--(I572&gt;=10)+--(J572&gt;=10)+--(K572&gt;=10)+--(L572&gt;=10)+--(M572&gt;=10)+--(N572&gt;=10)+--(O572&gt;=10))</f>
        <v/>
      </c>
      <c r="BE572" s="5" t="str">
        <f aca="false">IF($B572="","",--(AND(F572&lt;&gt;"",F572&lt;=8))+--(AND(G572&lt;&gt;"",G572&lt;=8))+--(AND(H572&lt;&gt;"",H572&lt;=8))+--(AND(I572&lt;&gt;"",I572&lt;=8))+--(AND(J572&lt;&gt;"",J572&lt;=8))+--(AND(K572&lt;&gt;"",K572&lt;=8))+--(AND(L572&lt;&gt;"",L572&lt;=8))+--(AND(M572&lt;&gt;"",M572&lt;=8))+--(AND(N572&lt;&gt;"",N572&lt;=8))+--(AND(O572&lt;&gt;"",O572&lt;=8)))</f>
        <v/>
      </c>
    </row>
    <row r="573" customFormat="false" ht="15" hidden="false" customHeight="false" outlineLevel="0" collapsed="false">
      <c r="AZ573" s="5" t="str">
        <f aca="false">IF($B573="","",SUMPRODUCT(($AL573:$AO573&lt;&gt;"")*(COUNTIF($AP573:$AX573,$AL573:$AO573)&gt;0)))</f>
        <v/>
      </c>
      <c r="BA573" s="5" t="str">
        <f aca="false">IF($B573="","",IF(AZ573&gt;0,1,0))</f>
        <v/>
      </c>
      <c r="BB573" s="5" t="str">
        <f aca="false">IF($AP573="","",IF((($AP573="Engineering and Technology")+($AP573="Science and Mathematics")+($AP573="Computer Science, IT and Allied Fields")+($AP573="Life Sciences /Medicine and Healthcare")+($AP573="Paramedical")+($AP573="Architecture")+($AP573="Environmental Service")+($AP573="Agriculture, Food Industry and Forestry"))&gt;0,"Science",IF((($AP573="Banking and Finance")+($AP573="Management and Administration")+($AP573="Marketing")+($AP573="Sales")+($AP573="Entrepreneurship")+($AP573="Hospitality and Tourism"))&gt;0,"Commerce",IF((($AP573="Social Sciences and Humanities")+($AP573="Law Studies")+($AP573="Education and Training")+($AP573="Art, Design")+($AP573="Entertainment and Mass Media")+($AP573="Community and Social Service")+($AP573="Personal Care and Services")+($AP573="Government and Public Administration")+($AP573="Defence/ Protective Service")+($AP573="Sports"))&gt;0,"Arts / Humanities",""))))</f>
        <v/>
      </c>
      <c r="BC573" s="5" t="str">
        <f aca="false">IF($AL573="","",IF((($AL573="Engineering and Technology")+($AL573="Science and Mathematics")+($AL573="Computer Science, IT and Allied Fields")+($AL573="Life Sciences /Medicine and Healthcare")+($AL573="Paramedical")+($AL573="Architecture")+($AL573="Environmental Service")+($AL573="Agriculture, Food Industry and Forestry"))&gt;0,"Science",IF((($AL573="Banking and Finance")+($AL573="Management and Administration")+($AL573="Marketing")+($AL573="Sales")+($AL573="Entrepreneurship")+($AL573="Hospitality and Tourism"))&gt;0,"Commerce",IF((($AL573="Social Sciences and Humanities")+($AL573="Law Studies")+($AL573="Education and Training")+($AL573="Art, Design")+($AL573="Entertainment and Mass Media")+($AL573="Community and Social Service")+($AL573="Personal Care and Services")+($AL573="Government and Public Administration")+($AL573="Defence/ Protective Service")+($AL573="Sports"))&gt;0,"Arts / Humanities",""))))</f>
        <v/>
      </c>
      <c r="BD573" s="5" t="str">
        <f aca="false">IF($B573="","",--(F573&gt;=10)+--(G573&gt;=10)+--(H573&gt;=10)+--(I573&gt;=10)+--(J573&gt;=10)+--(K573&gt;=10)+--(L573&gt;=10)+--(M573&gt;=10)+--(N573&gt;=10)+--(O573&gt;=10))</f>
        <v/>
      </c>
      <c r="BE573" s="5" t="str">
        <f aca="false">IF($B573="","",--(AND(F573&lt;&gt;"",F573&lt;=8))+--(AND(G573&lt;&gt;"",G573&lt;=8))+--(AND(H573&lt;&gt;"",H573&lt;=8))+--(AND(I573&lt;&gt;"",I573&lt;=8))+--(AND(J573&lt;&gt;"",J573&lt;=8))+--(AND(K573&lt;&gt;"",K573&lt;=8))+--(AND(L573&lt;&gt;"",L573&lt;=8))+--(AND(M573&lt;&gt;"",M573&lt;=8))+--(AND(N573&lt;&gt;"",N573&lt;=8))+--(AND(O573&lt;&gt;"",O573&lt;=8)))</f>
        <v/>
      </c>
    </row>
    <row r="574" customFormat="false" ht="15" hidden="false" customHeight="false" outlineLevel="0" collapsed="false">
      <c r="AZ574" s="5" t="str">
        <f aca="false">IF($B574="","",SUMPRODUCT(($AL574:$AO574&lt;&gt;"")*(COUNTIF($AP574:$AX574,$AL574:$AO574)&gt;0)))</f>
        <v/>
      </c>
      <c r="BA574" s="5" t="str">
        <f aca="false">IF($B574="","",IF(AZ574&gt;0,1,0))</f>
        <v/>
      </c>
      <c r="BB574" s="5" t="str">
        <f aca="false">IF($AP574="","",IF((($AP574="Engineering and Technology")+($AP574="Science and Mathematics")+($AP574="Computer Science, IT and Allied Fields")+($AP574="Life Sciences /Medicine and Healthcare")+($AP574="Paramedical")+($AP574="Architecture")+($AP574="Environmental Service")+($AP574="Agriculture, Food Industry and Forestry"))&gt;0,"Science",IF((($AP574="Banking and Finance")+($AP574="Management and Administration")+($AP574="Marketing")+($AP574="Sales")+($AP574="Entrepreneurship")+($AP574="Hospitality and Tourism"))&gt;0,"Commerce",IF((($AP574="Social Sciences and Humanities")+($AP574="Law Studies")+($AP574="Education and Training")+($AP574="Art, Design")+($AP574="Entertainment and Mass Media")+($AP574="Community and Social Service")+($AP574="Personal Care and Services")+($AP574="Government and Public Administration")+($AP574="Defence/ Protective Service")+($AP574="Sports"))&gt;0,"Arts / Humanities",""))))</f>
        <v/>
      </c>
      <c r="BC574" s="5" t="str">
        <f aca="false">IF($AL574="","",IF((($AL574="Engineering and Technology")+($AL574="Science and Mathematics")+($AL574="Computer Science, IT and Allied Fields")+($AL574="Life Sciences /Medicine and Healthcare")+($AL574="Paramedical")+($AL574="Architecture")+($AL574="Environmental Service")+($AL574="Agriculture, Food Industry and Forestry"))&gt;0,"Science",IF((($AL574="Banking and Finance")+($AL574="Management and Administration")+($AL574="Marketing")+($AL574="Sales")+($AL574="Entrepreneurship")+($AL574="Hospitality and Tourism"))&gt;0,"Commerce",IF((($AL574="Social Sciences and Humanities")+($AL574="Law Studies")+($AL574="Education and Training")+($AL574="Art, Design")+($AL574="Entertainment and Mass Media")+($AL574="Community and Social Service")+($AL574="Personal Care and Services")+($AL574="Government and Public Administration")+($AL574="Defence/ Protective Service")+($AL574="Sports"))&gt;0,"Arts / Humanities",""))))</f>
        <v/>
      </c>
      <c r="BD574" s="5" t="str">
        <f aca="false">IF($B574="","",--(F574&gt;=10)+--(G574&gt;=10)+--(H574&gt;=10)+--(I574&gt;=10)+--(J574&gt;=10)+--(K574&gt;=10)+--(L574&gt;=10)+--(M574&gt;=10)+--(N574&gt;=10)+--(O574&gt;=10))</f>
        <v/>
      </c>
      <c r="BE574" s="5" t="str">
        <f aca="false">IF($B574="","",--(AND(F574&lt;&gt;"",F574&lt;=8))+--(AND(G574&lt;&gt;"",G574&lt;=8))+--(AND(H574&lt;&gt;"",H574&lt;=8))+--(AND(I574&lt;&gt;"",I574&lt;=8))+--(AND(J574&lt;&gt;"",J574&lt;=8))+--(AND(K574&lt;&gt;"",K574&lt;=8))+--(AND(L574&lt;&gt;"",L574&lt;=8))+--(AND(M574&lt;&gt;"",M574&lt;=8))+--(AND(N574&lt;&gt;"",N574&lt;=8))+--(AND(O574&lt;&gt;"",O574&lt;=8)))</f>
        <v/>
      </c>
    </row>
    <row r="575" customFormat="false" ht="15" hidden="false" customHeight="false" outlineLevel="0" collapsed="false">
      <c r="AZ575" s="5" t="str">
        <f aca="false">IF($B575="","",SUMPRODUCT(($AL575:$AO575&lt;&gt;"")*(COUNTIF($AP575:$AX575,$AL575:$AO575)&gt;0)))</f>
        <v/>
      </c>
      <c r="BA575" s="5" t="str">
        <f aca="false">IF($B575="","",IF(AZ575&gt;0,1,0))</f>
        <v/>
      </c>
      <c r="BB575" s="5" t="str">
        <f aca="false">IF($AP575="","",IF((($AP575="Engineering and Technology")+($AP575="Science and Mathematics")+($AP575="Computer Science, IT and Allied Fields")+($AP575="Life Sciences /Medicine and Healthcare")+($AP575="Paramedical")+($AP575="Architecture")+($AP575="Environmental Service")+($AP575="Agriculture, Food Industry and Forestry"))&gt;0,"Science",IF((($AP575="Banking and Finance")+($AP575="Management and Administration")+($AP575="Marketing")+($AP575="Sales")+($AP575="Entrepreneurship")+($AP575="Hospitality and Tourism"))&gt;0,"Commerce",IF((($AP575="Social Sciences and Humanities")+($AP575="Law Studies")+($AP575="Education and Training")+($AP575="Art, Design")+($AP575="Entertainment and Mass Media")+($AP575="Community and Social Service")+($AP575="Personal Care and Services")+($AP575="Government and Public Administration")+($AP575="Defence/ Protective Service")+($AP575="Sports"))&gt;0,"Arts / Humanities",""))))</f>
        <v/>
      </c>
      <c r="BC575" s="5" t="str">
        <f aca="false">IF($AL575="","",IF((($AL575="Engineering and Technology")+($AL575="Science and Mathematics")+($AL575="Computer Science, IT and Allied Fields")+($AL575="Life Sciences /Medicine and Healthcare")+($AL575="Paramedical")+($AL575="Architecture")+($AL575="Environmental Service")+($AL575="Agriculture, Food Industry and Forestry"))&gt;0,"Science",IF((($AL575="Banking and Finance")+($AL575="Management and Administration")+($AL575="Marketing")+($AL575="Sales")+($AL575="Entrepreneurship")+($AL575="Hospitality and Tourism"))&gt;0,"Commerce",IF((($AL575="Social Sciences and Humanities")+($AL575="Law Studies")+($AL575="Education and Training")+($AL575="Art, Design")+($AL575="Entertainment and Mass Media")+($AL575="Community and Social Service")+($AL575="Personal Care and Services")+($AL575="Government and Public Administration")+($AL575="Defence/ Protective Service")+($AL575="Sports"))&gt;0,"Arts / Humanities",""))))</f>
        <v/>
      </c>
      <c r="BD575" s="5" t="str">
        <f aca="false">IF($B575="","",--(F575&gt;=10)+--(G575&gt;=10)+--(H575&gt;=10)+--(I575&gt;=10)+--(J575&gt;=10)+--(K575&gt;=10)+--(L575&gt;=10)+--(M575&gt;=10)+--(N575&gt;=10)+--(O575&gt;=10))</f>
        <v/>
      </c>
      <c r="BE575" s="5" t="str">
        <f aca="false">IF($B575="","",--(AND(F575&lt;&gt;"",F575&lt;=8))+--(AND(G575&lt;&gt;"",G575&lt;=8))+--(AND(H575&lt;&gt;"",H575&lt;=8))+--(AND(I575&lt;&gt;"",I575&lt;=8))+--(AND(J575&lt;&gt;"",J575&lt;=8))+--(AND(K575&lt;&gt;"",K575&lt;=8))+--(AND(L575&lt;&gt;"",L575&lt;=8))+--(AND(M575&lt;&gt;"",M575&lt;=8))+--(AND(N575&lt;&gt;"",N575&lt;=8))+--(AND(O575&lt;&gt;"",O575&lt;=8)))</f>
        <v/>
      </c>
    </row>
    <row r="576" customFormat="false" ht="15" hidden="false" customHeight="false" outlineLevel="0" collapsed="false">
      <c r="AZ576" s="5" t="str">
        <f aca="false">IF($B576="","",SUMPRODUCT(($AL576:$AO576&lt;&gt;"")*(COUNTIF($AP576:$AX576,$AL576:$AO576)&gt;0)))</f>
        <v/>
      </c>
      <c r="BA576" s="5" t="str">
        <f aca="false">IF($B576="","",IF(AZ576&gt;0,1,0))</f>
        <v/>
      </c>
      <c r="BB576" s="5" t="str">
        <f aca="false">IF($AP576="","",IF((($AP576="Engineering and Technology")+($AP576="Science and Mathematics")+($AP576="Computer Science, IT and Allied Fields")+($AP576="Life Sciences /Medicine and Healthcare")+($AP576="Paramedical")+($AP576="Architecture")+($AP576="Environmental Service")+($AP576="Agriculture, Food Industry and Forestry"))&gt;0,"Science",IF((($AP576="Banking and Finance")+($AP576="Management and Administration")+($AP576="Marketing")+($AP576="Sales")+($AP576="Entrepreneurship")+($AP576="Hospitality and Tourism"))&gt;0,"Commerce",IF((($AP576="Social Sciences and Humanities")+($AP576="Law Studies")+($AP576="Education and Training")+($AP576="Art, Design")+($AP576="Entertainment and Mass Media")+($AP576="Community and Social Service")+($AP576="Personal Care and Services")+($AP576="Government and Public Administration")+($AP576="Defence/ Protective Service")+($AP576="Sports"))&gt;0,"Arts / Humanities",""))))</f>
        <v/>
      </c>
      <c r="BC576" s="5" t="str">
        <f aca="false">IF($AL576="","",IF((($AL576="Engineering and Technology")+($AL576="Science and Mathematics")+($AL576="Computer Science, IT and Allied Fields")+($AL576="Life Sciences /Medicine and Healthcare")+($AL576="Paramedical")+($AL576="Architecture")+($AL576="Environmental Service")+($AL576="Agriculture, Food Industry and Forestry"))&gt;0,"Science",IF((($AL576="Banking and Finance")+($AL576="Management and Administration")+($AL576="Marketing")+($AL576="Sales")+($AL576="Entrepreneurship")+($AL576="Hospitality and Tourism"))&gt;0,"Commerce",IF((($AL576="Social Sciences and Humanities")+($AL576="Law Studies")+($AL576="Education and Training")+($AL576="Art, Design")+($AL576="Entertainment and Mass Media")+($AL576="Community and Social Service")+($AL576="Personal Care and Services")+($AL576="Government and Public Administration")+($AL576="Defence/ Protective Service")+($AL576="Sports"))&gt;0,"Arts / Humanities",""))))</f>
        <v/>
      </c>
      <c r="BD576" s="5" t="str">
        <f aca="false">IF($B576="","",--(F576&gt;=10)+--(G576&gt;=10)+--(H576&gt;=10)+--(I576&gt;=10)+--(J576&gt;=10)+--(K576&gt;=10)+--(L576&gt;=10)+--(M576&gt;=10)+--(N576&gt;=10)+--(O576&gt;=10))</f>
        <v/>
      </c>
      <c r="BE576" s="5" t="str">
        <f aca="false">IF($B576="","",--(AND(F576&lt;&gt;"",F576&lt;=8))+--(AND(G576&lt;&gt;"",G576&lt;=8))+--(AND(H576&lt;&gt;"",H576&lt;=8))+--(AND(I576&lt;&gt;"",I576&lt;=8))+--(AND(J576&lt;&gt;"",J576&lt;=8))+--(AND(K576&lt;&gt;"",K576&lt;=8))+--(AND(L576&lt;&gt;"",L576&lt;=8))+--(AND(M576&lt;&gt;"",M576&lt;=8))+--(AND(N576&lt;&gt;"",N576&lt;=8))+--(AND(O576&lt;&gt;"",O576&lt;=8)))</f>
        <v/>
      </c>
    </row>
    <row r="577" customFormat="false" ht="15" hidden="false" customHeight="false" outlineLevel="0" collapsed="false">
      <c r="AZ577" s="5" t="str">
        <f aca="false">IF($B577="","",SUMPRODUCT(($AL577:$AO577&lt;&gt;"")*(COUNTIF($AP577:$AX577,$AL577:$AO577)&gt;0)))</f>
        <v/>
      </c>
      <c r="BA577" s="5" t="str">
        <f aca="false">IF($B577="","",IF(AZ577&gt;0,1,0))</f>
        <v/>
      </c>
      <c r="BB577" s="5" t="str">
        <f aca="false">IF($AP577="","",IF((($AP577="Engineering and Technology")+($AP577="Science and Mathematics")+($AP577="Computer Science, IT and Allied Fields")+($AP577="Life Sciences /Medicine and Healthcare")+($AP577="Paramedical")+($AP577="Architecture")+($AP577="Environmental Service")+($AP577="Agriculture, Food Industry and Forestry"))&gt;0,"Science",IF((($AP577="Banking and Finance")+($AP577="Management and Administration")+($AP577="Marketing")+($AP577="Sales")+($AP577="Entrepreneurship")+($AP577="Hospitality and Tourism"))&gt;0,"Commerce",IF((($AP577="Social Sciences and Humanities")+($AP577="Law Studies")+($AP577="Education and Training")+($AP577="Art, Design")+($AP577="Entertainment and Mass Media")+($AP577="Community and Social Service")+($AP577="Personal Care and Services")+($AP577="Government and Public Administration")+($AP577="Defence/ Protective Service")+($AP577="Sports"))&gt;0,"Arts / Humanities",""))))</f>
        <v/>
      </c>
      <c r="BC577" s="5" t="str">
        <f aca="false">IF($AL577="","",IF((($AL577="Engineering and Technology")+($AL577="Science and Mathematics")+($AL577="Computer Science, IT and Allied Fields")+($AL577="Life Sciences /Medicine and Healthcare")+($AL577="Paramedical")+($AL577="Architecture")+($AL577="Environmental Service")+($AL577="Agriculture, Food Industry and Forestry"))&gt;0,"Science",IF((($AL577="Banking and Finance")+($AL577="Management and Administration")+($AL577="Marketing")+($AL577="Sales")+($AL577="Entrepreneurship")+($AL577="Hospitality and Tourism"))&gt;0,"Commerce",IF((($AL577="Social Sciences and Humanities")+($AL577="Law Studies")+($AL577="Education and Training")+($AL577="Art, Design")+($AL577="Entertainment and Mass Media")+($AL577="Community and Social Service")+($AL577="Personal Care and Services")+($AL577="Government and Public Administration")+($AL577="Defence/ Protective Service")+($AL577="Sports"))&gt;0,"Arts / Humanities",""))))</f>
        <v/>
      </c>
      <c r="BD577" s="5" t="str">
        <f aca="false">IF($B577="","",--(F577&gt;=10)+--(G577&gt;=10)+--(H577&gt;=10)+--(I577&gt;=10)+--(J577&gt;=10)+--(K577&gt;=10)+--(L577&gt;=10)+--(M577&gt;=10)+--(N577&gt;=10)+--(O577&gt;=10))</f>
        <v/>
      </c>
      <c r="BE577" s="5" t="str">
        <f aca="false">IF($B577="","",--(AND(F577&lt;&gt;"",F577&lt;=8))+--(AND(G577&lt;&gt;"",G577&lt;=8))+--(AND(H577&lt;&gt;"",H577&lt;=8))+--(AND(I577&lt;&gt;"",I577&lt;=8))+--(AND(J577&lt;&gt;"",J577&lt;=8))+--(AND(K577&lt;&gt;"",K577&lt;=8))+--(AND(L577&lt;&gt;"",L577&lt;=8))+--(AND(M577&lt;&gt;"",M577&lt;=8))+--(AND(N577&lt;&gt;"",N577&lt;=8))+--(AND(O577&lt;&gt;"",O577&lt;=8)))</f>
        <v/>
      </c>
    </row>
    <row r="578" customFormat="false" ht="15" hidden="false" customHeight="false" outlineLevel="0" collapsed="false">
      <c r="AZ578" s="5" t="str">
        <f aca="false">IF($B578="","",SUMPRODUCT(($AL578:$AO578&lt;&gt;"")*(COUNTIF($AP578:$AX578,$AL578:$AO578)&gt;0)))</f>
        <v/>
      </c>
      <c r="BA578" s="5" t="str">
        <f aca="false">IF($B578="","",IF(AZ578&gt;0,1,0))</f>
        <v/>
      </c>
      <c r="BB578" s="5" t="str">
        <f aca="false">IF($AP578="","",IF((($AP578="Engineering and Technology")+($AP578="Science and Mathematics")+($AP578="Computer Science, IT and Allied Fields")+($AP578="Life Sciences /Medicine and Healthcare")+($AP578="Paramedical")+($AP578="Architecture")+($AP578="Environmental Service")+($AP578="Agriculture, Food Industry and Forestry"))&gt;0,"Science",IF((($AP578="Banking and Finance")+($AP578="Management and Administration")+($AP578="Marketing")+($AP578="Sales")+($AP578="Entrepreneurship")+($AP578="Hospitality and Tourism"))&gt;0,"Commerce",IF((($AP578="Social Sciences and Humanities")+($AP578="Law Studies")+($AP578="Education and Training")+($AP578="Art, Design")+($AP578="Entertainment and Mass Media")+($AP578="Community and Social Service")+($AP578="Personal Care and Services")+($AP578="Government and Public Administration")+($AP578="Defence/ Protective Service")+($AP578="Sports"))&gt;0,"Arts / Humanities",""))))</f>
        <v/>
      </c>
      <c r="BC578" s="5" t="str">
        <f aca="false">IF($AL578="","",IF((($AL578="Engineering and Technology")+($AL578="Science and Mathematics")+($AL578="Computer Science, IT and Allied Fields")+($AL578="Life Sciences /Medicine and Healthcare")+($AL578="Paramedical")+($AL578="Architecture")+($AL578="Environmental Service")+($AL578="Agriculture, Food Industry and Forestry"))&gt;0,"Science",IF((($AL578="Banking and Finance")+($AL578="Management and Administration")+($AL578="Marketing")+($AL578="Sales")+($AL578="Entrepreneurship")+($AL578="Hospitality and Tourism"))&gt;0,"Commerce",IF((($AL578="Social Sciences and Humanities")+($AL578="Law Studies")+($AL578="Education and Training")+($AL578="Art, Design")+($AL578="Entertainment and Mass Media")+($AL578="Community and Social Service")+($AL578="Personal Care and Services")+($AL578="Government and Public Administration")+($AL578="Defence/ Protective Service")+($AL578="Sports"))&gt;0,"Arts / Humanities",""))))</f>
        <v/>
      </c>
      <c r="BD578" s="5" t="str">
        <f aca="false">IF($B578="","",--(F578&gt;=10)+--(G578&gt;=10)+--(H578&gt;=10)+--(I578&gt;=10)+--(J578&gt;=10)+--(K578&gt;=10)+--(L578&gt;=10)+--(M578&gt;=10)+--(N578&gt;=10)+--(O578&gt;=10))</f>
        <v/>
      </c>
      <c r="BE578" s="5" t="str">
        <f aca="false">IF($B578="","",--(AND(F578&lt;&gt;"",F578&lt;=8))+--(AND(G578&lt;&gt;"",G578&lt;=8))+--(AND(H578&lt;&gt;"",H578&lt;=8))+--(AND(I578&lt;&gt;"",I578&lt;=8))+--(AND(J578&lt;&gt;"",J578&lt;=8))+--(AND(K578&lt;&gt;"",K578&lt;=8))+--(AND(L578&lt;&gt;"",L578&lt;=8))+--(AND(M578&lt;&gt;"",M578&lt;=8))+--(AND(N578&lt;&gt;"",N578&lt;=8))+--(AND(O578&lt;&gt;"",O578&lt;=8)))</f>
        <v/>
      </c>
    </row>
    <row r="579" customFormat="false" ht="15" hidden="false" customHeight="false" outlineLevel="0" collapsed="false">
      <c r="AZ579" s="5" t="str">
        <f aca="false">IF($B579="","",SUMPRODUCT(($AL579:$AO579&lt;&gt;"")*(COUNTIF($AP579:$AX579,$AL579:$AO579)&gt;0)))</f>
        <v/>
      </c>
      <c r="BA579" s="5" t="str">
        <f aca="false">IF($B579="","",IF(AZ579&gt;0,1,0))</f>
        <v/>
      </c>
      <c r="BB579" s="5" t="str">
        <f aca="false">IF($AP579="","",IF((($AP579="Engineering and Technology")+($AP579="Science and Mathematics")+($AP579="Computer Science, IT and Allied Fields")+($AP579="Life Sciences /Medicine and Healthcare")+($AP579="Paramedical")+($AP579="Architecture")+($AP579="Environmental Service")+($AP579="Agriculture, Food Industry and Forestry"))&gt;0,"Science",IF((($AP579="Banking and Finance")+($AP579="Management and Administration")+($AP579="Marketing")+($AP579="Sales")+($AP579="Entrepreneurship")+($AP579="Hospitality and Tourism"))&gt;0,"Commerce",IF((($AP579="Social Sciences and Humanities")+($AP579="Law Studies")+($AP579="Education and Training")+($AP579="Art, Design")+($AP579="Entertainment and Mass Media")+($AP579="Community and Social Service")+($AP579="Personal Care and Services")+($AP579="Government and Public Administration")+($AP579="Defence/ Protective Service")+($AP579="Sports"))&gt;0,"Arts / Humanities",""))))</f>
        <v/>
      </c>
      <c r="BC579" s="5" t="str">
        <f aca="false">IF($AL579="","",IF((($AL579="Engineering and Technology")+($AL579="Science and Mathematics")+($AL579="Computer Science, IT and Allied Fields")+($AL579="Life Sciences /Medicine and Healthcare")+($AL579="Paramedical")+($AL579="Architecture")+($AL579="Environmental Service")+($AL579="Agriculture, Food Industry and Forestry"))&gt;0,"Science",IF((($AL579="Banking and Finance")+($AL579="Management and Administration")+($AL579="Marketing")+($AL579="Sales")+($AL579="Entrepreneurship")+($AL579="Hospitality and Tourism"))&gt;0,"Commerce",IF((($AL579="Social Sciences and Humanities")+($AL579="Law Studies")+($AL579="Education and Training")+($AL579="Art, Design")+($AL579="Entertainment and Mass Media")+($AL579="Community and Social Service")+($AL579="Personal Care and Services")+($AL579="Government and Public Administration")+($AL579="Defence/ Protective Service")+($AL579="Sports"))&gt;0,"Arts / Humanities",""))))</f>
        <v/>
      </c>
      <c r="BD579" s="5" t="str">
        <f aca="false">IF($B579="","",--(F579&gt;=10)+--(G579&gt;=10)+--(H579&gt;=10)+--(I579&gt;=10)+--(J579&gt;=10)+--(K579&gt;=10)+--(L579&gt;=10)+--(M579&gt;=10)+--(N579&gt;=10)+--(O579&gt;=10))</f>
        <v/>
      </c>
      <c r="BE579" s="5" t="str">
        <f aca="false">IF($B579="","",--(AND(F579&lt;&gt;"",F579&lt;=8))+--(AND(G579&lt;&gt;"",G579&lt;=8))+--(AND(H579&lt;&gt;"",H579&lt;=8))+--(AND(I579&lt;&gt;"",I579&lt;=8))+--(AND(J579&lt;&gt;"",J579&lt;=8))+--(AND(K579&lt;&gt;"",K579&lt;=8))+--(AND(L579&lt;&gt;"",L579&lt;=8))+--(AND(M579&lt;&gt;"",M579&lt;=8))+--(AND(N579&lt;&gt;"",N579&lt;=8))+--(AND(O579&lt;&gt;"",O579&lt;=8)))</f>
        <v/>
      </c>
    </row>
    <row r="580" customFormat="false" ht="15" hidden="false" customHeight="false" outlineLevel="0" collapsed="false">
      <c r="AZ580" s="5" t="str">
        <f aca="false">IF($B580="","",SUMPRODUCT(($AL580:$AO580&lt;&gt;"")*(COUNTIF($AP580:$AX580,$AL580:$AO580)&gt;0)))</f>
        <v/>
      </c>
      <c r="BA580" s="5" t="str">
        <f aca="false">IF($B580="","",IF(AZ580&gt;0,1,0))</f>
        <v/>
      </c>
      <c r="BB580" s="5" t="str">
        <f aca="false">IF($AP580="","",IF((($AP580="Engineering and Technology")+($AP580="Science and Mathematics")+($AP580="Computer Science, IT and Allied Fields")+($AP580="Life Sciences /Medicine and Healthcare")+($AP580="Paramedical")+($AP580="Architecture")+($AP580="Environmental Service")+($AP580="Agriculture, Food Industry and Forestry"))&gt;0,"Science",IF((($AP580="Banking and Finance")+($AP580="Management and Administration")+($AP580="Marketing")+($AP580="Sales")+($AP580="Entrepreneurship")+($AP580="Hospitality and Tourism"))&gt;0,"Commerce",IF((($AP580="Social Sciences and Humanities")+($AP580="Law Studies")+($AP580="Education and Training")+($AP580="Art, Design")+($AP580="Entertainment and Mass Media")+($AP580="Community and Social Service")+($AP580="Personal Care and Services")+($AP580="Government and Public Administration")+($AP580="Defence/ Protective Service")+($AP580="Sports"))&gt;0,"Arts / Humanities",""))))</f>
        <v/>
      </c>
      <c r="BC580" s="5" t="str">
        <f aca="false">IF($AL580="","",IF((($AL580="Engineering and Technology")+($AL580="Science and Mathematics")+($AL580="Computer Science, IT and Allied Fields")+($AL580="Life Sciences /Medicine and Healthcare")+($AL580="Paramedical")+($AL580="Architecture")+($AL580="Environmental Service")+($AL580="Agriculture, Food Industry and Forestry"))&gt;0,"Science",IF((($AL580="Banking and Finance")+($AL580="Management and Administration")+($AL580="Marketing")+($AL580="Sales")+($AL580="Entrepreneurship")+($AL580="Hospitality and Tourism"))&gt;0,"Commerce",IF((($AL580="Social Sciences and Humanities")+($AL580="Law Studies")+($AL580="Education and Training")+($AL580="Art, Design")+($AL580="Entertainment and Mass Media")+($AL580="Community and Social Service")+($AL580="Personal Care and Services")+($AL580="Government and Public Administration")+($AL580="Defence/ Protective Service")+($AL580="Sports"))&gt;0,"Arts / Humanities",""))))</f>
        <v/>
      </c>
      <c r="BD580" s="5" t="str">
        <f aca="false">IF($B580="","",--(F580&gt;=10)+--(G580&gt;=10)+--(H580&gt;=10)+--(I580&gt;=10)+--(J580&gt;=10)+--(K580&gt;=10)+--(L580&gt;=10)+--(M580&gt;=10)+--(N580&gt;=10)+--(O580&gt;=10))</f>
        <v/>
      </c>
      <c r="BE580" s="5" t="str">
        <f aca="false">IF($B580="","",--(AND(F580&lt;&gt;"",F580&lt;=8))+--(AND(G580&lt;&gt;"",G580&lt;=8))+--(AND(H580&lt;&gt;"",H580&lt;=8))+--(AND(I580&lt;&gt;"",I580&lt;=8))+--(AND(J580&lt;&gt;"",J580&lt;=8))+--(AND(K580&lt;&gt;"",K580&lt;=8))+--(AND(L580&lt;&gt;"",L580&lt;=8))+--(AND(M580&lt;&gt;"",M580&lt;=8))+--(AND(N580&lt;&gt;"",N580&lt;=8))+--(AND(O580&lt;&gt;"",O580&lt;=8)))</f>
        <v/>
      </c>
    </row>
    <row r="581" customFormat="false" ht="15" hidden="false" customHeight="false" outlineLevel="0" collapsed="false">
      <c r="AZ581" s="5" t="str">
        <f aca="false">IF($B581="","",SUMPRODUCT(($AL581:$AO581&lt;&gt;"")*(COUNTIF($AP581:$AX581,$AL581:$AO581)&gt;0)))</f>
        <v/>
      </c>
      <c r="BA581" s="5" t="str">
        <f aca="false">IF($B581="","",IF(AZ581&gt;0,1,0))</f>
        <v/>
      </c>
      <c r="BB581" s="5" t="str">
        <f aca="false">IF($AP581="","",IF((($AP581="Engineering and Technology")+($AP581="Science and Mathematics")+($AP581="Computer Science, IT and Allied Fields")+($AP581="Life Sciences /Medicine and Healthcare")+($AP581="Paramedical")+($AP581="Architecture")+($AP581="Environmental Service")+($AP581="Agriculture, Food Industry and Forestry"))&gt;0,"Science",IF((($AP581="Banking and Finance")+($AP581="Management and Administration")+($AP581="Marketing")+($AP581="Sales")+($AP581="Entrepreneurship")+($AP581="Hospitality and Tourism"))&gt;0,"Commerce",IF((($AP581="Social Sciences and Humanities")+($AP581="Law Studies")+($AP581="Education and Training")+($AP581="Art, Design")+($AP581="Entertainment and Mass Media")+($AP581="Community and Social Service")+($AP581="Personal Care and Services")+($AP581="Government and Public Administration")+($AP581="Defence/ Protective Service")+($AP581="Sports"))&gt;0,"Arts / Humanities",""))))</f>
        <v/>
      </c>
      <c r="BC581" s="5" t="str">
        <f aca="false">IF($AL581="","",IF((($AL581="Engineering and Technology")+($AL581="Science and Mathematics")+($AL581="Computer Science, IT and Allied Fields")+($AL581="Life Sciences /Medicine and Healthcare")+($AL581="Paramedical")+($AL581="Architecture")+($AL581="Environmental Service")+($AL581="Agriculture, Food Industry and Forestry"))&gt;0,"Science",IF((($AL581="Banking and Finance")+($AL581="Management and Administration")+($AL581="Marketing")+($AL581="Sales")+($AL581="Entrepreneurship")+($AL581="Hospitality and Tourism"))&gt;0,"Commerce",IF((($AL581="Social Sciences and Humanities")+($AL581="Law Studies")+($AL581="Education and Training")+($AL581="Art, Design")+($AL581="Entertainment and Mass Media")+($AL581="Community and Social Service")+($AL581="Personal Care and Services")+($AL581="Government and Public Administration")+($AL581="Defence/ Protective Service")+($AL581="Sports"))&gt;0,"Arts / Humanities",""))))</f>
        <v/>
      </c>
      <c r="BD581" s="5" t="str">
        <f aca="false">IF($B581="","",--(F581&gt;=10)+--(G581&gt;=10)+--(H581&gt;=10)+--(I581&gt;=10)+--(J581&gt;=10)+--(K581&gt;=10)+--(L581&gt;=10)+--(M581&gt;=10)+--(N581&gt;=10)+--(O581&gt;=10))</f>
        <v/>
      </c>
      <c r="BE581" s="5" t="str">
        <f aca="false">IF($B581="","",--(AND(F581&lt;&gt;"",F581&lt;=8))+--(AND(G581&lt;&gt;"",G581&lt;=8))+--(AND(H581&lt;&gt;"",H581&lt;=8))+--(AND(I581&lt;&gt;"",I581&lt;=8))+--(AND(J581&lt;&gt;"",J581&lt;=8))+--(AND(K581&lt;&gt;"",K581&lt;=8))+--(AND(L581&lt;&gt;"",L581&lt;=8))+--(AND(M581&lt;&gt;"",M581&lt;=8))+--(AND(N581&lt;&gt;"",N581&lt;=8))+--(AND(O581&lt;&gt;"",O581&lt;=8)))</f>
        <v/>
      </c>
    </row>
    <row r="582" customFormat="false" ht="15" hidden="false" customHeight="false" outlineLevel="0" collapsed="false">
      <c r="AZ582" s="5" t="str">
        <f aca="false">IF($B582="","",SUMPRODUCT(($AL582:$AO582&lt;&gt;"")*(COUNTIF($AP582:$AX582,$AL582:$AO582)&gt;0)))</f>
        <v/>
      </c>
      <c r="BA582" s="5" t="str">
        <f aca="false">IF($B582="","",IF(AZ582&gt;0,1,0))</f>
        <v/>
      </c>
      <c r="BB582" s="5" t="str">
        <f aca="false">IF($AP582="","",IF((($AP582="Engineering and Technology")+($AP582="Science and Mathematics")+($AP582="Computer Science, IT and Allied Fields")+($AP582="Life Sciences /Medicine and Healthcare")+($AP582="Paramedical")+($AP582="Architecture")+($AP582="Environmental Service")+($AP582="Agriculture, Food Industry and Forestry"))&gt;0,"Science",IF((($AP582="Banking and Finance")+($AP582="Management and Administration")+($AP582="Marketing")+($AP582="Sales")+($AP582="Entrepreneurship")+($AP582="Hospitality and Tourism"))&gt;0,"Commerce",IF((($AP582="Social Sciences and Humanities")+($AP582="Law Studies")+($AP582="Education and Training")+($AP582="Art, Design")+($AP582="Entertainment and Mass Media")+($AP582="Community and Social Service")+($AP582="Personal Care and Services")+($AP582="Government and Public Administration")+($AP582="Defence/ Protective Service")+($AP582="Sports"))&gt;0,"Arts / Humanities",""))))</f>
        <v/>
      </c>
      <c r="BC582" s="5" t="str">
        <f aca="false">IF($AL582="","",IF((($AL582="Engineering and Technology")+($AL582="Science and Mathematics")+($AL582="Computer Science, IT and Allied Fields")+($AL582="Life Sciences /Medicine and Healthcare")+($AL582="Paramedical")+($AL582="Architecture")+($AL582="Environmental Service")+($AL582="Agriculture, Food Industry and Forestry"))&gt;0,"Science",IF((($AL582="Banking and Finance")+($AL582="Management and Administration")+($AL582="Marketing")+($AL582="Sales")+($AL582="Entrepreneurship")+($AL582="Hospitality and Tourism"))&gt;0,"Commerce",IF((($AL582="Social Sciences and Humanities")+($AL582="Law Studies")+($AL582="Education and Training")+($AL582="Art, Design")+($AL582="Entertainment and Mass Media")+($AL582="Community and Social Service")+($AL582="Personal Care and Services")+($AL582="Government and Public Administration")+($AL582="Defence/ Protective Service")+($AL582="Sports"))&gt;0,"Arts / Humanities",""))))</f>
        <v/>
      </c>
      <c r="BD582" s="5" t="str">
        <f aca="false">IF($B582="","",--(F582&gt;=10)+--(G582&gt;=10)+--(H582&gt;=10)+--(I582&gt;=10)+--(J582&gt;=10)+--(K582&gt;=10)+--(L582&gt;=10)+--(M582&gt;=10)+--(N582&gt;=10)+--(O582&gt;=10))</f>
        <v/>
      </c>
      <c r="BE582" s="5" t="str">
        <f aca="false">IF($B582="","",--(AND(F582&lt;&gt;"",F582&lt;=8))+--(AND(G582&lt;&gt;"",G582&lt;=8))+--(AND(H582&lt;&gt;"",H582&lt;=8))+--(AND(I582&lt;&gt;"",I582&lt;=8))+--(AND(J582&lt;&gt;"",J582&lt;=8))+--(AND(K582&lt;&gt;"",K582&lt;=8))+--(AND(L582&lt;&gt;"",L582&lt;=8))+--(AND(M582&lt;&gt;"",M582&lt;=8))+--(AND(N582&lt;&gt;"",N582&lt;=8))+--(AND(O582&lt;&gt;"",O582&lt;=8)))</f>
        <v/>
      </c>
    </row>
    <row r="583" customFormat="false" ht="15" hidden="false" customHeight="false" outlineLevel="0" collapsed="false">
      <c r="AZ583" s="5" t="str">
        <f aca="false">IF($B583="","",SUMPRODUCT(($AL583:$AO583&lt;&gt;"")*(COUNTIF($AP583:$AX583,$AL583:$AO583)&gt;0)))</f>
        <v/>
      </c>
      <c r="BA583" s="5" t="str">
        <f aca="false">IF($B583="","",IF(AZ583&gt;0,1,0))</f>
        <v/>
      </c>
      <c r="BB583" s="5" t="str">
        <f aca="false">IF($AP583="","",IF((($AP583="Engineering and Technology")+($AP583="Science and Mathematics")+($AP583="Computer Science, IT and Allied Fields")+($AP583="Life Sciences /Medicine and Healthcare")+($AP583="Paramedical")+($AP583="Architecture")+($AP583="Environmental Service")+($AP583="Agriculture, Food Industry and Forestry"))&gt;0,"Science",IF((($AP583="Banking and Finance")+($AP583="Management and Administration")+($AP583="Marketing")+($AP583="Sales")+($AP583="Entrepreneurship")+($AP583="Hospitality and Tourism"))&gt;0,"Commerce",IF((($AP583="Social Sciences and Humanities")+($AP583="Law Studies")+($AP583="Education and Training")+($AP583="Art, Design")+($AP583="Entertainment and Mass Media")+($AP583="Community and Social Service")+($AP583="Personal Care and Services")+($AP583="Government and Public Administration")+($AP583="Defence/ Protective Service")+($AP583="Sports"))&gt;0,"Arts / Humanities",""))))</f>
        <v/>
      </c>
      <c r="BC583" s="5" t="str">
        <f aca="false">IF($AL583="","",IF((($AL583="Engineering and Technology")+($AL583="Science and Mathematics")+($AL583="Computer Science, IT and Allied Fields")+($AL583="Life Sciences /Medicine and Healthcare")+($AL583="Paramedical")+($AL583="Architecture")+($AL583="Environmental Service")+($AL583="Agriculture, Food Industry and Forestry"))&gt;0,"Science",IF((($AL583="Banking and Finance")+($AL583="Management and Administration")+($AL583="Marketing")+($AL583="Sales")+($AL583="Entrepreneurship")+($AL583="Hospitality and Tourism"))&gt;0,"Commerce",IF((($AL583="Social Sciences and Humanities")+($AL583="Law Studies")+($AL583="Education and Training")+($AL583="Art, Design")+($AL583="Entertainment and Mass Media")+($AL583="Community and Social Service")+($AL583="Personal Care and Services")+($AL583="Government and Public Administration")+($AL583="Defence/ Protective Service")+($AL583="Sports"))&gt;0,"Arts / Humanities",""))))</f>
        <v/>
      </c>
      <c r="BD583" s="5" t="str">
        <f aca="false">IF($B583="","",--(F583&gt;=10)+--(G583&gt;=10)+--(H583&gt;=10)+--(I583&gt;=10)+--(J583&gt;=10)+--(K583&gt;=10)+--(L583&gt;=10)+--(M583&gt;=10)+--(N583&gt;=10)+--(O583&gt;=10))</f>
        <v/>
      </c>
      <c r="BE583" s="5" t="str">
        <f aca="false">IF($B583="","",--(AND(F583&lt;&gt;"",F583&lt;=8))+--(AND(G583&lt;&gt;"",G583&lt;=8))+--(AND(H583&lt;&gt;"",H583&lt;=8))+--(AND(I583&lt;&gt;"",I583&lt;=8))+--(AND(J583&lt;&gt;"",J583&lt;=8))+--(AND(K583&lt;&gt;"",K583&lt;=8))+--(AND(L583&lt;&gt;"",L583&lt;=8))+--(AND(M583&lt;&gt;"",M583&lt;=8))+--(AND(N583&lt;&gt;"",N583&lt;=8))+--(AND(O583&lt;&gt;"",O583&lt;=8)))</f>
        <v/>
      </c>
    </row>
    <row r="584" customFormat="false" ht="15" hidden="false" customHeight="false" outlineLevel="0" collapsed="false">
      <c r="AZ584" s="5" t="str">
        <f aca="false">IF($B584="","",SUMPRODUCT(($AL584:$AO584&lt;&gt;"")*(COUNTIF($AP584:$AX584,$AL584:$AO584)&gt;0)))</f>
        <v/>
      </c>
      <c r="BA584" s="5" t="str">
        <f aca="false">IF($B584="","",IF(AZ584&gt;0,1,0))</f>
        <v/>
      </c>
      <c r="BB584" s="5" t="str">
        <f aca="false">IF($AP584="","",IF((($AP584="Engineering and Technology")+($AP584="Science and Mathematics")+($AP584="Computer Science, IT and Allied Fields")+($AP584="Life Sciences /Medicine and Healthcare")+($AP584="Paramedical")+($AP584="Architecture")+($AP584="Environmental Service")+($AP584="Agriculture, Food Industry and Forestry"))&gt;0,"Science",IF((($AP584="Banking and Finance")+($AP584="Management and Administration")+($AP584="Marketing")+($AP584="Sales")+($AP584="Entrepreneurship")+($AP584="Hospitality and Tourism"))&gt;0,"Commerce",IF((($AP584="Social Sciences and Humanities")+($AP584="Law Studies")+($AP584="Education and Training")+($AP584="Art, Design")+($AP584="Entertainment and Mass Media")+($AP584="Community and Social Service")+($AP584="Personal Care and Services")+($AP584="Government and Public Administration")+($AP584="Defence/ Protective Service")+($AP584="Sports"))&gt;0,"Arts / Humanities",""))))</f>
        <v/>
      </c>
      <c r="BC584" s="5" t="str">
        <f aca="false">IF($AL584="","",IF((($AL584="Engineering and Technology")+($AL584="Science and Mathematics")+($AL584="Computer Science, IT and Allied Fields")+($AL584="Life Sciences /Medicine and Healthcare")+($AL584="Paramedical")+($AL584="Architecture")+($AL584="Environmental Service")+($AL584="Agriculture, Food Industry and Forestry"))&gt;0,"Science",IF((($AL584="Banking and Finance")+($AL584="Management and Administration")+($AL584="Marketing")+($AL584="Sales")+($AL584="Entrepreneurship")+($AL584="Hospitality and Tourism"))&gt;0,"Commerce",IF((($AL584="Social Sciences and Humanities")+($AL584="Law Studies")+($AL584="Education and Training")+($AL584="Art, Design")+($AL584="Entertainment and Mass Media")+($AL584="Community and Social Service")+($AL584="Personal Care and Services")+($AL584="Government and Public Administration")+($AL584="Defence/ Protective Service")+($AL584="Sports"))&gt;0,"Arts / Humanities",""))))</f>
        <v/>
      </c>
      <c r="BD584" s="5" t="str">
        <f aca="false">IF($B584="","",--(F584&gt;=10)+--(G584&gt;=10)+--(H584&gt;=10)+--(I584&gt;=10)+--(J584&gt;=10)+--(K584&gt;=10)+--(L584&gt;=10)+--(M584&gt;=10)+--(N584&gt;=10)+--(O584&gt;=10))</f>
        <v/>
      </c>
      <c r="BE584" s="5" t="str">
        <f aca="false">IF($B584="","",--(AND(F584&lt;&gt;"",F584&lt;=8))+--(AND(G584&lt;&gt;"",G584&lt;=8))+--(AND(H584&lt;&gt;"",H584&lt;=8))+--(AND(I584&lt;&gt;"",I584&lt;=8))+--(AND(J584&lt;&gt;"",J584&lt;=8))+--(AND(K584&lt;&gt;"",K584&lt;=8))+--(AND(L584&lt;&gt;"",L584&lt;=8))+--(AND(M584&lt;&gt;"",M584&lt;=8))+--(AND(N584&lt;&gt;"",N584&lt;=8))+--(AND(O584&lt;&gt;"",O584&lt;=8)))</f>
        <v/>
      </c>
    </row>
    <row r="585" customFormat="false" ht="15" hidden="false" customHeight="false" outlineLevel="0" collapsed="false">
      <c r="AZ585" s="5" t="str">
        <f aca="false">IF($B585="","",SUMPRODUCT(($AL585:$AO585&lt;&gt;"")*(COUNTIF($AP585:$AX585,$AL585:$AO585)&gt;0)))</f>
        <v/>
      </c>
      <c r="BA585" s="5" t="str">
        <f aca="false">IF($B585="","",IF(AZ585&gt;0,1,0))</f>
        <v/>
      </c>
      <c r="BB585" s="5" t="str">
        <f aca="false">IF($AP585="","",IF((($AP585="Engineering and Technology")+($AP585="Science and Mathematics")+($AP585="Computer Science, IT and Allied Fields")+($AP585="Life Sciences /Medicine and Healthcare")+($AP585="Paramedical")+($AP585="Architecture")+($AP585="Environmental Service")+($AP585="Agriculture, Food Industry and Forestry"))&gt;0,"Science",IF((($AP585="Banking and Finance")+($AP585="Management and Administration")+($AP585="Marketing")+($AP585="Sales")+($AP585="Entrepreneurship")+($AP585="Hospitality and Tourism"))&gt;0,"Commerce",IF((($AP585="Social Sciences and Humanities")+($AP585="Law Studies")+($AP585="Education and Training")+($AP585="Art, Design")+($AP585="Entertainment and Mass Media")+($AP585="Community and Social Service")+($AP585="Personal Care and Services")+($AP585="Government and Public Administration")+($AP585="Defence/ Protective Service")+($AP585="Sports"))&gt;0,"Arts / Humanities",""))))</f>
        <v/>
      </c>
      <c r="BC585" s="5" t="str">
        <f aca="false">IF($AL585="","",IF((($AL585="Engineering and Technology")+($AL585="Science and Mathematics")+($AL585="Computer Science, IT and Allied Fields")+($AL585="Life Sciences /Medicine and Healthcare")+($AL585="Paramedical")+($AL585="Architecture")+($AL585="Environmental Service")+($AL585="Agriculture, Food Industry and Forestry"))&gt;0,"Science",IF((($AL585="Banking and Finance")+($AL585="Management and Administration")+($AL585="Marketing")+($AL585="Sales")+($AL585="Entrepreneurship")+($AL585="Hospitality and Tourism"))&gt;0,"Commerce",IF((($AL585="Social Sciences and Humanities")+($AL585="Law Studies")+($AL585="Education and Training")+($AL585="Art, Design")+($AL585="Entertainment and Mass Media")+($AL585="Community and Social Service")+($AL585="Personal Care and Services")+($AL585="Government and Public Administration")+($AL585="Defence/ Protective Service")+($AL585="Sports"))&gt;0,"Arts / Humanities",""))))</f>
        <v/>
      </c>
      <c r="BD585" s="5" t="str">
        <f aca="false">IF($B585="","",--(F585&gt;=10)+--(G585&gt;=10)+--(H585&gt;=10)+--(I585&gt;=10)+--(J585&gt;=10)+--(K585&gt;=10)+--(L585&gt;=10)+--(M585&gt;=10)+--(N585&gt;=10)+--(O585&gt;=10))</f>
        <v/>
      </c>
      <c r="BE585" s="5" t="str">
        <f aca="false">IF($B585="","",--(AND(F585&lt;&gt;"",F585&lt;=8))+--(AND(G585&lt;&gt;"",G585&lt;=8))+--(AND(H585&lt;&gt;"",H585&lt;=8))+--(AND(I585&lt;&gt;"",I585&lt;=8))+--(AND(J585&lt;&gt;"",J585&lt;=8))+--(AND(K585&lt;&gt;"",K585&lt;=8))+--(AND(L585&lt;&gt;"",L585&lt;=8))+--(AND(M585&lt;&gt;"",M585&lt;=8))+--(AND(N585&lt;&gt;"",N585&lt;=8))+--(AND(O585&lt;&gt;"",O585&lt;=8)))</f>
        <v/>
      </c>
    </row>
    <row r="586" customFormat="false" ht="15" hidden="false" customHeight="false" outlineLevel="0" collapsed="false">
      <c r="AZ586" s="5" t="str">
        <f aca="false">IF($B586="","",SUMPRODUCT(($AL586:$AO586&lt;&gt;"")*(COUNTIF($AP586:$AX586,$AL586:$AO586)&gt;0)))</f>
        <v/>
      </c>
      <c r="BA586" s="5" t="str">
        <f aca="false">IF($B586="","",IF(AZ586&gt;0,1,0))</f>
        <v/>
      </c>
      <c r="BB586" s="5" t="str">
        <f aca="false">IF($AP586="","",IF((($AP586="Engineering and Technology")+($AP586="Science and Mathematics")+($AP586="Computer Science, IT and Allied Fields")+($AP586="Life Sciences /Medicine and Healthcare")+($AP586="Paramedical")+($AP586="Architecture")+($AP586="Environmental Service")+($AP586="Agriculture, Food Industry and Forestry"))&gt;0,"Science",IF((($AP586="Banking and Finance")+($AP586="Management and Administration")+($AP586="Marketing")+($AP586="Sales")+($AP586="Entrepreneurship")+($AP586="Hospitality and Tourism"))&gt;0,"Commerce",IF((($AP586="Social Sciences and Humanities")+($AP586="Law Studies")+($AP586="Education and Training")+($AP586="Art, Design")+($AP586="Entertainment and Mass Media")+($AP586="Community and Social Service")+($AP586="Personal Care and Services")+($AP586="Government and Public Administration")+($AP586="Defence/ Protective Service")+($AP586="Sports"))&gt;0,"Arts / Humanities",""))))</f>
        <v/>
      </c>
      <c r="BC586" s="5" t="str">
        <f aca="false">IF($AL586="","",IF((($AL586="Engineering and Technology")+($AL586="Science and Mathematics")+($AL586="Computer Science, IT and Allied Fields")+($AL586="Life Sciences /Medicine and Healthcare")+($AL586="Paramedical")+($AL586="Architecture")+($AL586="Environmental Service")+($AL586="Agriculture, Food Industry and Forestry"))&gt;0,"Science",IF((($AL586="Banking and Finance")+($AL586="Management and Administration")+($AL586="Marketing")+($AL586="Sales")+($AL586="Entrepreneurship")+($AL586="Hospitality and Tourism"))&gt;0,"Commerce",IF((($AL586="Social Sciences and Humanities")+($AL586="Law Studies")+($AL586="Education and Training")+($AL586="Art, Design")+($AL586="Entertainment and Mass Media")+($AL586="Community and Social Service")+($AL586="Personal Care and Services")+($AL586="Government and Public Administration")+($AL586="Defence/ Protective Service")+($AL586="Sports"))&gt;0,"Arts / Humanities",""))))</f>
        <v/>
      </c>
      <c r="BD586" s="5" t="str">
        <f aca="false">IF($B586="","",--(F586&gt;=10)+--(G586&gt;=10)+--(H586&gt;=10)+--(I586&gt;=10)+--(J586&gt;=10)+--(K586&gt;=10)+--(L586&gt;=10)+--(M586&gt;=10)+--(N586&gt;=10)+--(O586&gt;=10))</f>
        <v/>
      </c>
      <c r="BE586" s="5" t="str">
        <f aca="false">IF($B586="","",--(AND(F586&lt;&gt;"",F586&lt;=8))+--(AND(G586&lt;&gt;"",G586&lt;=8))+--(AND(H586&lt;&gt;"",H586&lt;=8))+--(AND(I586&lt;&gt;"",I586&lt;=8))+--(AND(J586&lt;&gt;"",J586&lt;=8))+--(AND(K586&lt;&gt;"",K586&lt;=8))+--(AND(L586&lt;&gt;"",L586&lt;=8))+--(AND(M586&lt;&gt;"",M586&lt;=8))+--(AND(N586&lt;&gt;"",N586&lt;=8))+--(AND(O586&lt;&gt;"",O586&lt;=8)))</f>
        <v/>
      </c>
    </row>
    <row r="587" customFormat="false" ht="15" hidden="false" customHeight="false" outlineLevel="0" collapsed="false">
      <c r="AZ587" s="5" t="str">
        <f aca="false">IF($B587="","",SUMPRODUCT(($AL587:$AO587&lt;&gt;"")*(COUNTIF($AP587:$AX587,$AL587:$AO587)&gt;0)))</f>
        <v/>
      </c>
      <c r="BA587" s="5" t="str">
        <f aca="false">IF($B587="","",IF(AZ587&gt;0,1,0))</f>
        <v/>
      </c>
      <c r="BB587" s="5" t="str">
        <f aca="false">IF($AP587="","",IF((($AP587="Engineering and Technology")+($AP587="Science and Mathematics")+($AP587="Computer Science, IT and Allied Fields")+($AP587="Life Sciences /Medicine and Healthcare")+($AP587="Paramedical")+($AP587="Architecture")+($AP587="Environmental Service")+($AP587="Agriculture, Food Industry and Forestry"))&gt;0,"Science",IF((($AP587="Banking and Finance")+($AP587="Management and Administration")+($AP587="Marketing")+($AP587="Sales")+($AP587="Entrepreneurship")+($AP587="Hospitality and Tourism"))&gt;0,"Commerce",IF((($AP587="Social Sciences and Humanities")+($AP587="Law Studies")+($AP587="Education and Training")+($AP587="Art, Design")+($AP587="Entertainment and Mass Media")+($AP587="Community and Social Service")+($AP587="Personal Care and Services")+($AP587="Government and Public Administration")+($AP587="Defence/ Protective Service")+($AP587="Sports"))&gt;0,"Arts / Humanities",""))))</f>
        <v/>
      </c>
      <c r="BC587" s="5" t="str">
        <f aca="false">IF($AL587="","",IF((($AL587="Engineering and Technology")+($AL587="Science and Mathematics")+($AL587="Computer Science, IT and Allied Fields")+($AL587="Life Sciences /Medicine and Healthcare")+($AL587="Paramedical")+($AL587="Architecture")+($AL587="Environmental Service")+($AL587="Agriculture, Food Industry and Forestry"))&gt;0,"Science",IF((($AL587="Banking and Finance")+($AL587="Management and Administration")+($AL587="Marketing")+($AL587="Sales")+($AL587="Entrepreneurship")+($AL587="Hospitality and Tourism"))&gt;0,"Commerce",IF((($AL587="Social Sciences and Humanities")+($AL587="Law Studies")+($AL587="Education and Training")+($AL587="Art, Design")+($AL587="Entertainment and Mass Media")+($AL587="Community and Social Service")+($AL587="Personal Care and Services")+($AL587="Government and Public Administration")+($AL587="Defence/ Protective Service")+($AL587="Sports"))&gt;0,"Arts / Humanities",""))))</f>
        <v/>
      </c>
      <c r="BD587" s="5" t="str">
        <f aca="false">IF($B587="","",--(F587&gt;=10)+--(G587&gt;=10)+--(H587&gt;=10)+--(I587&gt;=10)+--(J587&gt;=10)+--(K587&gt;=10)+--(L587&gt;=10)+--(M587&gt;=10)+--(N587&gt;=10)+--(O587&gt;=10))</f>
        <v/>
      </c>
      <c r="BE587" s="5" t="str">
        <f aca="false">IF($B587="","",--(AND(F587&lt;&gt;"",F587&lt;=8))+--(AND(G587&lt;&gt;"",G587&lt;=8))+--(AND(H587&lt;&gt;"",H587&lt;=8))+--(AND(I587&lt;&gt;"",I587&lt;=8))+--(AND(J587&lt;&gt;"",J587&lt;=8))+--(AND(K587&lt;&gt;"",K587&lt;=8))+--(AND(L587&lt;&gt;"",L587&lt;=8))+--(AND(M587&lt;&gt;"",M587&lt;=8))+--(AND(N587&lt;&gt;"",N587&lt;=8))+--(AND(O587&lt;&gt;"",O587&lt;=8)))</f>
        <v/>
      </c>
    </row>
    <row r="588" customFormat="false" ht="15" hidden="false" customHeight="false" outlineLevel="0" collapsed="false">
      <c r="AZ588" s="5" t="str">
        <f aca="false">IF($B588="","",SUMPRODUCT(($AL588:$AO588&lt;&gt;"")*(COUNTIF($AP588:$AX588,$AL588:$AO588)&gt;0)))</f>
        <v/>
      </c>
      <c r="BA588" s="5" t="str">
        <f aca="false">IF($B588="","",IF(AZ588&gt;0,1,0))</f>
        <v/>
      </c>
      <c r="BB588" s="5" t="str">
        <f aca="false">IF($AP588="","",IF((($AP588="Engineering and Technology")+($AP588="Science and Mathematics")+($AP588="Computer Science, IT and Allied Fields")+($AP588="Life Sciences /Medicine and Healthcare")+($AP588="Paramedical")+($AP588="Architecture")+($AP588="Environmental Service")+($AP588="Agriculture, Food Industry and Forestry"))&gt;0,"Science",IF((($AP588="Banking and Finance")+($AP588="Management and Administration")+($AP588="Marketing")+($AP588="Sales")+($AP588="Entrepreneurship")+($AP588="Hospitality and Tourism"))&gt;0,"Commerce",IF((($AP588="Social Sciences and Humanities")+($AP588="Law Studies")+($AP588="Education and Training")+($AP588="Art, Design")+($AP588="Entertainment and Mass Media")+($AP588="Community and Social Service")+($AP588="Personal Care and Services")+($AP588="Government and Public Administration")+($AP588="Defence/ Protective Service")+($AP588="Sports"))&gt;0,"Arts / Humanities",""))))</f>
        <v/>
      </c>
      <c r="BC588" s="5" t="str">
        <f aca="false">IF($AL588="","",IF((($AL588="Engineering and Technology")+($AL588="Science and Mathematics")+($AL588="Computer Science, IT and Allied Fields")+($AL588="Life Sciences /Medicine and Healthcare")+($AL588="Paramedical")+($AL588="Architecture")+($AL588="Environmental Service")+($AL588="Agriculture, Food Industry and Forestry"))&gt;0,"Science",IF((($AL588="Banking and Finance")+($AL588="Management and Administration")+($AL588="Marketing")+($AL588="Sales")+($AL588="Entrepreneurship")+($AL588="Hospitality and Tourism"))&gt;0,"Commerce",IF((($AL588="Social Sciences and Humanities")+($AL588="Law Studies")+($AL588="Education and Training")+($AL588="Art, Design")+($AL588="Entertainment and Mass Media")+($AL588="Community and Social Service")+($AL588="Personal Care and Services")+($AL588="Government and Public Administration")+($AL588="Defence/ Protective Service")+($AL588="Sports"))&gt;0,"Arts / Humanities",""))))</f>
        <v/>
      </c>
      <c r="BD588" s="5" t="str">
        <f aca="false">IF($B588="","",--(F588&gt;=10)+--(G588&gt;=10)+--(H588&gt;=10)+--(I588&gt;=10)+--(J588&gt;=10)+--(K588&gt;=10)+--(L588&gt;=10)+--(M588&gt;=10)+--(N588&gt;=10)+--(O588&gt;=10))</f>
        <v/>
      </c>
      <c r="BE588" s="5" t="str">
        <f aca="false">IF($B588="","",--(AND(F588&lt;&gt;"",F588&lt;=8))+--(AND(G588&lt;&gt;"",G588&lt;=8))+--(AND(H588&lt;&gt;"",H588&lt;=8))+--(AND(I588&lt;&gt;"",I588&lt;=8))+--(AND(J588&lt;&gt;"",J588&lt;=8))+--(AND(K588&lt;&gt;"",K588&lt;=8))+--(AND(L588&lt;&gt;"",L588&lt;=8))+--(AND(M588&lt;&gt;"",M588&lt;=8))+--(AND(N588&lt;&gt;"",N588&lt;=8))+--(AND(O588&lt;&gt;"",O588&lt;=8)))</f>
        <v/>
      </c>
    </row>
    <row r="589" customFormat="false" ht="15" hidden="false" customHeight="false" outlineLevel="0" collapsed="false">
      <c r="AZ589" s="5" t="str">
        <f aca="false">IF($B589="","",SUMPRODUCT(($AL589:$AO589&lt;&gt;"")*(COUNTIF($AP589:$AX589,$AL589:$AO589)&gt;0)))</f>
        <v/>
      </c>
      <c r="BA589" s="5" t="str">
        <f aca="false">IF($B589="","",IF(AZ589&gt;0,1,0))</f>
        <v/>
      </c>
      <c r="BB589" s="5" t="str">
        <f aca="false">IF($AP589="","",IF((($AP589="Engineering and Technology")+($AP589="Science and Mathematics")+($AP589="Computer Science, IT and Allied Fields")+($AP589="Life Sciences /Medicine and Healthcare")+($AP589="Paramedical")+($AP589="Architecture")+($AP589="Environmental Service")+($AP589="Agriculture, Food Industry and Forestry"))&gt;0,"Science",IF((($AP589="Banking and Finance")+($AP589="Management and Administration")+($AP589="Marketing")+($AP589="Sales")+($AP589="Entrepreneurship")+($AP589="Hospitality and Tourism"))&gt;0,"Commerce",IF((($AP589="Social Sciences and Humanities")+($AP589="Law Studies")+($AP589="Education and Training")+($AP589="Art, Design")+($AP589="Entertainment and Mass Media")+($AP589="Community and Social Service")+($AP589="Personal Care and Services")+($AP589="Government and Public Administration")+($AP589="Defence/ Protective Service")+($AP589="Sports"))&gt;0,"Arts / Humanities",""))))</f>
        <v/>
      </c>
      <c r="BC589" s="5" t="str">
        <f aca="false">IF($AL589="","",IF((($AL589="Engineering and Technology")+($AL589="Science and Mathematics")+($AL589="Computer Science, IT and Allied Fields")+($AL589="Life Sciences /Medicine and Healthcare")+($AL589="Paramedical")+($AL589="Architecture")+($AL589="Environmental Service")+($AL589="Agriculture, Food Industry and Forestry"))&gt;0,"Science",IF((($AL589="Banking and Finance")+($AL589="Management and Administration")+($AL589="Marketing")+($AL589="Sales")+($AL589="Entrepreneurship")+($AL589="Hospitality and Tourism"))&gt;0,"Commerce",IF((($AL589="Social Sciences and Humanities")+($AL589="Law Studies")+($AL589="Education and Training")+($AL589="Art, Design")+($AL589="Entertainment and Mass Media")+($AL589="Community and Social Service")+($AL589="Personal Care and Services")+($AL589="Government and Public Administration")+($AL589="Defence/ Protective Service")+($AL589="Sports"))&gt;0,"Arts / Humanities",""))))</f>
        <v/>
      </c>
      <c r="BD589" s="5" t="str">
        <f aca="false">IF($B589="","",--(F589&gt;=10)+--(G589&gt;=10)+--(H589&gt;=10)+--(I589&gt;=10)+--(J589&gt;=10)+--(K589&gt;=10)+--(L589&gt;=10)+--(M589&gt;=10)+--(N589&gt;=10)+--(O589&gt;=10))</f>
        <v/>
      </c>
      <c r="BE589" s="5" t="str">
        <f aca="false">IF($B589="","",--(AND(F589&lt;&gt;"",F589&lt;=8))+--(AND(G589&lt;&gt;"",G589&lt;=8))+--(AND(H589&lt;&gt;"",H589&lt;=8))+--(AND(I589&lt;&gt;"",I589&lt;=8))+--(AND(J589&lt;&gt;"",J589&lt;=8))+--(AND(K589&lt;&gt;"",K589&lt;=8))+--(AND(L589&lt;&gt;"",L589&lt;=8))+--(AND(M589&lt;&gt;"",M589&lt;=8))+--(AND(N589&lt;&gt;"",N589&lt;=8))+--(AND(O589&lt;&gt;"",O589&lt;=8)))</f>
        <v/>
      </c>
    </row>
    <row r="590" customFormat="false" ht="15" hidden="false" customHeight="false" outlineLevel="0" collapsed="false">
      <c r="AZ590" s="5" t="str">
        <f aca="false">IF($B590="","",SUMPRODUCT(($AL590:$AO590&lt;&gt;"")*(COUNTIF($AP590:$AX590,$AL590:$AO590)&gt;0)))</f>
        <v/>
      </c>
      <c r="BA590" s="5" t="str">
        <f aca="false">IF($B590="","",IF(AZ590&gt;0,1,0))</f>
        <v/>
      </c>
      <c r="BB590" s="5" t="str">
        <f aca="false">IF($AP590="","",IF((($AP590="Engineering and Technology")+($AP590="Science and Mathematics")+($AP590="Computer Science, IT and Allied Fields")+($AP590="Life Sciences /Medicine and Healthcare")+($AP590="Paramedical")+($AP590="Architecture")+($AP590="Environmental Service")+($AP590="Agriculture, Food Industry and Forestry"))&gt;0,"Science",IF((($AP590="Banking and Finance")+($AP590="Management and Administration")+($AP590="Marketing")+($AP590="Sales")+($AP590="Entrepreneurship")+($AP590="Hospitality and Tourism"))&gt;0,"Commerce",IF((($AP590="Social Sciences and Humanities")+($AP590="Law Studies")+($AP590="Education and Training")+($AP590="Art, Design")+($AP590="Entertainment and Mass Media")+($AP590="Community and Social Service")+($AP590="Personal Care and Services")+($AP590="Government and Public Administration")+($AP590="Defence/ Protective Service")+($AP590="Sports"))&gt;0,"Arts / Humanities",""))))</f>
        <v/>
      </c>
      <c r="BC590" s="5" t="str">
        <f aca="false">IF($AL590="","",IF((($AL590="Engineering and Technology")+($AL590="Science and Mathematics")+($AL590="Computer Science, IT and Allied Fields")+($AL590="Life Sciences /Medicine and Healthcare")+($AL590="Paramedical")+($AL590="Architecture")+($AL590="Environmental Service")+($AL590="Agriculture, Food Industry and Forestry"))&gt;0,"Science",IF((($AL590="Banking and Finance")+($AL590="Management and Administration")+($AL590="Marketing")+($AL590="Sales")+($AL590="Entrepreneurship")+($AL590="Hospitality and Tourism"))&gt;0,"Commerce",IF((($AL590="Social Sciences and Humanities")+($AL590="Law Studies")+($AL590="Education and Training")+($AL590="Art, Design")+($AL590="Entertainment and Mass Media")+($AL590="Community and Social Service")+($AL590="Personal Care and Services")+($AL590="Government and Public Administration")+($AL590="Defence/ Protective Service")+($AL590="Sports"))&gt;0,"Arts / Humanities",""))))</f>
        <v/>
      </c>
      <c r="BD590" s="5" t="str">
        <f aca="false">IF($B590="","",--(F590&gt;=10)+--(G590&gt;=10)+--(H590&gt;=10)+--(I590&gt;=10)+--(J590&gt;=10)+--(K590&gt;=10)+--(L590&gt;=10)+--(M590&gt;=10)+--(N590&gt;=10)+--(O590&gt;=10))</f>
        <v/>
      </c>
      <c r="BE590" s="5" t="str">
        <f aca="false">IF($B590="","",--(AND(F590&lt;&gt;"",F590&lt;=8))+--(AND(G590&lt;&gt;"",G590&lt;=8))+--(AND(H590&lt;&gt;"",H590&lt;=8))+--(AND(I590&lt;&gt;"",I590&lt;=8))+--(AND(J590&lt;&gt;"",J590&lt;=8))+--(AND(K590&lt;&gt;"",K590&lt;=8))+--(AND(L590&lt;&gt;"",L590&lt;=8))+--(AND(M590&lt;&gt;"",M590&lt;=8))+--(AND(N590&lt;&gt;"",N590&lt;=8))+--(AND(O590&lt;&gt;"",O590&lt;=8)))</f>
        <v/>
      </c>
    </row>
    <row r="591" customFormat="false" ht="15" hidden="false" customHeight="false" outlineLevel="0" collapsed="false">
      <c r="AZ591" s="5" t="str">
        <f aca="false">IF($B591="","",SUMPRODUCT(($AL591:$AO591&lt;&gt;"")*(COUNTIF($AP591:$AX591,$AL591:$AO591)&gt;0)))</f>
        <v/>
      </c>
      <c r="BA591" s="5" t="str">
        <f aca="false">IF($B591="","",IF(AZ591&gt;0,1,0))</f>
        <v/>
      </c>
      <c r="BB591" s="5" t="str">
        <f aca="false">IF($AP591="","",IF((($AP591="Engineering and Technology")+($AP591="Science and Mathematics")+($AP591="Computer Science, IT and Allied Fields")+($AP591="Life Sciences /Medicine and Healthcare")+($AP591="Paramedical")+($AP591="Architecture")+($AP591="Environmental Service")+($AP591="Agriculture, Food Industry and Forestry"))&gt;0,"Science",IF((($AP591="Banking and Finance")+($AP591="Management and Administration")+($AP591="Marketing")+($AP591="Sales")+($AP591="Entrepreneurship")+($AP591="Hospitality and Tourism"))&gt;0,"Commerce",IF((($AP591="Social Sciences and Humanities")+($AP591="Law Studies")+($AP591="Education and Training")+($AP591="Art, Design")+($AP591="Entertainment and Mass Media")+($AP591="Community and Social Service")+($AP591="Personal Care and Services")+($AP591="Government and Public Administration")+($AP591="Defence/ Protective Service")+($AP591="Sports"))&gt;0,"Arts / Humanities",""))))</f>
        <v/>
      </c>
      <c r="BC591" s="5" t="str">
        <f aca="false">IF($AL591="","",IF((($AL591="Engineering and Technology")+($AL591="Science and Mathematics")+($AL591="Computer Science, IT and Allied Fields")+($AL591="Life Sciences /Medicine and Healthcare")+($AL591="Paramedical")+($AL591="Architecture")+($AL591="Environmental Service")+($AL591="Agriculture, Food Industry and Forestry"))&gt;0,"Science",IF((($AL591="Banking and Finance")+($AL591="Management and Administration")+($AL591="Marketing")+($AL591="Sales")+($AL591="Entrepreneurship")+($AL591="Hospitality and Tourism"))&gt;0,"Commerce",IF((($AL591="Social Sciences and Humanities")+($AL591="Law Studies")+($AL591="Education and Training")+($AL591="Art, Design")+($AL591="Entertainment and Mass Media")+($AL591="Community and Social Service")+($AL591="Personal Care and Services")+($AL591="Government and Public Administration")+($AL591="Defence/ Protective Service")+($AL591="Sports"))&gt;0,"Arts / Humanities",""))))</f>
        <v/>
      </c>
      <c r="BD591" s="5" t="str">
        <f aca="false">IF($B591="","",--(F591&gt;=10)+--(G591&gt;=10)+--(H591&gt;=10)+--(I591&gt;=10)+--(J591&gt;=10)+--(K591&gt;=10)+--(L591&gt;=10)+--(M591&gt;=10)+--(N591&gt;=10)+--(O591&gt;=10))</f>
        <v/>
      </c>
      <c r="BE591" s="5" t="str">
        <f aca="false">IF($B591="","",--(AND(F591&lt;&gt;"",F591&lt;=8))+--(AND(G591&lt;&gt;"",G591&lt;=8))+--(AND(H591&lt;&gt;"",H591&lt;=8))+--(AND(I591&lt;&gt;"",I591&lt;=8))+--(AND(J591&lt;&gt;"",J591&lt;=8))+--(AND(K591&lt;&gt;"",K591&lt;=8))+--(AND(L591&lt;&gt;"",L591&lt;=8))+--(AND(M591&lt;&gt;"",M591&lt;=8))+--(AND(N591&lt;&gt;"",N591&lt;=8))+--(AND(O591&lt;&gt;"",O591&lt;=8)))</f>
        <v/>
      </c>
    </row>
    <row r="592" customFormat="false" ht="15" hidden="false" customHeight="false" outlineLevel="0" collapsed="false">
      <c r="AZ592" s="5" t="str">
        <f aca="false">IF($B592="","",SUMPRODUCT(($AL592:$AO592&lt;&gt;"")*(COUNTIF($AP592:$AX592,$AL592:$AO592)&gt;0)))</f>
        <v/>
      </c>
      <c r="BA592" s="5" t="str">
        <f aca="false">IF($B592="","",IF(AZ592&gt;0,1,0))</f>
        <v/>
      </c>
      <c r="BB592" s="5" t="str">
        <f aca="false">IF($AP592="","",IF((($AP592="Engineering and Technology")+($AP592="Science and Mathematics")+($AP592="Computer Science, IT and Allied Fields")+($AP592="Life Sciences /Medicine and Healthcare")+($AP592="Paramedical")+($AP592="Architecture")+($AP592="Environmental Service")+($AP592="Agriculture, Food Industry and Forestry"))&gt;0,"Science",IF((($AP592="Banking and Finance")+($AP592="Management and Administration")+($AP592="Marketing")+($AP592="Sales")+($AP592="Entrepreneurship")+($AP592="Hospitality and Tourism"))&gt;0,"Commerce",IF((($AP592="Social Sciences and Humanities")+($AP592="Law Studies")+($AP592="Education and Training")+($AP592="Art, Design")+($AP592="Entertainment and Mass Media")+($AP592="Community and Social Service")+($AP592="Personal Care and Services")+($AP592="Government and Public Administration")+($AP592="Defence/ Protective Service")+($AP592="Sports"))&gt;0,"Arts / Humanities",""))))</f>
        <v/>
      </c>
      <c r="BC592" s="5" t="str">
        <f aca="false">IF($AL592="","",IF((($AL592="Engineering and Technology")+($AL592="Science and Mathematics")+($AL592="Computer Science, IT and Allied Fields")+($AL592="Life Sciences /Medicine and Healthcare")+($AL592="Paramedical")+($AL592="Architecture")+($AL592="Environmental Service")+($AL592="Agriculture, Food Industry and Forestry"))&gt;0,"Science",IF((($AL592="Banking and Finance")+($AL592="Management and Administration")+($AL592="Marketing")+($AL592="Sales")+($AL592="Entrepreneurship")+($AL592="Hospitality and Tourism"))&gt;0,"Commerce",IF((($AL592="Social Sciences and Humanities")+($AL592="Law Studies")+($AL592="Education and Training")+($AL592="Art, Design")+($AL592="Entertainment and Mass Media")+($AL592="Community and Social Service")+($AL592="Personal Care and Services")+($AL592="Government and Public Administration")+($AL592="Defence/ Protective Service")+($AL592="Sports"))&gt;0,"Arts / Humanities",""))))</f>
        <v/>
      </c>
      <c r="BD592" s="5" t="str">
        <f aca="false">IF($B592="","",--(F592&gt;=10)+--(G592&gt;=10)+--(H592&gt;=10)+--(I592&gt;=10)+--(J592&gt;=10)+--(K592&gt;=10)+--(L592&gt;=10)+--(M592&gt;=10)+--(N592&gt;=10)+--(O592&gt;=10))</f>
        <v/>
      </c>
      <c r="BE592" s="5" t="str">
        <f aca="false">IF($B592="","",--(AND(F592&lt;&gt;"",F592&lt;=8))+--(AND(G592&lt;&gt;"",G592&lt;=8))+--(AND(H592&lt;&gt;"",H592&lt;=8))+--(AND(I592&lt;&gt;"",I592&lt;=8))+--(AND(J592&lt;&gt;"",J592&lt;=8))+--(AND(K592&lt;&gt;"",K592&lt;=8))+--(AND(L592&lt;&gt;"",L592&lt;=8))+--(AND(M592&lt;&gt;"",M592&lt;=8))+--(AND(N592&lt;&gt;"",N592&lt;=8))+--(AND(O592&lt;&gt;"",O592&lt;=8)))</f>
        <v/>
      </c>
    </row>
    <row r="593" customFormat="false" ht="15" hidden="false" customHeight="false" outlineLevel="0" collapsed="false">
      <c r="AZ593" s="5" t="str">
        <f aca="false">IF($B593="","",SUMPRODUCT(($AL593:$AO593&lt;&gt;"")*(COUNTIF($AP593:$AX593,$AL593:$AO593)&gt;0)))</f>
        <v/>
      </c>
      <c r="BA593" s="5" t="str">
        <f aca="false">IF($B593="","",IF(AZ593&gt;0,1,0))</f>
        <v/>
      </c>
      <c r="BB593" s="5" t="str">
        <f aca="false">IF($AP593="","",IF((($AP593="Engineering and Technology")+($AP593="Science and Mathematics")+($AP593="Computer Science, IT and Allied Fields")+($AP593="Life Sciences /Medicine and Healthcare")+($AP593="Paramedical")+($AP593="Architecture")+($AP593="Environmental Service")+($AP593="Agriculture, Food Industry and Forestry"))&gt;0,"Science",IF((($AP593="Banking and Finance")+($AP593="Management and Administration")+($AP593="Marketing")+($AP593="Sales")+($AP593="Entrepreneurship")+($AP593="Hospitality and Tourism"))&gt;0,"Commerce",IF((($AP593="Social Sciences and Humanities")+($AP593="Law Studies")+($AP593="Education and Training")+($AP593="Art, Design")+($AP593="Entertainment and Mass Media")+($AP593="Community and Social Service")+($AP593="Personal Care and Services")+($AP593="Government and Public Administration")+($AP593="Defence/ Protective Service")+($AP593="Sports"))&gt;0,"Arts / Humanities",""))))</f>
        <v/>
      </c>
      <c r="BC593" s="5" t="str">
        <f aca="false">IF($AL593="","",IF((($AL593="Engineering and Technology")+($AL593="Science and Mathematics")+($AL593="Computer Science, IT and Allied Fields")+($AL593="Life Sciences /Medicine and Healthcare")+($AL593="Paramedical")+($AL593="Architecture")+($AL593="Environmental Service")+($AL593="Agriculture, Food Industry and Forestry"))&gt;0,"Science",IF((($AL593="Banking and Finance")+($AL593="Management and Administration")+($AL593="Marketing")+($AL593="Sales")+($AL593="Entrepreneurship")+($AL593="Hospitality and Tourism"))&gt;0,"Commerce",IF((($AL593="Social Sciences and Humanities")+($AL593="Law Studies")+($AL593="Education and Training")+($AL593="Art, Design")+($AL593="Entertainment and Mass Media")+($AL593="Community and Social Service")+($AL593="Personal Care and Services")+($AL593="Government and Public Administration")+($AL593="Defence/ Protective Service")+($AL593="Sports"))&gt;0,"Arts / Humanities",""))))</f>
        <v/>
      </c>
      <c r="BD593" s="5" t="str">
        <f aca="false">IF($B593="","",--(F593&gt;=10)+--(G593&gt;=10)+--(H593&gt;=10)+--(I593&gt;=10)+--(J593&gt;=10)+--(K593&gt;=10)+--(L593&gt;=10)+--(M593&gt;=10)+--(N593&gt;=10)+--(O593&gt;=10))</f>
        <v/>
      </c>
      <c r="BE593" s="5" t="str">
        <f aca="false">IF($B593="","",--(AND(F593&lt;&gt;"",F593&lt;=8))+--(AND(G593&lt;&gt;"",G593&lt;=8))+--(AND(H593&lt;&gt;"",H593&lt;=8))+--(AND(I593&lt;&gt;"",I593&lt;=8))+--(AND(J593&lt;&gt;"",J593&lt;=8))+--(AND(K593&lt;&gt;"",K593&lt;=8))+--(AND(L593&lt;&gt;"",L593&lt;=8))+--(AND(M593&lt;&gt;"",M593&lt;=8))+--(AND(N593&lt;&gt;"",N593&lt;=8))+--(AND(O593&lt;&gt;"",O593&lt;=8)))</f>
        <v/>
      </c>
    </row>
    <row r="594" customFormat="false" ht="15" hidden="false" customHeight="false" outlineLevel="0" collapsed="false">
      <c r="AZ594" s="5" t="str">
        <f aca="false">IF($B594="","",SUMPRODUCT(($AL594:$AO594&lt;&gt;"")*(COUNTIF($AP594:$AX594,$AL594:$AO594)&gt;0)))</f>
        <v/>
      </c>
      <c r="BA594" s="5" t="str">
        <f aca="false">IF($B594="","",IF(AZ594&gt;0,1,0))</f>
        <v/>
      </c>
      <c r="BB594" s="5" t="str">
        <f aca="false">IF($AP594="","",IF((($AP594="Engineering and Technology")+($AP594="Science and Mathematics")+($AP594="Computer Science, IT and Allied Fields")+($AP594="Life Sciences /Medicine and Healthcare")+($AP594="Paramedical")+($AP594="Architecture")+($AP594="Environmental Service")+($AP594="Agriculture, Food Industry and Forestry"))&gt;0,"Science",IF((($AP594="Banking and Finance")+($AP594="Management and Administration")+($AP594="Marketing")+($AP594="Sales")+($AP594="Entrepreneurship")+($AP594="Hospitality and Tourism"))&gt;0,"Commerce",IF((($AP594="Social Sciences and Humanities")+($AP594="Law Studies")+($AP594="Education and Training")+($AP594="Art, Design")+($AP594="Entertainment and Mass Media")+($AP594="Community and Social Service")+($AP594="Personal Care and Services")+($AP594="Government and Public Administration")+($AP594="Defence/ Protective Service")+($AP594="Sports"))&gt;0,"Arts / Humanities",""))))</f>
        <v/>
      </c>
      <c r="BC594" s="5" t="str">
        <f aca="false">IF($AL594="","",IF((($AL594="Engineering and Technology")+($AL594="Science and Mathematics")+($AL594="Computer Science, IT and Allied Fields")+($AL594="Life Sciences /Medicine and Healthcare")+($AL594="Paramedical")+($AL594="Architecture")+($AL594="Environmental Service")+($AL594="Agriculture, Food Industry and Forestry"))&gt;0,"Science",IF((($AL594="Banking and Finance")+($AL594="Management and Administration")+($AL594="Marketing")+($AL594="Sales")+($AL594="Entrepreneurship")+($AL594="Hospitality and Tourism"))&gt;0,"Commerce",IF((($AL594="Social Sciences and Humanities")+($AL594="Law Studies")+($AL594="Education and Training")+($AL594="Art, Design")+($AL594="Entertainment and Mass Media")+($AL594="Community and Social Service")+($AL594="Personal Care and Services")+($AL594="Government and Public Administration")+($AL594="Defence/ Protective Service")+($AL594="Sports"))&gt;0,"Arts / Humanities",""))))</f>
        <v/>
      </c>
      <c r="BD594" s="5" t="str">
        <f aca="false">IF($B594="","",--(F594&gt;=10)+--(G594&gt;=10)+--(H594&gt;=10)+--(I594&gt;=10)+--(J594&gt;=10)+--(K594&gt;=10)+--(L594&gt;=10)+--(M594&gt;=10)+--(N594&gt;=10)+--(O594&gt;=10))</f>
        <v/>
      </c>
      <c r="BE594" s="5" t="str">
        <f aca="false">IF($B594="","",--(AND(F594&lt;&gt;"",F594&lt;=8))+--(AND(G594&lt;&gt;"",G594&lt;=8))+--(AND(H594&lt;&gt;"",H594&lt;=8))+--(AND(I594&lt;&gt;"",I594&lt;=8))+--(AND(J594&lt;&gt;"",J594&lt;=8))+--(AND(K594&lt;&gt;"",K594&lt;=8))+--(AND(L594&lt;&gt;"",L594&lt;=8))+--(AND(M594&lt;&gt;"",M594&lt;=8))+--(AND(N594&lt;&gt;"",N594&lt;=8))+--(AND(O594&lt;&gt;"",O594&lt;=8)))</f>
        <v/>
      </c>
    </row>
    <row r="595" customFormat="false" ht="15" hidden="false" customHeight="false" outlineLevel="0" collapsed="false">
      <c r="AZ595" s="5" t="str">
        <f aca="false">IF($B595="","",SUMPRODUCT(($AL595:$AO595&lt;&gt;"")*(COUNTIF($AP595:$AX595,$AL595:$AO595)&gt;0)))</f>
        <v/>
      </c>
      <c r="BA595" s="5" t="str">
        <f aca="false">IF($B595="","",IF(AZ595&gt;0,1,0))</f>
        <v/>
      </c>
      <c r="BB595" s="5" t="str">
        <f aca="false">IF($AP595="","",IF((($AP595="Engineering and Technology")+($AP595="Science and Mathematics")+($AP595="Computer Science, IT and Allied Fields")+($AP595="Life Sciences /Medicine and Healthcare")+($AP595="Paramedical")+($AP595="Architecture")+($AP595="Environmental Service")+($AP595="Agriculture, Food Industry and Forestry"))&gt;0,"Science",IF((($AP595="Banking and Finance")+($AP595="Management and Administration")+($AP595="Marketing")+($AP595="Sales")+($AP595="Entrepreneurship")+($AP595="Hospitality and Tourism"))&gt;0,"Commerce",IF((($AP595="Social Sciences and Humanities")+($AP595="Law Studies")+($AP595="Education and Training")+($AP595="Art, Design")+($AP595="Entertainment and Mass Media")+($AP595="Community and Social Service")+($AP595="Personal Care and Services")+($AP595="Government and Public Administration")+($AP595="Defence/ Protective Service")+($AP595="Sports"))&gt;0,"Arts / Humanities",""))))</f>
        <v/>
      </c>
      <c r="BC595" s="5" t="str">
        <f aca="false">IF($AL595="","",IF((($AL595="Engineering and Technology")+($AL595="Science and Mathematics")+($AL595="Computer Science, IT and Allied Fields")+($AL595="Life Sciences /Medicine and Healthcare")+($AL595="Paramedical")+($AL595="Architecture")+($AL595="Environmental Service")+($AL595="Agriculture, Food Industry and Forestry"))&gt;0,"Science",IF((($AL595="Banking and Finance")+($AL595="Management and Administration")+($AL595="Marketing")+($AL595="Sales")+($AL595="Entrepreneurship")+($AL595="Hospitality and Tourism"))&gt;0,"Commerce",IF((($AL595="Social Sciences and Humanities")+($AL595="Law Studies")+($AL595="Education and Training")+($AL595="Art, Design")+($AL595="Entertainment and Mass Media")+($AL595="Community and Social Service")+($AL595="Personal Care and Services")+($AL595="Government and Public Administration")+($AL595="Defence/ Protective Service")+($AL595="Sports"))&gt;0,"Arts / Humanities",""))))</f>
        <v/>
      </c>
      <c r="BD595" s="5" t="str">
        <f aca="false">IF($B595="","",--(F595&gt;=10)+--(G595&gt;=10)+--(H595&gt;=10)+--(I595&gt;=10)+--(J595&gt;=10)+--(K595&gt;=10)+--(L595&gt;=10)+--(M595&gt;=10)+--(N595&gt;=10)+--(O595&gt;=10))</f>
        <v/>
      </c>
      <c r="BE595" s="5" t="str">
        <f aca="false">IF($B595="","",--(AND(F595&lt;&gt;"",F595&lt;=8))+--(AND(G595&lt;&gt;"",G595&lt;=8))+--(AND(H595&lt;&gt;"",H595&lt;=8))+--(AND(I595&lt;&gt;"",I595&lt;=8))+--(AND(J595&lt;&gt;"",J595&lt;=8))+--(AND(K595&lt;&gt;"",K595&lt;=8))+--(AND(L595&lt;&gt;"",L595&lt;=8))+--(AND(M595&lt;&gt;"",M595&lt;=8))+--(AND(N595&lt;&gt;"",N595&lt;=8))+--(AND(O595&lt;&gt;"",O595&lt;=8)))</f>
        <v/>
      </c>
    </row>
    <row r="596" customFormat="false" ht="15" hidden="false" customHeight="false" outlineLevel="0" collapsed="false">
      <c r="AZ596" s="5" t="str">
        <f aca="false">IF($B596="","",SUMPRODUCT(($AL596:$AO596&lt;&gt;"")*(COUNTIF($AP596:$AX596,$AL596:$AO596)&gt;0)))</f>
        <v/>
      </c>
      <c r="BA596" s="5" t="str">
        <f aca="false">IF($B596="","",IF(AZ596&gt;0,1,0))</f>
        <v/>
      </c>
      <c r="BB596" s="5" t="str">
        <f aca="false">IF($AP596="","",IF((($AP596="Engineering and Technology")+($AP596="Science and Mathematics")+($AP596="Computer Science, IT and Allied Fields")+($AP596="Life Sciences /Medicine and Healthcare")+($AP596="Paramedical")+($AP596="Architecture")+($AP596="Environmental Service")+($AP596="Agriculture, Food Industry and Forestry"))&gt;0,"Science",IF((($AP596="Banking and Finance")+($AP596="Management and Administration")+($AP596="Marketing")+($AP596="Sales")+($AP596="Entrepreneurship")+($AP596="Hospitality and Tourism"))&gt;0,"Commerce",IF((($AP596="Social Sciences and Humanities")+($AP596="Law Studies")+($AP596="Education and Training")+($AP596="Art, Design")+($AP596="Entertainment and Mass Media")+($AP596="Community and Social Service")+($AP596="Personal Care and Services")+($AP596="Government and Public Administration")+($AP596="Defence/ Protective Service")+($AP596="Sports"))&gt;0,"Arts / Humanities",""))))</f>
        <v/>
      </c>
      <c r="BC596" s="5" t="str">
        <f aca="false">IF($AL596="","",IF((($AL596="Engineering and Technology")+($AL596="Science and Mathematics")+($AL596="Computer Science, IT and Allied Fields")+($AL596="Life Sciences /Medicine and Healthcare")+($AL596="Paramedical")+($AL596="Architecture")+($AL596="Environmental Service")+($AL596="Agriculture, Food Industry and Forestry"))&gt;0,"Science",IF((($AL596="Banking and Finance")+($AL596="Management and Administration")+($AL596="Marketing")+($AL596="Sales")+($AL596="Entrepreneurship")+($AL596="Hospitality and Tourism"))&gt;0,"Commerce",IF((($AL596="Social Sciences and Humanities")+($AL596="Law Studies")+($AL596="Education and Training")+($AL596="Art, Design")+($AL596="Entertainment and Mass Media")+($AL596="Community and Social Service")+($AL596="Personal Care and Services")+($AL596="Government and Public Administration")+($AL596="Defence/ Protective Service")+($AL596="Sports"))&gt;0,"Arts / Humanities",""))))</f>
        <v/>
      </c>
      <c r="BD596" s="5" t="str">
        <f aca="false">IF($B596="","",--(F596&gt;=10)+--(G596&gt;=10)+--(H596&gt;=10)+--(I596&gt;=10)+--(J596&gt;=10)+--(K596&gt;=10)+--(L596&gt;=10)+--(M596&gt;=10)+--(N596&gt;=10)+--(O596&gt;=10))</f>
        <v/>
      </c>
      <c r="BE596" s="5" t="str">
        <f aca="false">IF($B596="","",--(AND(F596&lt;&gt;"",F596&lt;=8))+--(AND(G596&lt;&gt;"",G596&lt;=8))+--(AND(H596&lt;&gt;"",H596&lt;=8))+--(AND(I596&lt;&gt;"",I596&lt;=8))+--(AND(J596&lt;&gt;"",J596&lt;=8))+--(AND(K596&lt;&gt;"",K596&lt;=8))+--(AND(L596&lt;&gt;"",L596&lt;=8))+--(AND(M596&lt;&gt;"",M596&lt;=8))+--(AND(N596&lt;&gt;"",N596&lt;=8))+--(AND(O596&lt;&gt;"",O596&lt;=8)))</f>
        <v/>
      </c>
    </row>
    <row r="597" customFormat="false" ht="15" hidden="false" customHeight="false" outlineLevel="0" collapsed="false">
      <c r="AZ597" s="5" t="str">
        <f aca="false">IF($B597="","",SUMPRODUCT(($AL597:$AO597&lt;&gt;"")*(COUNTIF($AP597:$AX597,$AL597:$AO597)&gt;0)))</f>
        <v/>
      </c>
      <c r="BA597" s="5" t="str">
        <f aca="false">IF($B597="","",IF(AZ597&gt;0,1,0))</f>
        <v/>
      </c>
      <c r="BB597" s="5" t="str">
        <f aca="false">IF($AP597="","",IF((($AP597="Engineering and Technology")+($AP597="Science and Mathematics")+($AP597="Computer Science, IT and Allied Fields")+($AP597="Life Sciences /Medicine and Healthcare")+($AP597="Paramedical")+($AP597="Architecture")+($AP597="Environmental Service")+($AP597="Agriculture, Food Industry and Forestry"))&gt;0,"Science",IF((($AP597="Banking and Finance")+($AP597="Management and Administration")+($AP597="Marketing")+($AP597="Sales")+($AP597="Entrepreneurship")+($AP597="Hospitality and Tourism"))&gt;0,"Commerce",IF((($AP597="Social Sciences and Humanities")+($AP597="Law Studies")+($AP597="Education and Training")+($AP597="Art, Design")+($AP597="Entertainment and Mass Media")+($AP597="Community and Social Service")+($AP597="Personal Care and Services")+($AP597="Government and Public Administration")+($AP597="Defence/ Protective Service")+($AP597="Sports"))&gt;0,"Arts / Humanities",""))))</f>
        <v/>
      </c>
      <c r="BC597" s="5" t="str">
        <f aca="false">IF($AL597="","",IF((($AL597="Engineering and Technology")+($AL597="Science and Mathematics")+($AL597="Computer Science, IT and Allied Fields")+($AL597="Life Sciences /Medicine and Healthcare")+($AL597="Paramedical")+($AL597="Architecture")+($AL597="Environmental Service")+($AL597="Agriculture, Food Industry and Forestry"))&gt;0,"Science",IF((($AL597="Banking and Finance")+($AL597="Management and Administration")+($AL597="Marketing")+($AL597="Sales")+($AL597="Entrepreneurship")+($AL597="Hospitality and Tourism"))&gt;0,"Commerce",IF((($AL597="Social Sciences and Humanities")+($AL597="Law Studies")+($AL597="Education and Training")+($AL597="Art, Design")+($AL597="Entertainment and Mass Media")+($AL597="Community and Social Service")+($AL597="Personal Care and Services")+($AL597="Government and Public Administration")+($AL597="Defence/ Protective Service")+($AL597="Sports"))&gt;0,"Arts / Humanities",""))))</f>
        <v/>
      </c>
      <c r="BD597" s="5" t="str">
        <f aca="false">IF($B597="","",--(F597&gt;=10)+--(G597&gt;=10)+--(H597&gt;=10)+--(I597&gt;=10)+--(J597&gt;=10)+--(K597&gt;=10)+--(L597&gt;=10)+--(M597&gt;=10)+--(N597&gt;=10)+--(O597&gt;=10))</f>
        <v/>
      </c>
      <c r="BE597" s="5" t="str">
        <f aca="false">IF($B597="","",--(AND(F597&lt;&gt;"",F597&lt;=8))+--(AND(G597&lt;&gt;"",G597&lt;=8))+--(AND(H597&lt;&gt;"",H597&lt;=8))+--(AND(I597&lt;&gt;"",I597&lt;=8))+--(AND(J597&lt;&gt;"",J597&lt;=8))+--(AND(K597&lt;&gt;"",K597&lt;=8))+--(AND(L597&lt;&gt;"",L597&lt;=8))+--(AND(M597&lt;&gt;"",M597&lt;=8))+--(AND(N597&lt;&gt;"",N597&lt;=8))+--(AND(O597&lt;&gt;"",O597&lt;=8)))</f>
        <v/>
      </c>
    </row>
    <row r="598" customFormat="false" ht="15" hidden="false" customHeight="false" outlineLevel="0" collapsed="false">
      <c r="AZ598" s="5" t="str">
        <f aca="false">IF($B598="","",SUMPRODUCT(($AL598:$AO598&lt;&gt;"")*(COUNTIF($AP598:$AX598,$AL598:$AO598)&gt;0)))</f>
        <v/>
      </c>
      <c r="BA598" s="5" t="str">
        <f aca="false">IF($B598="","",IF(AZ598&gt;0,1,0))</f>
        <v/>
      </c>
      <c r="BB598" s="5" t="str">
        <f aca="false">IF($AP598="","",IF((($AP598="Engineering and Technology")+($AP598="Science and Mathematics")+($AP598="Computer Science, IT and Allied Fields")+($AP598="Life Sciences /Medicine and Healthcare")+($AP598="Paramedical")+($AP598="Architecture")+($AP598="Environmental Service")+($AP598="Agriculture, Food Industry and Forestry"))&gt;0,"Science",IF((($AP598="Banking and Finance")+($AP598="Management and Administration")+($AP598="Marketing")+($AP598="Sales")+($AP598="Entrepreneurship")+($AP598="Hospitality and Tourism"))&gt;0,"Commerce",IF((($AP598="Social Sciences and Humanities")+($AP598="Law Studies")+($AP598="Education and Training")+($AP598="Art, Design")+($AP598="Entertainment and Mass Media")+($AP598="Community and Social Service")+($AP598="Personal Care and Services")+($AP598="Government and Public Administration")+($AP598="Defence/ Protective Service")+($AP598="Sports"))&gt;0,"Arts / Humanities",""))))</f>
        <v/>
      </c>
      <c r="BC598" s="5" t="str">
        <f aca="false">IF($AL598="","",IF((($AL598="Engineering and Technology")+($AL598="Science and Mathematics")+($AL598="Computer Science, IT and Allied Fields")+($AL598="Life Sciences /Medicine and Healthcare")+($AL598="Paramedical")+($AL598="Architecture")+($AL598="Environmental Service")+($AL598="Agriculture, Food Industry and Forestry"))&gt;0,"Science",IF((($AL598="Banking and Finance")+($AL598="Management and Administration")+($AL598="Marketing")+($AL598="Sales")+($AL598="Entrepreneurship")+($AL598="Hospitality and Tourism"))&gt;0,"Commerce",IF((($AL598="Social Sciences and Humanities")+($AL598="Law Studies")+($AL598="Education and Training")+($AL598="Art, Design")+($AL598="Entertainment and Mass Media")+($AL598="Community and Social Service")+($AL598="Personal Care and Services")+($AL598="Government and Public Administration")+($AL598="Defence/ Protective Service")+($AL598="Sports"))&gt;0,"Arts / Humanities",""))))</f>
        <v/>
      </c>
      <c r="BD598" s="5" t="str">
        <f aca="false">IF($B598="","",--(F598&gt;=10)+--(G598&gt;=10)+--(H598&gt;=10)+--(I598&gt;=10)+--(J598&gt;=10)+--(K598&gt;=10)+--(L598&gt;=10)+--(M598&gt;=10)+--(N598&gt;=10)+--(O598&gt;=10))</f>
        <v/>
      </c>
      <c r="BE598" s="5" t="str">
        <f aca="false">IF($B598="","",--(AND(F598&lt;&gt;"",F598&lt;=8))+--(AND(G598&lt;&gt;"",G598&lt;=8))+--(AND(H598&lt;&gt;"",H598&lt;=8))+--(AND(I598&lt;&gt;"",I598&lt;=8))+--(AND(J598&lt;&gt;"",J598&lt;=8))+--(AND(K598&lt;&gt;"",K598&lt;=8))+--(AND(L598&lt;&gt;"",L598&lt;=8))+--(AND(M598&lt;&gt;"",M598&lt;=8))+--(AND(N598&lt;&gt;"",N598&lt;=8))+--(AND(O598&lt;&gt;"",O598&lt;=8)))</f>
        <v/>
      </c>
    </row>
    <row r="599" customFormat="false" ht="15" hidden="false" customHeight="false" outlineLevel="0" collapsed="false">
      <c r="AZ599" s="5" t="str">
        <f aca="false">IF($B599="","",SUMPRODUCT(($AL599:$AO599&lt;&gt;"")*(COUNTIF($AP599:$AX599,$AL599:$AO599)&gt;0)))</f>
        <v/>
      </c>
      <c r="BA599" s="5" t="str">
        <f aca="false">IF($B599="","",IF(AZ599&gt;0,1,0))</f>
        <v/>
      </c>
      <c r="BB599" s="5" t="str">
        <f aca="false">IF($AP599="","",IF((($AP599="Engineering and Technology")+($AP599="Science and Mathematics")+($AP599="Computer Science, IT and Allied Fields")+($AP599="Life Sciences /Medicine and Healthcare")+($AP599="Paramedical")+($AP599="Architecture")+($AP599="Environmental Service")+($AP599="Agriculture, Food Industry and Forestry"))&gt;0,"Science",IF((($AP599="Banking and Finance")+($AP599="Management and Administration")+($AP599="Marketing")+($AP599="Sales")+($AP599="Entrepreneurship")+($AP599="Hospitality and Tourism"))&gt;0,"Commerce",IF((($AP599="Social Sciences and Humanities")+($AP599="Law Studies")+($AP599="Education and Training")+($AP599="Art, Design")+($AP599="Entertainment and Mass Media")+($AP599="Community and Social Service")+($AP599="Personal Care and Services")+($AP599="Government and Public Administration")+($AP599="Defence/ Protective Service")+($AP599="Sports"))&gt;0,"Arts / Humanities",""))))</f>
        <v/>
      </c>
      <c r="BC599" s="5" t="str">
        <f aca="false">IF($AL599="","",IF((($AL599="Engineering and Technology")+($AL599="Science and Mathematics")+($AL599="Computer Science, IT and Allied Fields")+($AL599="Life Sciences /Medicine and Healthcare")+($AL599="Paramedical")+($AL599="Architecture")+($AL599="Environmental Service")+($AL599="Agriculture, Food Industry and Forestry"))&gt;0,"Science",IF((($AL599="Banking and Finance")+($AL599="Management and Administration")+($AL599="Marketing")+($AL599="Sales")+($AL599="Entrepreneurship")+($AL599="Hospitality and Tourism"))&gt;0,"Commerce",IF((($AL599="Social Sciences and Humanities")+($AL599="Law Studies")+($AL599="Education and Training")+($AL599="Art, Design")+($AL599="Entertainment and Mass Media")+($AL599="Community and Social Service")+($AL599="Personal Care and Services")+($AL599="Government and Public Administration")+($AL599="Defence/ Protective Service")+($AL599="Sports"))&gt;0,"Arts / Humanities",""))))</f>
        <v/>
      </c>
      <c r="BD599" s="5" t="str">
        <f aca="false">IF($B599="","",--(F599&gt;=10)+--(G599&gt;=10)+--(H599&gt;=10)+--(I599&gt;=10)+--(J599&gt;=10)+--(K599&gt;=10)+--(L599&gt;=10)+--(M599&gt;=10)+--(N599&gt;=10)+--(O599&gt;=10))</f>
        <v/>
      </c>
      <c r="BE599" s="5" t="str">
        <f aca="false">IF($B599="","",--(AND(F599&lt;&gt;"",F599&lt;=8))+--(AND(G599&lt;&gt;"",G599&lt;=8))+--(AND(H599&lt;&gt;"",H599&lt;=8))+--(AND(I599&lt;&gt;"",I599&lt;=8))+--(AND(J599&lt;&gt;"",J599&lt;=8))+--(AND(K599&lt;&gt;"",K599&lt;=8))+--(AND(L599&lt;&gt;"",L599&lt;=8))+--(AND(M599&lt;&gt;"",M599&lt;=8))+--(AND(N599&lt;&gt;"",N599&lt;=8))+--(AND(O599&lt;&gt;"",O599&lt;=8)))</f>
        <v/>
      </c>
    </row>
    <row r="600" customFormat="false" ht="15" hidden="false" customHeight="false" outlineLevel="0" collapsed="false">
      <c r="AZ600" s="5" t="str">
        <f aca="false">IF($B600="","",SUMPRODUCT(($AL600:$AO600&lt;&gt;"")*(COUNTIF($AP600:$AX600,$AL600:$AO600)&gt;0)))</f>
        <v/>
      </c>
      <c r="BA600" s="5" t="str">
        <f aca="false">IF($B600="","",IF(AZ600&gt;0,1,0))</f>
        <v/>
      </c>
      <c r="BB600" s="5" t="str">
        <f aca="false">IF($AP600="","",IF((($AP600="Engineering and Technology")+($AP600="Science and Mathematics")+($AP600="Computer Science, IT and Allied Fields")+($AP600="Life Sciences /Medicine and Healthcare")+($AP600="Paramedical")+($AP600="Architecture")+($AP600="Environmental Service")+($AP600="Agriculture, Food Industry and Forestry"))&gt;0,"Science",IF((($AP600="Banking and Finance")+($AP600="Management and Administration")+($AP600="Marketing")+($AP600="Sales")+($AP600="Entrepreneurship")+($AP600="Hospitality and Tourism"))&gt;0,"Commerce",IF((($AP600="Social Sciences and Humanities")+($AP600="Law Studies")+($AP600="Education and Training")+($AP600="Art, Design")+($AP600="Entertainment and Mass Media")+($AP600="Community and Social Service")+($AP600="Personal Care and Services")+($AP600="Government and Public Administration")+($AP600="Defence/ Protective Service")+($AP600="Sports"))&gt;0,"Arts / Humanities",""))))</f>
        <v/>
      </c>
      <c r="BC600" s="5" t="str">
        <f aca="false">IF($AL600="","",IF((($AL600="Engineering and Technology")+($AL600="Science and Mathematics")+($AL600="Computer Science, IT and Allied Fields")+($AL600="Life Sciences /Medicine and Healthcare")+($AL600="Paramedical")+($AL600="Architecture")+($AL600="Environmental Service")+($AL600="Agriculture, Food Industry and Forestry"))&gt;0,"Science",IF((($AL600="Banking and Finance")+($AL600="Management and Administration")+($AL600="Marketing")+($AL600="Sales")+($AL600="Entrepreneurship")+($AL600="Hospitality and Tourism"))&gt;0,"Commerce",IF((($AL600="Social Sciences and Humanities")+($AL600="Law Studies")+($AL600="Education and Training")+($AL600="Art, Design")+($AL600="Entertainment and Mass Media")+($AL600="Community and Social Service")+($AL600="Personal Care and Services")+($AL600="Government and Public Administration")+($AL600="Defence/ Protective Service")+($AL600="Sports"))&gt;0,"Arts / Humanities",""))))</f>
        <v/>
      </c>
      <c r="BD600" s="5" t="str">
        <f aca="false">IF($B600="","",--(F600&gt;=10)+--(G600&gt;=10)+--(H600&gt;=10)+--(I600&gt;=10)+--(J600&gt;=10)+--(K600&gt;=10)+--(L600&gt;=10)+--(M600&gt;=10)+--(N600&gt;=10)+--(O600&gt;=10))</f>
        <v/>
      </c>
      <c r="BE600" s="5" t="str">
        <f aca="false">IF($B600="","",--(AND(F600&lt;&gt;"",F600&lt;=8))+--(AND(G600&lt;&gt;"",G600&lt;=8))+--(AND(H600&lt;&gt;"",H600&lt;=8))+--(AND(I600&lt;&gt;"",I600&lt;=8))+--(AND(J600&lt;&gt;"",J600&lt;=8))+--(AND(K600&lt;&gt;"",K600&lt;=8))+--(AND(L600&lt;&gt;"",L600&lt;=8))+--(AND(M600&lt;&gt;"",M600&lt;=8))+--(AND(N600&lt;&gt;"",N600&lt;=8))+--(AND(O600&lt;&gt;"",O600&lt;=8)))</f>
        <v/>
      </c>
    </row>
    <row r="601" customFormat="false" ht="15" hidden="false" customHeight="false" outlineLevel="0" collapsed="false">
      <c r="AZ601" s="5" t="str">
        <f aca="false">IF($B601="","",SUMPRODUCT(($AL601:$AO601&lt;&gt;"")*(COUNTIF($AP601:$AX601,$AL601:$AO601)&gt;0)))</f>
        <v/>
      </c>
      <c r="BA601" s="5" t="str">
        <f aca="false">IF($B601="","",IF(AZ601&gt;0,1,0))</f>
        <v/>
      </c>
      <c r="BB601" s="5" t="str">
        <f aca="false">IF($AP601="","",IF((($AP601="Engineering and Technology")+($AP601="Science and Mathematics")+($AP601="Computer Science, IT and Allied Fields")+($AP601="Life Sciences /Medicine and Healthcare")+($AP601="Paramedical")+($AP601="Architecture")+($AP601="Environmental Service")+($AP601="Agriculture, Food Industry and Forestry"))&gt;0,"Science",IF((($AP601="Banking and Finance")+($AP601="Management and Administration")+($AP601="Marketing")+($AP601="Sales")+($AP601="Entrepreneurship")+($AP601="Hospitality and Tourism"))&gt;0,"Commerce",IF((($AP601="Social Sciences and Humanities")+($AP601="Law Studies")+($AP601="Education and Training")+($AP601="Art, Design")+($AP601="Entertainment and Mass Media")+($AP601="Community and Social Service")+($AP601="Personal Care and Services")+($AP601="Government and Public Administration")+($AP601="Defence/ Protective Service")+($AP601="Sports"))&gt;0,"Arts / Humanities",""))))</f>
        <v/>
      </c>
      <c r="BC601" s="5" t="str">
        <f aca="false">IF($AL601="","",IF((($AL601="Engineering and Technology")+($AL601="Science and Mathematics")+($AL601="Computer Science, IT and Allied Fields")+($AL601="Life Sciences /Medicine and Healthcare")+($AL601="Paramedical")+($AL601="Architecture")+($AL601="Environmental Service")+($AL601="Agriculture, Food Industry and Forestry"))&gt;0,"Science",IF((($AL601="Banking and Finance")+($AL601="Management and Administration")+($AL601="Marketing")+($AL601="Sales")+($AL601="Entrepreneurship")+($AL601="Hospitality and Tourism"))&gt;0,"Commerce",IF((($AL601="Social Sciences and Humanities")+($AL601="Law Studies")+($AL601="Education and Training")+($AL601="Art, Design")+($AL601="Entertainment and Mass Media")+($AL601="Community and Social Service")+($AL601="Personal Care and Services")+($AL601="Government and Public Administration")+($AL601="Defence/ Protective Service")+($AL601="Sports"))&gt;0,"Arts / Humanities",""))))</f>
        <v/>
      </c>
      <c r="BD601" s="5" t="str">
        <f aca="false">IF($B601="","",--(F601&gt;=10)+--(G601&gt;=10)+--(H601&gt;=10)+--(I601&gt;=10)+--(J601&gt;=10)+--(K601&gt;=10)+--(L601&gt;=10)+--(M601&gt;=10)+--(N601&gt;=10)+--(O601&gt;=10))</f>
        <v/>
      </c>
      <c r="BE601" s="5" t="str">
        <f aca="false">IF($B601="","",--(AND(F601&lt;&gt;"",F601&lt;=8))+--(AND(G601&lt;&gt;"",G601&lt;=8))+--(AND(H601&lt;&gt;"",H601&lt;=8))+--(AND(I601&lt;&gt;"",I601&lt;=8))+--(AND(J601&lt;&gt;"",J601&lt;=8))+--(AND(K601&lt;&gt;"",K601&lt;=8))+--(AND(L601&lt;&gt;"",L601&lt;=8))+--(AND(M601&lt;&gt;"",M601&lt;=8))+--(AND(N601&lt;&gt;"",N601&lt;=8))+--(AND(O601&lt;&gt;"",O601&lt;=8)))</f>
        <v/>
      </c>
    </row>
    <row r="602" customFormat="false" ht="15" hidden="false" customHeight="false" outlineLevel="0" collapsed="false">
      <c r="AZ602" s="5" t="str">
        <f aca="false">IF($B602="","",SUMPRODUCT(($AL602:$AO602&lt;&gt;"")*(COUNTIF($AP602:$AX602,$AL602:$AO602)&gt;0)))</f>
        <v/>
      </c>
      <c r="BA602" s="5" t="str">
        <f aca="false">IF($B602="","",IF(AZ602&gt;0,1,0))</f>
        <v/>
      </c>
      <c r="BB602" s="5" t="str">
        <f aca="false">IF($AP602="","",IF((($AP602="Engineering and Technology")+($AP602="Science and Mathematics")+($AP602="Computer Science, IT and Allied Fields")+($AP602="Life Sciences /Medicine and Healthcare")+($AP602="Paramedical")+($AP602="Architecture")+($AP602="Environmental Service")+($AP602="Agriculture, Food Industry and Forestry"))&gt;0,"Science",IF((($AP602="Banking and Finance")+($AP602="Management and Administration")+($AP602="Marketing")+($AP602="Sales")+($AP602="Entrepreneurship")+($AP602="Hospitality and Tourism"))&gt;0,"Commerce",IF((($AP602="Social Sciences and Humanities")+($AP602="Law Studies")+($AP602="Education and Training")+($AP602="Art, Design")+($AP602="Entertainment and Mass Media")+($AP602="Community and Social Service")+($AP602="Personal Care and Services")+($AP602="Government and Public Administration")+($AP602="Defence/ Protective Service")+($AP602="Sports"))&gt;0,"Arts / Humanities",""))))</f>
        <v/>
      </c>
      <c r="BC602" s="5" t="str">
        <f aca="false">IF($AL602="","",IF((($AL602="Engineering and Technology")+($AL602="Science and Mathematics")+($AL602="Computer Science, IT and Allied Fields")+($AL602="Life Sciences /Medicine and Healthcare")+($AL602="Paramedical")+($AL602="Architecture")+($AL602="Environmental Service")+($AL602="Agriculture, Food Industry and Forestry"))&gt;0,"Science",IF((($AL602="Banking and Finance")+($AL602="Management and Administration")+($AL602="Marketing")+($AL602="Sales")+($AL602="Entrepreneurship")+($AL602="Hospitality and Tourism"))&gt;0,"Commerce",IF((($AL602="Social Sciences and Humanities")+($AL602="Law Studies")+($AL602="Education and Training")+($AL602="Art, Design")+($AL602="Entertainment and Mass Media")+($AL602="Community and Social Service")+($AL602="Personal Care and Services")+($AL602="Government and Public Administration")+($AL602="Defence/ Protective Service")+($AL602="Sports"))&gt;0,"Arts / Humanities",""))))</f>
        <v/>
      </c>
      <c r="BD602" s="5" t="str">
        <f aca="false">IF($B602="","",--(F602&gt;=10)+--(G602&gt;=10)+--(H602&gt;=10)+--(I602&gt;=10)+--(J602&gt;=10)+--(K602&gt;=10)+--(L602&gt;=10)+--(M602&gt;=10)+--(N602&gt;=10)+--(O602&gt;=10))</f>
        <v/>
      </c>
      <c r="BE602" s="5" t="str">
        <f aca="false">IF($B602="","",--(AND(F602&lt;&gt;"",F602&lt;=8))+--(AND(G602&lt;&gt;"",G602&lt;=8))+--(AND(H602&lt;&gt;"",H602&lt;=8))+--(AND(I602&lt;&gt;"",I602&lt;=8))+--(AND(J602&lt;&gt;"",J602&lt;=8))+--(AND(K602&lt;&gt;"",K602&lt;=8))+--(AND(L602&lt;&gt;"",L602&lt;=8))+--(AND(M602&lt;&gt;"",M602&lt;=8))+--(AND(N602&lt;&gt;"",N602&lt;=8))+--(AND(O602&lt;&gt;"",O602&lt;=8)))</f>
        <v/>
      </c>
    </row>
    <row r="603" customFormat="false" ht="15" hidden="false" customHeight="false" outlineLevel="0" collapsed="false">
      <c r="AZ603" s="5" t="str">
        <f aca="false">IF($B603="","",SUMPRODUCT(($AL603:$AO603&lt;&gt;"")*(COUNTIF($AP603:$AX603,$AL603:$AO603)&gt;0)))</f>
        <v/>
      </c>
      <c r="BA603" s="5" t="str">
        <f aca="false">IF($B603="","",IF(AZ603&gt;0,1,0))</f>
        <v/>
      </c>
      <c r="BB603" s="5" t="str">
        <f aca="false">IF($AP603="","",IF((($AP603="Engineering and Technology")+($AP603="Science and Mathematics")+($AP603="Computer Science, IT and Allied Fields")+($AP603="Life Sciences /Medicine and Healthcare")+($AP603="Paramedical")+($AP603="Architecture")+($AP603="Environmental Service")+($AP603="Agriculture, Food Industry and Forestry"))&gt;0,"Science",IF((($AP603="Banking and Finance")+($AP603="Management and Administration")+($AP603="Marketing")+($AP603="Sales")+($AP603="Entrepreneurship")+($AP603="Hospitality and Tourism"))&gt;0,"Commerce",IF((($AP603="Social Sciences and Humanities")+($AP603="Law Studies")+($AP603="Education and Training")+($AP603="Art, Design")+($AP603="Entertainment and Mass Media")+($AP603="Community and Social Service")+($AP603="Personal Care and Services")+($AP603="Government and Public Administration")+($AP603="Defence/ Protective Service")+($AP603="Sports"))&gt;0,"Arts / Humanities",""))))</f>
        <v/>
      </c>
      <c r="BC603" s="5" t="str">
        <f aca="false">IF($AL603="","",IF((($AL603="Engineering and Technology")+($AL603="Science and Mathematics")+($AL603="Computer Science, IT and Allied Fields")+($AL603="Life Sciences /Medicine and Healthcare")+($AL603="Paramedical")+($AL603="Architecture")+($AL603="Environmental Service")+($AL603="Agriculture, Food Industry and Forestry"))&gt;0,"Science",IF((($AL603="Banking and Finance")+($AL603="Management and Administration")+($AL603="Marketing")+($AL603="Sales")+($AL603="Entrepreneurship")+($AL603="Hospitality and Tourism"))&gt;0,"Commerce",IF((($AL603="Social Sciences and Humanities")+($AL603="Law Studies")+($AL603="Education and Training")+($AL603="Art, Design")+($AL603="Entertainment and Mass Media")+($AL603="Community and Social Service")+($AL603="Personal Care and Services")+($AL603="Government and Public Administration")+($AL603="Defence/ Protective Service")+($AL603="Sports"))&gt;0,"Arts / Humanities",""))))</f>
        <v/>
      </c>
      <c r="BD603" s="5" t="str">
        <f aca="false">IF($B603="","",--(F603&gt;=10)+--(G603&gt;=10)+--(H603&gt;=10)+--(I603&gt;=10)+--(J603&gt;=10)+--(K603&gt;=10)+--(L603&gt;=10)+--(M603&gt;=10)+--(N603&gt;=10)+--(O603&gt;=10))</f>
        <v/>
      </c>
      <c r="BE603" s="5" t="str">
        <f aca="false">IF($B603="","",--(AND(F603&lt;&gt;"",F603&lt;=8))+--(AND(G603&lt;&gt;"",G603&lt;=8))+--(AND(H603&lt;&gt;"",H603&lt;=8))+--(AND(I603&lt;&gt;"",I603&lt;=8))+--(AND(J603&lt;&gt;"",J603&lt;=8))+--(AND(K603&lt;&gt;"",K603&lt;=8))+--(AND(L603&lt;&gt;"",L603&lt;=8))+--(AND(M603&lt;&gt;"",M603&lt;=8))+--(AND(N603&lt;&gt;"",N603&lt;=8))+--(AND(O603&lt;&gt;"",O603&lt;=8)))</f>
        <v/>
      </c>
    </row>
    <row r="604" customFormat="false" ht="15" hidden="false" customHeight="false" outlineLevel="0" collapsed="false">
      <c r="AZ604" s="5" t="str">
        <f aca="false">IF($B604="","",SUMPRODUCT(($AL604:$AO604&lt;&gt;"")*(COUNTIF($AP604:$AX604,$AL604:$AO604)&gt;0)))</f>
        <v/>
      </c>
      <c r="BA604" s="5" t="str">
        <f aca="false">IF($B604="","",IF(AZ604&gt;0,1,0))</f>
        <v/>
      </c>
      <c r="BB604" s="5" t="str">
        <f aca="false">IF($AP604="","",IF((($AP604="Engineering and Technology")+($AP604="Science and Mathematics")+($AP604="Computer Science, IT and Allied Fields")+($AP604="Life Sciences /Medicine and Healthcare")+($AP604="Paramedical")+($AP604="Architecture")+($AP604="Environmental Service")+($AP604="Agriculture, Food Industry and Forestry"))&gt;0,"Science",IF((($AP604="Banking and Finance")+($AP604="Management and Administration")+($AP604="Marketing")+($AP604="Sales")+($AP604="Entrepreneurship")+($AP604="Hospitality and Tourism"))&gt;0,"Commerce",IF((($AP604="Social Sciences and Humanities")+($AP604="Law Studies")+($AP604="Education and Training")+($AP604="Art, Design")+($AP604="Entertainment and Mass Media")+($AP604="Community and Social Service")+($AP604="Personal Care and Services")+($AP604="Government and Public Administration")+($AP604="Defence/ Protective Service")+($AP604="Sports"))&gt;0,"Arts / Humanities",""))))</f>
        <v/>
      </c>
      <c r="BC604" s="5" t="str">
        <f aca="false">IF($AL604="","",IF((($AL604="Engineering and Technology")+($AL604="Science and Mathematics")+($AL604="Computer Science, IT and Allied Fields")+($AL604="Life Sciences /Medicine and Healthcare")+($AL604="Paramedical")+($AL604="Architecture")+($AL604="Environmental Service")+($AL604="Agriculture, Food Industry and Forestry"))&gt;0,"Science",IF((($AL604="Banking and Finance")+($AL604="Management and Administration")+($AL604="Marketing")+($AL604="Sales")+($AL604="Entrepreneurship")+($AL604="Hospitality and Tourism"))&gt;0,"Commerce",IF((($AL604="Social Sciences and Humanities")+($AL604="Law Studies")+($AL604="Education and Training")+($AL604="Art, Design")+($AL604="Entertainment and Mass Media")+($AL604="Community and Social Service")+($AL604="Personal Care and Services")+($AL604="Government and Public Administration")+($AL604="Defence/ Protective Service")+($AL604="Sports"))&gt;0,"Arts / Humanities",""))))</f>
        <v/>
      </c>
      <c r="BD604" s="5" t="str">
        <f aca="false">IF($B604="","",--(F604&gt;=10)+--(G604&gt;=10)+--(H604&gt;=10)+--(I604&gt;=10)+--(J604&gt;=10)+--(K604&gt;=10)+--(L604&gt;=10)+--(M604&gt;=10)+--(N604&gt;=10)+--(O604&gt;=10))</f>
        <v/>
      </c>
      <c r="BE604" s="5" t="str">
        <f aca="false">IF($B604="","",--(AND(F604&lt;&gt;"",F604&lt;=8))+--(AND(G604&lt;&gt;"",G604&lt;=8))+--(AND(H604&lt;&gt;"",H604&lt;=8))+--(AND(I604&lt;&gt;"",I604&lt;=8))+--(AND(J604&lt;&gt;"",J604&lt;=8))+--(AND(K604&lt;&gt;"",K604&lt;=8))+--(AND(L604&lt;&gt;"",L604&lt;=8))+--(AND(M604&lt;&gt;"",M604&lt;=8))+--(AND(N604&lt;&gt;"",N604&lt;=8))+--(AND(O604&lt;&gt;"",O604&lt;=8)))</f>
        <v/>
      </c>
    </row>
    <row r="605" customFormat="false" ht="15" hidden="false" customHeight="false" outlineLevel="0" collapsed="false">
      <c r="AZ605" s="5" t="str">
        <f aca="false">IF($B605="","",SUMPRODUCT(($AL605:$AO605&lt;&gt;"")*(COUNTIF($AP605:$AX605,$AL605:$AO605)&gt;0)))</f>
        <v/>
      </c>
      <c r="BA605" s="5" t="str">
        <f aca="false">IF($B605="","",IF(AZ605&gt;0,1,0))</f>
        <v/>
      </c>
      <c r="BB605" s="5" t="str">
        <f aca="false">IF($AP605="","",IF((($AP605="Engineering and Technology")+($AP605="Science and Mathematics")+($AP605="Computer Science, IT and Allied Fields")+($AP605="Life Sciences /Medicine and Healthcare")+($AP605="Paramedical")+($AP605="Architecture")+($AP605="Environmental Service")+($AP605="Agriculture, Food Industry and Forestry"))&gt;0,"Science",IF((($AP605="Banking and Finance")+($AP605="Management and Administration")+($AP605="Marketing")+($AP605="Sales")+($AP605="Entrepreneurship")+($AP605="Hospitality and Tourism"))&gt;0,"Commerce",IF((($AP605="Social Sciences and Humanities")+($AP605="Law Studies")+($AP605="Education and Training")+($AP605="Art, Design")+($AP605="Entertainment and Mass Media")+($AP605="Community and Social Service")+($AP605="Personal Care and Services")+($AP605="Government and Public Administration")+($AP605="Defence/ Protective Service")+($AP605="Sports"))&gt;0,"Arts / Humanities",""))))</f>
        <v/>
      </c>
      <c r="BC605" s="5" t="str">
        <f aca="false">IF($AL605="","",IF((($AL605="Engineering and Technology")+($AL605="Science and Mathematics")+($AL605="Computer Science, IT and Allied Fields")+($AL605="Life Sciences /Medicine and Healthcare")+($AL605="Paramedical")+($AL605="Architecture")+($AL605="Environmental Service")+($AL605="Agriculture, Food Industry and Forestry"))&gt;0,"Science",IF((($AL605="Banking and Finance")+($AL605="Management and Administration")+($AL605="Marketing")+($AL605="Sales")+($AL605="Entrepreneurship")+($AL605="Hospitality and Tourism"))&gt;0,"Commerce",IF((($AL605="Social Sciences and Humanities")+($AL605="Law Studies")+($AL605="Education and Training")+($AL605="Art, Design")+($AL605="Entertainment and Mass Media")+($AL605="Community and Social Service")+($AL605="Personal Care and Services")+($AL605="Government and Public Administration")+($AL605="Defence/ Protective Service")+($AL605="Sports"))&gt;0,"Arts / Humanities",""))))</f>
        <v/>
      </c>
      <c r="BD605" s="5" t="str">
        <f aca="false">IF($B605="","",--(F605&gt;=10)+--(G605&gt;=10)+--(H605&gt;=10)+--(I605&gt;=10)+--(J605&gt;=10)+--(K605&gt;=10)+--(L605&gt;=10)+--(M605&gt;=10)+--(N605&gt;=10)+--(O605&gt;=10))</f>
        <v/>
      </c>
      <c r="BE605" s="5" t="str">
        <f aca="false">IF($B605="","",--(AND(F605&lt;&gt;"",F605&lt;=8))+--(AND(G605&lt;&gt;"",G605&lt;=8))+--(AND(H605&lt;&gt;"",H605&lt;=8))+--(AND(I605&lt;&gt;"",I605&lt;=8))+--(AND(J605&lt;&gt;"",J605&lt;=8))+--(AND(K605&lt;&gt;"",K605&lt;=8))+--(AND(L605&lt;&gt;"",L605&lt;=8))+--(AND(M605&lt;&gt;"",M605&lt;=8))+--(AND(N605&lt;&gt;"",N605&lt;=8))+--(AND(O605&lt;&gt;"",O605&lt;=8)))</f>
        <v/>
      </c>
    </row>
    <row r="606" customFormat="false" ht="15" hidden="false" customHeight="false" outlineLevel="0" collapsed="false">
      <c r="AZ606" s="5" t="str">
        <f aca="false">IF($B606="","",SUMPRODUCT(($AL606:$AO606&lt;&gt;"")*(COUNTIF($AP606:$AX606,$AL606:$AO606)&gt;0)))</f>
        <v/>
      </c>
      <c r="BA606" s="5" t="str">
        <f aca="false">IF($B606="","",IF(AZ606&gt;0,1,0))</f>
        <v/>
      </c>
      <c r="BB606" s="5" t="str">
        <f aca="false">IF($AP606="","",IF((($AP606="Engineering and Technology")+($AP606="Science and Mathematics")+($AP606="Computer Science, IT and Allied Fields")+($AP606="Life Sciences /Medicine and Healthcare")+($AP606="Paramedical")+($AP606="Architecture")+($AP606="Environmental Service")+($AP606="Agriculture, Food Industry and Forestry"))&gt;0,"Science",IF((($AP606="Banking and Finance")+($AP606="Management and Administration")+($AP606="Marketing")+($AP606="Sales")+($AP606="Entrepreneurship")+($AP606="Hospitality and Tourism"))&gt;0,"Commerce",IF((($AP606="Social Sciences and Humanities")+($AP606="Law Studies")+($AP606="Education and Training")+($AP606="Art, Design")+($AP606="Entertainment and Mass Media")+($AP606="Community and Social Service")+($AP606="Personal Care and Services")+($AP606="Government and Public Administration")+($AP606="Defence/ Protective Service")+($AP606="Sports"))&gt;0,"Arts / Humanities",""))))</f>
        <v/>
      </c>
      <c r="BC606" s="5" t="str">
        <f aca="false">IF($AL606="","",IF((($AL606="Engineering and Technology")+($AL606="Science and Mathematics")+($AL606="Computer Science, IT and Allied Fields")+($AL606="Life Sciences /Medicine and Healthcare")+($AL606="Paramedical")+($AL606="Architecture")+($AL606="Environmental Service")+($AL606="Agriculture, Food Industry and Forestry"))&gt;0,"Science",IF((($AL606="Banking and Finance")+($AL606="Management and Administration")+($AL606="Marketing")+($AL606="Sales")+($AL606="Entrepreneurship")+($AL606="Hospitality and Tourism"))&gt;0,"Commerce",IF((($AL606="Social Sciences and Humanities")+($AL606="Law Studies")+($AL606="Education and Training")+($AL606="Art, Design")+($AL606="Entertainment and Mass Media")+($AL606="Community and Social Service")+($AL606="Personal Care and Services")+($AL606="Government and Public Administration")+($AL606="Defence/ Protective Service")+($AL606="Sports"))&gt;0,"Arts / Humanities",""))))</f>
        <v/>
      </c>
      <c r="BD606" s="5" t="str">
        <f aca="false">IF($B606="","",--(F606&gt;=10)+--(G606&gt;=10)+--(H606&gt;=10)+--(I606&gt;=10)+--(J606&gt;=10)+--(K606&gt;=10)+--(L606&gt;=10)+--(M606&gt;=10)+--(N606&gt;=10)+--(O606&gt;=10))</f>
        <v/>
      </c>
      <c r="BE606" s="5" t="str">
        <f aca="false">IF($B606="","",--(AND(F606&lt;&gt;"",F606&lt;=8))+--(AND(G606&lt;&gt;"",G606&lt;=8))+--(AND(H606&lt;&gt;"",H606&lt;=8))+--(AND(I606&lt;&gt;"",I606&lt;=8))+--(AND(J606&lt;&gt;"",J606&lt;=8))+--(AND(K606&lt;&gt;"",K606&lt;=8))+--(AND(L606&lt;&gt;"",L606&lt;=8))+--(AND(M606&lt;&gt;"",M606&lt;=8))+--(AND(N606&lt;&gt;"",N606&lt;=8))+--(AND(O606&lt;&gt;"",O606&lt;=8)))</f>
        <v/>
      </c>
    </row>
    <row r="607" customFormat="false" ht="15" hidden="false" customHeight="false" outlineLevel="0" collapsed="false">
      <c r="AZ607" s="5" t="str">
        <f aca="false">IF($B607="","",SUMPRODUCT(($AL607:$AO607&lt;&gt;"")*(COUNTIF($AP607:$AX607,$AL607:$AO607)&gt;0)))</f>
        <v/>
      </c>
      <c r="BA607" s="5" t="str">
        <f aca="false">IF($B607="","",IF(AZ607&gt;0,1,0))</f>
        <v/>
      </c>
      <c r="BB607" s="5" t="str">
        <f aca="false">IF($AP607="","",IF((($AP607="Engineering and Technology")+($AP607="Science and Mathematics")+($AP607="Computer Science, IT and Allied Fields")+($AP607="Life Sciences /Medicine and Healthcare")+($AP607="Paramedical")+($AP607="Architecture")+($AP607="Environmental Service")+($AP607="Agriculture, Food Industry and Forestry"))&gt;0,"Science",IF((($AP607="Banking and Finance")+($AP607="Management and Administration")+($AP607="Marketing")+($AP607="Sales")+($AP607="Entrepreneurship")+($AP607="Hospitality and Tourism"))&gt;0,"Commerce",IF((($AP607="Social Sciences and Humanities")+($AP607="Law Studies")+($AP607="Education and Training")+($AP607="Art, Design")+($AP607="Entertainment and Mass Media")+($AP607="Community and Social Service")+($AP607="Personal Care and Services")+($AP607="Government and Public Administration")+($AP607="Defence/ Protective Service")+($AP607="Sports"))&gt;0,"Arts / Humanities",""))))</f>
        <v/>
      </c>
      <c r="BC607" s="5" t="str">
        <f aca="false">IF($AL607="","",IF((($AL607="Engineering and Technology")+($AL607="Science and Mathematics")+($AL607="Computer Science, IT and Allied Fields")+($AL607="Life Sciences /Medicine and Healthcare")+($AL607="Paramedical")+($AL607="Architecture")+($AL607="Environmental Service")+($AL607="Agriculture, Food Industry and Forestry"))&gt;0,"Science",IF((($AL607="Banking and Finance")+($AL607="Management and Administration")+($AL607="Marketing")+($AL607="Sales")+($AL607="Entrepreneurship")+($AL607="Hospitality and Tourism"))&gt;0,"Commerce",IF((($AL607="Social Sciences and Humanities")+($AL607="Law Studies")+($AL607="Education and Training")+($AL607="Art, Design")+($AL607="Entertainment and Mass Media")+($AL607="Community and Social Service")+($AL607="Personal Care and Services")+($AL607="Government and Public Administration")+($AL607="Defence/ Protective Service")+($AL607="Sports"))&gt;0,"Arts / Humanities",""))))</f>
        <v/>
      </c>
      <c r="BD607" s="5" t="str">
        <f aca="false">IF($B607="","",--(F607&gt;=10)+--(G607&gt;=10)+--(H607&gt;=10)+--(I607&gt;=10)+--(J607&gt;=10)+--(K607&gt;=10)+--(L607&gt;=10)+--(M607&gt;=10)+--(N607&gt;=10)+--(O607&gt;=10))</f>
        <v/>
      </c>
      <c r="BE607" s="5" t="str">
        <f aca="false">IF($B607="","",--(AND(F607&lt;&gt;"",F607&lt;=8))+--(AND(G607&lt;&gt;"",G607&lt;=8))+--(AND(H607&lt;&gt;"",H607&lt;=8))+--(AND(I607&lt;&gt;"",I607&lt;=8))+--(AND(J607&lt;&gt;"",J607&lt;=8))+--(AND(K607&lt;&gt;"",K607&lt;=8))+--(AND(L607&lt;&gt;"",L607&lt;=8))+--(AND(M607&lt;&gt;"",M607&lt;=8))+--(AND(N607&lt;&gt;"",N607&lt;=8))+--(AND(O607&lt;&gt;"",O607&lt;=8)))</f>
        <v/>
      </c>
    </row>
    <row r="608" customFormat="false" ht="15" hidden="false" customHeight="false" outlineLevel="0" collapsed="false">
      <c r="AZ608" s="5" t="str">
        <f aca="false">IF($B608="","",SUMPRODUCT(($AL608:$AO608&lt;&gt;"")*(COUNTIF($AP608:$AX608,$AL608:$AO608)&gt;0)))</f>
        <v/>
      </c>
      <c r="BA608" s="5" t="str">
        <f aca="false">IF($B608="","",IF(AZ608&gt;0,1,0))</f>
        <v/>
      </c>
      <c r="BB608" s="5" t="str">
        <f aca="false">IF($AP608="","",IF((($AP608="Engineering and Technology")+($AP608="Science and Mathematics")+($AP608="Computer Science, IT and Allied Fields")+($AP608="Life Sciences /Medicine and Healthcare")+($AP608="Paramedical")+($AP608="Architecture")+($AP608="Environmental Service")+($AP608="Agriculture, Food Industry and Forestry"))&gt;0,"Science",IF((($AP608="Banking and Finance")+($AP608="Management and Administration")+($AP608="Marketing")+($AP608="Sales")+($AP608="Entrepreneurship")+($AP608="Hospitality and Tourism"))&gt;0,"Commerce",IF((($AP608="Social Sciences and Humanities")+($AP608="Law Studies")+($AP608="Education and Training")+($AP608="Art, Design")+($AP608="Entertainment and Mass Media")+($AP608="Community and Social Service")+($AP608="Personal Care and Services")+($AP608="Government and Public Administration")+($AP608="Defence/ Protective Service")+($AP608="Sports"))&gt;0,"Arts / Humanities",""))))</f>
        <v/>
      </c>
      <c r="BC608" s="5" t="str">
        <f aca="false">IF($AL608="","",IF((($AL608="Engineering and Technology")+($AL608="Science and Mathematics")+($AL608="Computer Science, IT and Allied Fields")+($AL608="Life Sciences /Medicine and Healthcare")+($AL608="Paramedical")+($AL608="Architecture")+($AL608="Environmental Service")+($AL608="Agriculture, Food Industry and Forestry"))&gt;0,"Science",IF((($AL608="Banking and Finance")+($AL608="Management and Administration")+($AL608="Marketing")+($AL608="Sales")+($AL608="Entrepreneurship")+($AL608="Hospitality and Tourism"))&gt;0,"Commerce",IF((($AL608="Social Sciences and Humanities")+($AL608="Law Studies")+($AL608="Education and Training")+($AL608="Art, Design")+($AL608="Entertainment and Mass Media")+($AL608="Community and Social Service")+($AL608="Personal Care and Services")+($AL608="Government and Public Administration")+($AL608="Defence/ Protective Service")+($AL608="Sports"))&gt;0,"Arts / Humanities",""))))</f>
        <v/>
      </c>
      <c r="BD608" s="5" t="str">
        <f aca="false">IF($B608="","",--(F608&gt;=10)+--(G608&gt;=10)+--(H608&gt;=10)+--(I608&gt;=10)+--(J608&gt;=10)+--(K608&gt;=10)+--(L608&gt;=10)+--(M608&gt;=10)+--(N608&gt;=10)+--(O608&gt;=10))</f>
        <v/>
      </c>
      <c r="BE608" s="5" t="str">
        <f aca="false">IF($B608="","",--(AND(F608&lt;&gt;"",F608&lt;=8))+--(AND(G608&lt;&gt;"",G608&lt;=8))+--(AND(H608&lt;&gt;"",H608&lt;=8))+--(AND(I608&lt;&gt;"",I608&lt;=8))+--(AND(J608&lt;&gt;"",J608&lt;=8))+--(AND(K608&lt;&gt;"",K608&lt;=8))+--(AND(L608&lt;&gt;"",L608&lt;=8))+--(AND(M608&lt;&gt;"",M608&lt;=8))+--(AND(N608&lt;&gt;"",N608&lt;=8))+--(AND(O608&lt;&gt;"",O608&lt;=8)))</f>
        <v/>
      </c>
    </row>
    <row r="609" customFormat="false" ht="15" hidden="false" customHeight="false" outlineLevel="0" collapsed="false">
      <c r="AZ609" s="5" t="str">
        <f aca="false">IF($B609="","",SUMPRODUCT(($AL609:$AO609&lt;&gt;"")*(COUNTIF($AP609:$AX609,$AL609:$AO609)&gt;0)))</f>
        <v/>
      </c>
      <c r="BA609" s="5" t="str">
        <f aca="false">IF($B609="","",IF(AZ609&gt;0,1,0))</f>
        <v/>
      </c>
      <c r="BB609" s="5" t="str">
        <f aca="false">IF($AP609="","",IF((($AP609="Engineering and Technology")+($AP609="Science and Mathematics")+($AP609="Computer Science, IT and Allied Fields")+($AP609="Life Sciences /Medicine and Healthcare")+($AP609="Paramedical")+($AP609="Architecture")+($AP609="Environmental Service")+($AP609="Agriculture, Food Industry and Forestry"))&gt;0,"Science",IF((($AP609="Banking and Finance")+($AP609="Management and Administration")+($AP609="Marketing")+($AP609="Sales")+($AP609="Entrepreneurship")+($AP609="Hospitality and Tourism"))&gt;0,"Commerce",IF((($AP609="Social Sciences and Humanities")+($AP609="Law Studies")+($AP609="Education and Training")+($AP609="Art, Design")+($AP609="Entertainment and Mass Media")+($AP609="Community and Social Service")+($AP609="Personal Care and Services")+($AP609="Government and Public Administration")+($AP609="Defence/ Protective Service")+($AP609="Sports"))&gt;0,"Arts / Humanities",""))))</f>
        <v/>
      </c>
      <c r="BC609" s="5" t="str">
        <f aca="false">IF($AL609="","",IF((($AL609="Engineering and Technology")+($AL609="Science and Mathematics")+($AL609="Computer Science, IT and Allied Fields")+($AL609="Life Sciences /Medicine and Healthcare")+($AL609="Paramedical")+($AL609="Architecture")+($AL609="Environmental Service")+($AL609="Agriculture, Food Industry and Forestry"))&gt;0,"Science",IF((($AL609="Banking and Finance")+($AL609="Management and Administration")+($AL609="Marketing")+($AL609="Sales")+($AL609="Entrepreneurship")+($AL609="Hospitality and Tourism"))&gt;0,"Commerce",IF((($AL609="Social Sciences and Humanities")+($AL609="Law Studies")+($AL609="Education and Training")+($AL609="Art, Design")+($AL609="Entertainment and Mass Media")+($AL609="Community and Social Service")+($AL609="Personal Care and Services")+($AL609="Government and Public Administration")+($AL609="Defence/ Protective Service")+($AL609="Sports"))&gt;0,"Arts / Humanities",""))))</f>
        <v/>
      </c>
      <c r="BD609" s="5" t="str">
        <f aca="false">IF($B609="","",--(F609&gt;=10)+--(G609&gt;=10)+--(H609&gt;=10)+--(I609&gt;=10)+--(J609&gt;=10)+--(K609&gt;=10)+--(L609&gt;=10)+--(M609&gt;=10)+--(N609&gt;=10)+--(O609&gt;=10))</f>
        <v/>
      </c>
      <c r="BE609" s="5" t="str">
        <f aca="false">IF($B609="","",--(AND(F609&lt;&gt;"",F609&lt;=8))+--(AND(G609&lt;&gt;"",G609&lt;=8))+--(AND(H609&lt;&gt;"",H609&lt;=8))+--(AND(I609&lt;&gt;"",I609&lt;=8))+--(AND(J609&lt;&gt;"",J609&lt;=8))+--(AND(K609&lt;&gt;"",K609&lt;=8))+--(AND(L609&lt;&gt;"",L609&lt;=8))+--(AND(M609&lt;&gt;"",M609&lt;=8))+--(AND(N609&lt;&gt;"",N609&lt;=8))+--(AND(O609&lt;&gt;"",O609&lt;=8)))</f>
        <v/>
      </c>
    </row>
    <row r="610" customFormat="false" ht="15" hidden="false" customHeight="false" outlineLevel="0" collapsed="false">
      <c r="AZ610" s="5" t="str">
        <f aca="false">IF($B610="","",SUMPRODUCT(($AL610:$AO610&lt;&gt;"")*(COUNTIF($AP610:$AX610,$AL610:$AO610)&gt;0)))</f>
        <v/>
      </c>
      <c r="BA610" s="5" t="str">
        <f aca="false">IF($B610="","",IF(AZ610&gt;0,1,0))</f>
        <v/>
      </c>
      <c r="BB610" s="5" t="str">
        <f aca="false">IF($AP610="","",IF((($AP610="Engineering and Technology")+($AP610="Science and Mathematics")+($AP610="Computer Science, IT and Allied Fields")+($AP610="Life Sciences /Medicine and Healthcare")+($AP610="Paramedical")+($AP610="Architecture")+($AP610="Environmental Service")+($AP610="Agriculture, Food Industry and Forestry"))&gt;0,"Science",IF((($AP610="Banking and Finance")+($AP610="Management and Administration")+($AP610="Marketing")+($AP610="Sales")+($AP610="Entrepreneurship")+($AP610="Hospitality and Tourism"))&gt;0,"Commerce",IF((($AP610="Social Sciences and Humanities")+($AP610="Law Studies")+($AP610="Education and Training")+($AP610="Art, Design")+($AP610="Entertainment and Mass Media")+($AP610="Community and Social Service")+($AP610="Personal Care and Services")+($AP610="Government and Public Administration")+($AP610="Defence/ Protective Service")+($AP610="Sports"))&gt;0,"Arts / Humanities",""))))</f>
        <v/>
      </c>
      <c r="BC610" s="5" t="str">
        <f aca="false">IF($AL610="","",IF((($AL610="Engineering and Technology")+($AL610="Science and Mathematics")+($AL610="Computer Science, IT and Allied Fields")+($AL610="Life Sciences /Medicine and Healthcare")+($AL610="Paramedical")+($AL610="Architecture")+($AL610="Environmental Service")+($AL610="Agriculture, Food Industry and Forestry"))&gt;0,"Science",IF((($AL610="Banking and Finance")+($AL610="Management and Administration")+($AL610="Marketing")+($AL610="Sales")+($AL610="Entrepreneurship")+($AL610="Hospitality and Tourism"))&gt;0,"Commerce",IF((($AL610="Social Sciences and Humanities")+($AL610="Law Studies")+($AL610="Education and Training")+($AL610="Art, Design")+($AL610="Entertainment and Mass Media")+($AL610="Community and Social Service")+($AL610="Personal Care and Services")+($AL610="Government and Public Administration")+($AL610="Defence/ Protective Service")+($AL610="Sports"))&gt;0,"Arts / Humanities",""))))</f>
        <v/>
      </c>
      <c r="BD610" s="5" t="str">
        <f aca="false">IF($B610="","",--(F610&gt;=10)+--(G610&gt;=10)+--(H610&gt;=10)+--(I610&gt;=10)+--(J610&gt;=10)+--(K610&gt;=10)+--(L610&gt;=10)+--(M610&gt;=10)+--(N610&gt;=10)+--(O610&gt;=10))</f>
        <v/>
      </c>
      <c r="BE610" s="5" t="str">
        <f aca="false">IF($B610="","",--(AND(F610&lt;&gt;"",F610&lt;=8))+--(AND(G610&lt;&gt;"",G610&lt;=8))+--(AND(H610&lt;&gt;"",H610&lt;=8))+--(AND(I610&lt;&gt;"",I610&lt;=8))+--(AND(J610&lt;&gt;"",J610&lt;=8))+--(AND(K610&lt;&gt;"",K610&lt;=8))+--(AND(L610&lt;&gt;"",L610&lt;=8))+--(AND(M610&lt;&gt;"",M610&lt;=8))+--(AND(N610&lt;&gt;"",N610&lt;=8))+--(AND(O610&lt;&gt;"",O610&lt;=8)))</f>
        <v/>
      </c>
    </row>
    <row r="611" customFormat="false" ht="15" hidden="false" customHeight="false" outlineLevel="0" collapsed="false">
      <c r="AZ611" s="5" t="str">
        <f aca="false">IF($B611="","",SUMPRODUCT(($AL611:$AO611&lt;&gt;"")*(COUNTIF($AP611:$AX611,$AL611:$AO611)&gt;0)))</f>
        <v/>
      </c>
      <c r="BA611" s="5" t="str">
        <f aca="false">IF($B611="","",IF(AZ611&gt;0,1,0))</f>
        <v/>
      </c>
      <c r="BB611" s="5" t="str">
        <f aca="false">IF($AP611="","",IF((($AP611="Engineering and Technology")+($AP611="Science and Mathematics")+($AP611="Computer Science, IT and Allied Fields")+($AP611="Life Sciences /Medicine and Healthcare")+($AP611="Paramedical")+($AP611="Architecture")+($AP611="Environmental Service")+($AP611="Agriculture, Food Industry and Forestry"))&gt;0,"Science",IF((($AP611="Banking and Finance")+($AP611="Management and Administration")+($AP611="Marketing")+($AP611="Sales")+($AP611="Entrepreneurship")+($AP611="Hospitality and Tourism"))&gt;0,"Commerce",IF((($AP611="Social Sciences and Humanities")+($AP611="Law Studies")+($AP611="Education and Training")+($AP611="Art, Design")+($AP611="Entertainment and Mass Media")+($AP611="Community and Social Service")+($AP611="Personal Care and Services")+($AP611="Government and Public Administration")+($AP611="Defence/ Protective Service")+($AP611="Sports"))&gt;0,"Arts / Humanities",""))))</f>
        <v/>
      </c>
      <c r="BC611" s="5" t="str">
        <f aca="false">IF($AL611="","",IF((($AL611="Engineering and Technology")+($AL611="Science and Mathematics")+($AL611="Computer Science, IT and Allied Fields")+($AL611="Life Sciences /Medicine and Healthcare")+($AL611="Paramedical")+($AL611="Architecture")+($AL611="Environmental Service")+($AL611="Agriculture, Food Industry and Forestry"))&gt;0,"Science",IF((($AL611="Banking and Finance")+($AL611="Management and Administration")+($AL611="Marketing")+($AL611="Sales")+($AL611="Entrepreneurship")+($AL611="Hospitality and Tourism"))&gt;0,"Commerce",IF((($AL611="Social Sciences and Humanities")+($AL611="Law Studies")+($AL611="Education and Training")+($AL611="Art, Design")+($AL611="Entertainment and Mass Media")+($AL611="Community and Social Service")+($AL611="Personal Care and Services")+($AL611="Government and Public Administration")+($AL611="Defence/ Protective Service")+($AL611="Sports"))&gt;0,"Arts / Humanities",""))))</f>
        <v/>
      </c>
      <c r="BD611" s="5" t="str">
        <f aca="false">IF($B611="","",--(F611&gt;=10)+--(G611&gt;=10)+--(H611&gt;=10)+--(I611&gt;=10)+--(J611&gt;=10)+--(K611&gt;=10)+--(L611&gt;=10)+--(M611&gt;=10)+--(N611&gt;=10)+--(O611&gt;=10))</f>
        <v/>
      </c>
      <c r="BE611" s="5" t="str">
        <f aca="false">IF($B611="","",--(AND(F611&lt;&gt;"",F611&lt;=8))+--(AND(G611&lt;&gt;"",G611&lt;=8))+--(AND(H611&lt;&gt;"",H611&lt;=8))+--(AND(I611&lt;&gt;"",I611&lt;=8))+--(AND(J611&lt;&gt;"",J611&lt;=8))+--(AND(K611&lt;&gt;"",K611&lt;=8))+--(AND(L611&lt;&gt;"",L611&lt;=8))+--(AND(M611&lt;&gt;"",M611&lt;=8))+--(AND(N611&lt;&gt;"",N611&lt;=8))+--(AND(O611&lt;&gt;"",O611&lt;=8)))</f>
        <v/>
      </c>
    </row>
    <row r="612" customFormat="false" ht="15" hidden="false" customHeight="false" outlineLevel="0" collapsed="false">
      <c r="AZ612" s="5" t="str">
        <f aca="false">IF($B612="","",SUMPRODUCT(($AL612:$AO612&lt;&gt;"")*(COUNTIF($AP612:$AX612,$AL612:$AO612)&gt;0)))</f>
        <v/>
      </c>
      <c r="BA612" s="5" t="str">
        <f aca="false">IF($B612="","",IF(AZ612&gt;0,1,0))</f>
        <v/>
      </c>
      <c r="BB612" s="5" t="str">
        <f aca="false">IF($AP612="","",IF((($AP612="Engineering and Technology")+($AP612="Science and Mathematics")+($AP612="Computer Science, IT and Allied Fields")+($AP612="Life Sciences /Medicine and Healthcare")+($AP612="Paramedical")+($AP612="Architecture")+($AP612="Environmental Service")+($AP612="Agriculture, Food Industry and Forestry"))&gt;0,"Science",IF((($AP612="Banking and Finance")+($AP612="Management and Administration")+($AP612="Marketing")+($AP612="Sales")+($AP612="Entrepreneurship")+($AP612="Hospitality and Tourism"))&gt;0,"Commerce",IF((($AP612="Social Sciences and Humanities")+($AP612="Law Studies")+($AP612="Education and Training")+($AP612="Art, Design")+($AP612="Entertainment and Mass Media")+($AP612="Community and Social Service")+($AP612="Personal Care and Services")+($AP612="Government and Public Administration")+($AP612="Defence/ Protective Service")+($AP612="Sports"))&gt;0,"Arts / Humanities",""))))</f>
        <v/>
      </c>
      <c r="BC612" s="5" t="str">
        <f aca="false">IF($AL612="","",IF((($AL612="Engineering and Technology")+($AL612="Science and Mathematics")+($AL612="Computer Science, IT and Allied Fields")+($AL612="Life Sciences /Medicine and Healthcare")+($AL612="Paramedical")+($AL612="Architecture")+($AL612="Environmental Service")+($AL612="Agriculture, Food Industry and Forestry"))&gt;0,"Science",IF((($AL612="Banking and Finance")+($AL612="Management and Administration")+($AL612="Marketing")+($AL612="Sales")+($AL612="Entrepreneurship")+($AL612="Hospitality and Tourism"))&gt;0,"Commerce",IF((($AL612="Social Sciences and Humanities")+($AL612="Law Studies")+($AL612="Education and Training")+($AL612="Art, Design")+($AL612="Entertainment and Mass Media")+($AL612="Community and Social Service")+($AL612="Personal Care and Services")+($AL612="Government and Public Administration")+($AL612="Defence/ Protective Service")+($AL612="Sports"))&gt;0,"Arts / Humanities",""))))</f>
        <v/>
      </c>
      <c r="BD612" s="5" t="str">
        <f aca="false">IF($B612="","",--(F612&gt;=10)+--(G612&gt;=10)+--(H612&gt;=10)+--(I612&gt;=10)+--(J612&gt;=10)+--(K612&gt;=10)+--(L612&gt;=10)+--(M612&gt;=10)+--(N612&gt;=10)+--(O612&gt;=10))</f>
        <v/>
      </c>
      <c r="BE612" s="5" t="str">
        <f aca="false">IF($B612="","",--(AND(F612&lt;&gt;"",F612&lt;=8))+--(AND(G612&lt;&gt;"",G612&lt;=8))+--(AND(H612&lt;&gt;"",H612&lt;=8))+--(AND(I612&lt;&gt;"",I612&lt;=8))+--(AND(J612&lt;&gt;"",J612&lt;=8))+--(AND(K612&lt;&gt;"",K612&lt;=8))+--(AND(L612&lt;&gt;"",L612&lt;=8))+--(AND(M612&lt;&gt;"",M612&lt;=8))+--(AND(N612&lt;&gt;"",N612&lt;=8))+--(AND(O612&lt;&gt;"",O612&lt;=8)))</f>
        <v/>
      </c>
    </row>
    <row r="613" customFormat="false" ht="15" hidden="false" customHeight="false" outlineLevel="0" collapsed="false">
      <c r="AZ613" s="5" t="str">
        <f aca="false">IF($B613="","",SUMPRODUCT(($AL613:$AO613&lt;&gt;"")*(COUNTIF($AP613:$AX613,$AL613:$AO613)&gt;0)))</f>
        <v/>
      </c>
      <c r="BA613" s="5" t="str">
        <f aca="false">IF($B613="","",IF(AZ613&gt;0,1,0))</f>
        <v/>
      </c>
      <c r="BB613" s="5" t="str">
        <f aca="false">IF($AP613="","",IF((($AP613="Engineering and Technology")+($AP613="Science and Mathematics")+($AP613="Computer Science, IT and Allied Fields")+($AP613="Life Sciences /Medicine and Healthcare")+($AP613="Paramedical")+($AP613="Architecture")+($AP613="Environmental Service")+($AP613="Agriculture, Food Industry and Forestry"))&gt;0,"Science",IF((($AP613="Banking and Finance")+($AP613="Management and Administration")+($AP613="Marketing")+($AP613="Sales")+($AP613="Entrepreneurship")+($AP613="Hospitality and Tourism"))&gt;0,"Commerce",IF((($AP613="Social Sciences and Humanities")+($AP613="Law Studies")+($AP613="Education and Training")+($AP613="Art, Design")+($AP613="Entertainment and Mass Media")+($AP613="Community and Social Service")+($AP613="Personal Care and Services")+($AP613="Government and Public Administration")+($AP613="Defence/ Protective Service")+($AP613="Sports"))&gt;0,"Arts / Humanities",""))))</f>
        <v/>
      </c>
      <c r="BC613" s="5" t="str">
        <f aca="false">IF($AL613="","",IF((($AL613="Engineering and Technology")+($AL613="Science and Mathematics")+($AL613="Computer Science, IT and Allied Fields")+($AL613="Life Sciences /Medicine and Healthcare")+($AL613="Paramedical")+($AL613="Architecture")+($AL613="Environmental Service")+($AL613="Agriculture, Food Industry and Forestry"))&gt;0,"Science",IF((($AL613="Banking and Finance")+($AL613="Management and Administration")+($AL613="Marketing")+($AL613="Sales")+($AL613="Entrepreneurship")+($AL613="Hospitality and Tourism"))&gt;0,"Commerce",IF((($AL613="Social Sciences and Humanities")+($AL613="Law Studies")+($AL613="Education and Training")+($AL613="Art, Design")+($AL613="Entertainment and Mass Media")+($AL613="Community and Social Service")+($AL613="Personal Care and Services")+($AL613="Government and Public Administration")+($AL613="Defence/ Protective Service")+($AL613="Sports"))&gt;0,"Arts / Humanities",""))))</f>
        <v/>
      </c>
      <c r="BD613" s="5" t="str">
        <f aca="false">IF($B613="","",--(F613&gt;=10)+--(G613&gt;=10)+--(H613&gt;=10)+--(I613&gt;=10)+--(J613&gt;=10)+--(K613&gt;=10)+--(L613&gt;=10)+--(M613&gt;=10)+--(N613&gt;=10)+--(O613&gt;=10))</f>
        <v/>
      </c>
      <c r="BE613" s="5" t="str">
        <f aca="false">IF($B613="","",--(AND(F613&lt;&gt;"",F613&lt;=8))+--(AND(G613&lt;&gt;"",G613&lt;=8))+--(AND(H613&lt;&gt;"",H613&lt;=8))+--(AND(I613&lt;&gt;"",I613&lt;=8))+--(AND(J613&lt;&gt;"",J613&lt;=8))+--(AND(K613&lt;&gt;"",K613&lt;=8))+--(AND(L613&lt;&gt;"",L613&lt;=8))+--(AND(M613&lt;&gt;"",M613&lt;=8))+--(AND(N613&lt;&gt;"",N613&lt;=8))+--(AND(O613&lt;&gt;"",O613&lt;=8)))</f>
        <v/>
      </c>
    </row>
    <row r="614" customFormat="false" ht="15" hidden="false" customHeight="false" outlineLevel="0" collapsed="false">
      <c r="AZ614" s="5" t="str">
        <f aca="false">IF($B614="","",SUMPRODUCT(($AL614:$AO614&lt;&gt;"")*(COUNTIF($AP614:$AX614,$AL614:$AO614)&gt;0)))</f>
        <v/>
      </c>
      <c r="BA614" s="5" t="str">
        <f aca="false">IF($B614="","",IF(AZ614&gt;0,1,0))</f>
        <v/>
      </c>
      <c r="BB614" s="5" t="str">
        <f aca="false">IF($AP614="","",IF((($AP614="Engineering and Technology")+($AP614="Science and Mathematics")+($AP614="Computer Science, IT and Allied Fields")+($AP614="Life Sciences /Medicine and Healthcare")+($AP614="Paramedical")+($AP614="Architecture")+($AP614="Environmental Service")+($AP614="Agriculture, Food Industry and Forestry"))&gt;0,"Science",IF((($AP614="Banking and Finance")+($AP614="Management and Administration")+($AP614="Marketing")+($AP614="Sales")+($AP614="Entrepreneurship")+($AP614="Hospitality and Tourism"))&gt;0,"Commerce",IF((($AP614="Social Sciences and Humanities")+($AP614="Law Studies")+($AP614="Education and Training")+($AP614="Art, Design")+($AP614="Entertainment and Mass Media")+($AP614="Community and Social Service")+($AP614="Personal Care and Services")+($AP614="Government and Public Administration")+($AP614="Defence/ Protective Service")+($AP614="Sports"))&gt;0,"Arts / Humanities",""))))</f>
        <v/>
      </c>
      <c r="BC614" s="5" t="str">
        <f aca="false">IF($AL614="","",IF((($AL614="Engineering and Technology")+($AL614="Science and Mathematics")+($AL614="Computer Science, IT and Allied Fields")+($AL614="Life Sciences /Medicine and Healthcare")+($AL614="Paramedical")+($AL614="Architecture")+($AL614="Environmental Service")+($AL614="Agriculture, Food Industry and Forestry"))&gt;0,"Science",IF((($AL614="Banking and Finance")+($AL614="Management and Administration")+($AL614="Marketing")+($AL614="Sales")+($AL614="Entrepreneurship")+($AL614="Hospitality and Tourism"))&gt;0,"Commerce",IF((($AL614="Social Sciences and Humanities")+($AL614="Law Studies")+($AL614="Education and Training")+($AL614="Art, Design")+($AL614="Entertainment and Mass Media")+($AL614="Community and Social Service")+($AL614="Personal Care and Services")+($AL614="Government and Public Administration")+($AL614="Defence/ Protective Service")+($AL614="Sports"))&gt;0,"Arts / Humanities",""))))</f>
        <v/>
      </c>
      <c r="BD614" s="5" t="str">
        <f aca="false">IF($B614="","",--(F614&gt;=10)+--(G614&gt;=10)+--(H614&gt;=10)+--(I614&gt;=10)+--(J614&gt;=10)+--(K614&gt;=10)+--(L614&gt;=10)+--(M614&gt;=10)+--(N614&gt;=10)+--(O614&gt;=10))</f>
        <v/>
      </c>
      <c r="BE614" s="5" t="str">
        <f aca="false">IF($B614="","",--(AND(F614&lt;&gt;"",F614&lt;=8))+--(AND(G614&lt;&gt;"",G614&lt;=8))+--(AND(H614&lt;&gt;"",H614&lt;=8))+--(AND(I614&lt;&gt;"",I614&lt;=8))+--(AND(J614&lt;&gt;"",J614&lt;=8))+--(AND(K614&lt;&gt;"",K614&lt;=8))+--(AND(L614&lt;&gt;"",L614&lt;=8))+--(AND(M614&lt;&gt;"",M614&lt;=8))+--(AND(N614&lt;&gt;"",N614&lt;=8))+--(AND(O614&lt;&gt;"",O614&lt;=8)))</f>
        <v/>
      </c>
    </row>
    <row r="615" customFormat="false" ht="15" hidden="false" customHeight="false" outlineLevel="0" collapsed="false">
      <c r="AZ615" s="5" t="str">
        <f aca="false">IF($B615="","",SUMPRODUCT(($AL615:$AO615&lt;&gt;"")*(COUNTIF($AP615:$AX615,$AL615:$AO615)&gt;0)))</f>
        <v/>
      </c>
      <c r="BA615" s="5" t="str">
        <f aca="false">IF($B615="","",IF(AZ615&gt;0,1,0))</f>
        <v/>
      </c>
      <c r="BB615" s="5" t="str">
        <f aca="false">IF($AP615="","",IF((($AP615="Engineering and Technology")+($AP615="Science and Mathematics")+($AP615="Computer Science, IT and Allied Fields")+($AP615="Life Sciences /Medicine and Healthcare")+($AP615="Paramedical")+($AP615="Architecture")+($AP615="Environmental Service")+($AP615="Agriculture, Food Industry and Forestry"))&gt;0,"Science",IF((($AP615="Banking and Finance")+($AP615="Management and Administration")+($AP615="Marketing")+($AP615="Sales")+($AP615="Entrepreneurship")+($AP615="Hospitality and Tourism"))&gt;0,"Commerce",IF((($AP615="Social Sciences and Humanities")+($AP615="Law Studies")+($AP615="Education and Training")+($AP615="Art, Design")+($AP615="Entertainment and Mass Media")+($AP615="Community and Social Service")+($AP615="Personal Care and Services")+($AP615="Government and Public Administration")+($AP615="Defence/ Protective Service")+($AP615="Sports"))&gt;0,"Arts / Humanities",""))))</f>
        <v/>
      </c>
      <c r="BC615" s="5" t="str">
        <f aca="false">IF($AL615="","",IF((($AL615="Engineering and Technology")+($AL615="Science and Mathematics")+($AL615="Computer Science, IT and Allied Fields")+($AL615="Life Sciences /Medicine and Healthcare")+($AL615="Paramedical")+($AL615="Architecture")+($AL615="Environmental Service")+($AL615="Agriculture, Food Industry and Forestry"))&gt;0,"Science",IF((($AL615="Banking and Finance")+($AL615="Management and Administration")+($AL615="Marketing")+($AL615="Sales")+($AL615="Entrepreneurship")+($AL615="Hospitality and Tourism"))&gt;0,"Commerce",IF((($AL615="Social Sciences and Humanities")+($AL615="Law Studies")+($AL615="Education and Training")+($AL615="Art, Design")+($AL615="Entertainment and Mass Media")+($AL615="Community and Social Service")+($AL615="Personal Care and Services")+($AL615="Government and Public Administration")+($AL615="Defence/ Protective Service")+($AL615="Sports"))&gt;0,"Arts / Humanities",""))))</f>
        <v/>
      </c>
      <c r="BD615" s="5" t="str">
        <f aca="false">IF($B615="","",--(F615&gt;=10)+--(G615&gt;=10)+--(H615&gt;=10)+--(I615&gt;=10)+--(J615&gt;=10)+--(K615&gt;=10)+--(L615&gt;=10)+--(M615&gt;=10)+--(N615&gt;=10)+--(O615&gt;=10))</f>
        <v/>
      </c>
      <c r="BE615" s="5" t="str">
        <f aca="false">IF($B615="","",--(AND(F615&lt;&gt;"",F615&lt;=8))+--(AND(G615&lt;&gt;"",G615&lt;=8))+--(AND(H615&lt;&gt;"",H615&lt;=8))+--(AND(I615&lt;&gt;"",I615&lt;=8))+--(AND(J615&lt;&gt;"",J615&lt;=8))+--(AND(K615&lt;&gt;"",K615&lt;=8))+--(AND(L615&lt;&gt;"",L615&lt;=8))+--(AND(M615&lt;&gt;"",M615&lt;=8))+--(AND(N615&lt;&gt;"",N615&lt;=8))+--(AND(O615&lt;&gt;"",O615&lt;=8)))</f>
        <v/>
      </c>
    </row>
    <row r="616" customFormat="false" ht="15" hidden="false" customHeight="false" outlineLevel="0" collapsed="false">
      <c r="AZ616" s="5" t="str">
        <f aca="false">IF($B616="","",SUMPRODUCT(($AL616:$AO616&lt;&gt;"")*(COUNTIF($AP616:$AX616,$AL616:$AO616)&gt;0)))</f>
        <v/>
      </c>
      <c r="BA616" s="5" t="str">
        <f aca="false">IF($B616="","",IF(AZ616&gt;0,1,0))</f>
        <v/>
      </c>
      <c r="BB616" s="5" t="str">
        <f aca="false">IF($AP616="","",IF((($AP616="Engineering and Technology")+($AP616="Science and Mathematics")+($AP616="Computer Science, IT and Allied Fields")+($AP616="Life Sciences /Medicine and Healthcare")+($AP616="Paramedical")+($AP616="Architecture")+($AP616="Environmental Service")+($AP616="Agriculture, Food Industry and Forestry"))&gt;0,"Science",IF((($AP616="Banking and Finance")+($AP616="Management and Administration")+($AP616="Marketing")+($AP616="Sales")+($AP616="Entrepreneurship")+($AP616="Hospitality and Tourism"))&gt;0,"Commerce",IF((($AP616="Social Sciences and Humanities")+($AP616="Law Studies")+($AP616="Education and Training")+($AP616="Art, Design")+($AP616="Entertainment and Mass Media")+($AP616="Community and Social Service")+($AP616="Personal Care and Services")+($AP616="Government and Public Administration")+($AP616="Defence/ Protective Service")+($AP616="Sports"))&gt;0,"Arts / Humanities",""))))</f>
        <v/>
      </c>
      <c r="BC616" s="5" t="str">
        <f aca="false">IF($AL616="","",IF((($AL616="Engineering and Technology")+($AL616="Science and Mathematics")+($AL616="Computer Science, IT and Allied Fields")+($AL616="Life Sciences /Medicine and Healthcare")+($AL616="Paramedical")+($AL616="Architecture")+($AL616="Environmental Service")+($AL616="Agriculture, Food Industry and Forestry"))&gt;0,"Science",IF((($AL616="Banking and Finance")+($AL616="Management and Administration")+($AL616="Marketing")+($AL616="Sales")+($AL616="Entrepreneurship")+($AL616="Hospitality and Tourism"))&gt;0,"Commerce",IF((($AL616="Social Sciences and Humanities")+($AL616="Law Studies")+($AL616="Education and Training")+($AL616="Art, Design")+($AL616="Entertainment and Mass Media")+($AL616="Community and Social Service")+($AL616="Personal Care and Services")+($AL616="Government and Public Administration")+($AL616="Defence/ Protective Service")+($AL616="Sports"))&gt;0,"Arts / Humanities",""))))</f>
        <v/>
      </c>
      <c r="BD616" s="5" t="str">
        <f aca="false">IF($B616="","",--(F616&gt;=10)+--(G616&gt;=10)+--(H616&gt;=10)+--(I616&gt;=10)+--(J616&gt;=10)+--(K616&gt;=10)+--(L616&gt;=10)+--(M616&gt;=10)+--(N616&gt;=10)+--(O616&gt;=10))</f>
        <v/>
      </c>
      <c r="BE616" s="5" t="str">
        <f aca="false">IF($B616="","",--(AND(F616&lt;&gt;"",F616&lt;=8))+--(AND(G616&lt;&gt;"",G616&lt;=8))+--(AND(H616&lt;&gt;"",H616&lt;=8))+--(AND(I616&lt;&gt;"",I616&lt;=8))+--(AND(J616&lt;&gt;"",J616&lt;=8))+--(AND(K616&lt;&gt;"",K616&lt;=8))+--(AND(L616&lt;&gt;"",L616&lt;=8))+--(AND(M616&lt;&gt;"",M616&lt;=8))+--(AND(N616&lt;&gt;"",N616&lt;=8))+--(AND(O616&lt;&gt;"",O616&lt;=8)))</f>
        <v/>
      </c>
    </row>
    <row r="617" customFormat="false" ht="15" hidden="false" customHeight="false" outlineLevel="0" collapsed="false">
      <c r="AZ617" s="5" t="str">
        <f aca="false">IF($B617="","",SUMPRODUCT(($AL617:$AO617&lt;&gt;"")*(COUNTIF($AP617:$AX617,$AL617:$AO617)&gt;0)))</f>
        <v/>
      </c>
      <c r="BA617" s="5" t="str">
        <f aca="false">IF($B617="","",IF(AZ617&gt;0,1,0))</f>
        <v/>
      </c>
      <c r="BB617" s="5" t="str">
        <f aca="false">IF($AP617="","",IF((($AP617="Engineering and Technology")+($AP617="Science and Mathematics")+($AP617="Computer Science, IT and Allied Fields")+($AP617="Life Sciences /Medicine and Healthcare")+($AP617="Paramedical")+($AP617="Architecture")+($AP617="Environmental Service")+($AP617="Agriculture, Food Industry and Forestry"))&gt;0,"Science",IF((($AP617="Banking and Finance")+($AP617="Management and Administration")+($AP617="Marketing")+($AP617="Sales")+($AP617="Entrepreneurship")+($AP617="Hospitality and Tourism"))&gt;0,"Commerce",IF((($AP617="Social Sciences and Humanities")+($AP617="Law Studies")+($AP617="Education and Training")+($AP617="Art, Design")+($AP617="Entertainment and Mass Media")+($AP617="Community and Social Service")+($AP617="Personal Care and Services")+($AP617="Government and Public Administration")+($AP617="Defence/ Protective Service")+($AP617="Sports"))&gt;0,"Arts / Humanities",""))))</f>
        <v/>
      </c>
      <c r="BC617" s="5" t="str">
        <f aca="false">IF($AL617="","",IF((($AL617="Engineering and Technology")+($AL617="Science and Mathematics")+($AL617="Computer Science, IT and Allied Fields")+($AL617="Life Sciences /Medicine and Healthcare")+($AL617="Paramedical")+($AL617="Architecture")+($AL617="Environmental Service")+($AL617="Agriculture, Food Industry and Forestry"))&gt;0,"Science",IF((($AL617="Banking and Finance")+($AL617="Management and Administration")+($AL617="Marketing")+($AL617="Sales")+($AL617="Entrepreneurship")+($AL617="Hospitality and Tourism"))&gt;0,"Commerce",IF((($AL617="Social Sciences and Humanities")+($AL617="Law Studies")+($AL617="Education and Training")+($AL617="Art, Design")+($AL617="Entertainment and Mass Media")+($AL617="Community and Social Service")+($AL617="Personal Care and Services")+($AL617="Government and Public Administration")+($AL617="Defence/ Protective Service")+($AL617="Sports"))&gt;0,"Arts / Humanities",""))))</f>
        <v/>
      </c>
      <c r="BD617" s="5" t="str">
        <f aca="false">IF($B617="","",--(F617&gt;=10)+--(G617&gt;=10)+--(H617&gt;=10)+--(I617&gt;=10)+--(J617&gt;=10)+--(K617&gt;=10)+--(L617&gt;=10)+--(M617&gt;=10)+--(N617&gt;=10)+--(O617&gt;=10))</f>
        <v/>
      </c>
      <c r="BE617" s="5" t="str">
        <f aca="false">IF($B617="","",--(AND(F617&lt;&gt;"",F617&lt;=8))+--(AND(G617&lt;&gt;"",G617&lt;=8))+--(AND(H617&lt;&gt;"",H617&lt;=8))+--(AND(I617&lt;&gt;"",I617&lt;=8))+--(AND(J617&lt;&gt;"",J617&lt;=8))+--(AND(K617&lt;&gt;"",K617&lt;=8))+--(AND(L617&lt;&gt;"",L617&lt;=8))+--(AND(M617&lt;&gt;"",M617&lt;=8))+--(AND(N617&lt;&gt;"",N617&lt;=8))+--(AND(O617&lt;&gt;"",O617&lt;=8)))</f>
        <v/>
      </c>
    </row>
    <row r="618" customFormat="false" ht="15" hidden="false" customHeight="false" outlineLevel="0" collapsed="false">
      <c r="AZ618" s="5" t="str">
        <f aca="false">IF($B618="","",SUMPRODUCT(($AL618:$AO618&lt;&gt;"")*(COUNTIF($AP618:$AX618,$AL618:$AO618)&gt;0)))</f>
        <v/>
      </c>
      <c r="BA618" s="5" t="str">
        <f aca="false">IF($B618="","",IF(AZ618&gt;0,1,0))</f>
        <v/>
      </c>
      <c r="BB618" s="5" t="str">
        <f aca="false">IF($AP618="","",IF((($AP618="Engineering and Technology")+($AP618="Science and Mathematics")+($AP618="Computer Science, IT and Allied Fields")+($AP618="Life Sciences /Medicine and Healthcare")+($AP618="Paramedical")+($AP618="Architecture")+($AP618="Environmental Service")+($AP618="Agriculture, Food Industry and Forestry"))&gt;0,"Science",IF((($AP618="Banking and Finance")+($AP618="Management and Administration")+($AP618="Marketing")+($AP618="Sales")+($AP618="Entrepreneurship")+($AP618="Hospitality and Tourism"))&gt;0,"Commerce",IF((($AP618="Social Sciences and Humanities")+($AP618="Law Studies")+($AP618="Education and Training")+($AP618="Art, Design")+($AP618="Entertainment and Mass Media")+($AP618="Community and Social Service")+($AP618="Personal Care and Services")+($AP618="Government and Public Administration")+($AP618="Defence/ Protective Service")+($AP618="Sports"))&gt;0,"Arts / Humanities",""))))</f>
        <v/>
      </c>
      <c r="BC618" s="5" t="str">
        <f aca="false">IF($AL618="","",IF((($AL618="Engineering and Technology")+($AL618="Science and Mathematics")+($AL618="Computer Science, IT and Allied Fields")+($AL618="Life Sciences /Medicine and Healthcare")+($AL618="Paramedical")+($AL618="Architecture")+($AL618="Environmental Service")+($AL618="Agriculture, Food Industry and Forestry"))&gt;0,"Science",IF((($AL618="Banking and Finance")+($AL618="Management and Administration")+($AL618="Marketing")+($AL618="Sales")+($AL618="Entrepreneurship")+($AL618="Hospitality and Tourism"))&gt;0,"Commerce",IF((($AL618="Social Sciences and Humanities")+($AL618="Law Studies")+($AL618="Education and Training")+($AL618="Art, Design")+($AL618="Entertainment and Mass Media")+($AL618="Community and Social Service")+($AL618="Personal Care and Services")+($AL618="Government and Public Administration")+($AL618="Defence/ Protective Service")+($AL618="Sports"))&gt;0,"Arts / Humanities",""))))</f>
        <v/>
      </c>
      <c r="BD618" s="5" t="str">
        <f aca="false">IF($B618="","",--(F618&gt;=10)+--(G618&gt;=10)+--(H618&gt;=10)+--(I618&gt;=10)+--(J618&gt;=10)+--(K618&gt;=10)+--(L618&gt;=10)+--(M618&gt;=10)+--(N618&gt;=10)+--(O618&gt;=10))</f>
        <v/>
      </c>
      <c r="BE618" s="5" t="str">
        <f aca="false">IF($B618="","",--(AND(F618&lt;&gt;"",F618&lt;=8))+--(AND(G618&lt;&gt;"",G618&lt;=8))+--(AND(H618&lt;&gt;"",H618&lt;=8))+--(AND(I618&lt;&gt;"",I618&lt;=8))+--(AND(J618&lt;&gt;"",J618&lt;=8))+--(AND(K618&lt;&gt;"",K618&lt;=8))+--(AND(L618&lt;&gt;"",L618&lt;=8))+--(AND(M618&lt;&gt;"",M618&lt;=8))+--(AND(N618&lt;&gt;"",N618&lt;=8))+--(AND(O618&lt;&gt;"",O618&lt;=8)))</f>
        <v/>
      </c>
    </row>
    <row r="619" customFormat="false" ht="15" hidden="false" customHeight="false" outlineLevel="0" collapsed="false">
      <c r="AZ619" s="5" t="str">
        <f aca="false">IF($B619="","",SUMPRODUCT(($AL619:$AO619&lt;&gt;"")*(COUNTIF($AP619:$AX619,$AL619:$AO619)&gt;0)))</f>
        <v/>
      </c>
      <c r="BA619" s="5" t="str">
        <f aca="false">IF($B619="","",IF(AZ619&gt;0,1,0))</f>
        <v/>
      </c>
      <c r="BB619" s="5" t="str">
        <f aca="false">IF($AP619="","",IF((($AP619="Engineering and Technology")+($AP619="Science and Mathematics")+($AP619="Computer Science, IT and Allied Fields")+($AP619="Life Sciences /Medicine and Healthcare")+($AP619="Paramedical")+($AP619="Architecture")+($AP619="Environmental Service")+($AP619="Agriculture, Food Industry and Forestry"))&gt;0,"Science",IF((($AP619="Banking and Finance")+($AP619="Management and Administration")+($AP619="Marketing")+($AP619="Sales")+($AP619="Entrepreneurship")+($AP619="Hospitality and Tourism"))&gt;0,"Commerce",IF((($AP619="Social Sciences and Humanities")+($AP619="Law Studies")+($AP619="Education and Training")+($AP619="Art, Design")+($AP619="Entertainment and Mass Media")+($AP619="Community and Social Service")+($AP619="Personal Care and Services")+($AP619="Government and Public Administration")+($AP619="Defence/ Protective Service")+($AP619="Sports"))&gt;0,"Arts / Humanities",""))))</f>
        <v/>
      </c>
      <c r="BC619" s="5" t="str">
        <f aca="false">IF($AL619="","",IF((($AL619="Engineering and Technology")+($AL619="Science and Mathematics")+($AL619="Computer Science, IT and Allied Fields")+($AL619="Life Sciences /Medicine and Healthcare")+($AL619="Paramedical")+($AL619="Architecture")+($AL619="Environmental Service")+($AL619="Agriculture, Food Industry and Forestry"))&gt;0,"Science",IF((($AL619="Banking and Finance")+($AL619="Management and Administration")+($AL619="Marketing")+($AL619="Sales")+($AL619="Entrepreneurship")+($AL619="Hospitality and Tourism"))&gt;0,"Commerce",IF((($AL619="Social Sciences and Humanities")+($AL619="Law Studies")+($AL619="Education and Training")+($AL619="Art, Design")+($AL619="Entertainment and Mass Media")+($AL619="Community and Social Service")+($AL619="Personal Care and Services")+($AL619="Government and Public Administration")+($AL619="Defence/ Protective Service")+($AL619="Sports"))&gt;0,"Arts / Humanities",""))))</f>
        <v/>
      </c>
      <c r="BD619" s="5" t="str">
        <f aca="false">IF($B619="","",--(F619&gt;=10)+--(G619&gt;=10)+--(H619&gt;=10)+--(I619&gt;=10)+--(J619&gt;=10)+--(K619&gt;=10)+--(L619&gt;=10)+--(M619&gt;=10)+--(N619&gt;=10)+--(O619&gt;=10))</f>
        <v/>
      </c>
      <c r="BE619" s="5" t="str">
        <f aca="false">IF($B619="","",--(AND(F619&lt;&gt;"",F619&lt;=8))+--(AND(G619&lt;&gt;"",G619&lt;=8))+--(AND(H619&lt;&gt;"",H619&lt;=8))+--(AND(I619&lt;&gt;"",I619&lt;=8))+--(AND(J619&lt;&gt;"",J619&lt;=8))+--(AND(K619&lt;&gt;"",K619&lt;=8))+--(AND(L619&lt;&gt;"",L619&lt;=8))+--(AND(M619&lt;&gt;"",M619&lt;=8))+--(AND(N619&lt;&gt;"",N619&lt;=8))+--(AND(O619&lt;&gt;"",O619&lt;=8)))</f>
        <v/>
      </c>
    </row>
    <row r="620" customFormat="false" ht="15" hidden="false" customHeight="false" outlineLevel="0" collapsed="false">
      <c r="AZ620" s="5" t="str">
        <f aca="false">IF($B620="","",SUMPRODUCT(($AL620:$AO620&lt;&gt;"")*(COUNTIF($AP620:$AX620,$AL620:$AO620)&gt;0)))</f>
        <v/>
      </c>
      <c r="BA620" s="5" t="str">
        <f aca="false">IF($B620="","",IF(AZ620&gt;0,1,0))</f>
        <v/>
      </c>
      <c r="BB620" s="5" t="str">
        <f aca="false">IF($AP620="","",IF((($AP620="Engineering and Technology")+($AP620="Science and Mathematics")+($AP620="Computer Science, IT and Allied Fields")+($AP620="Life Sciences /Medicine and Healthcare")+($AP620="Paramedical")+($AP620="Architecture")+($AP620="Environmental Service")+($AP620="Agriculture, Food Industry and Forestry"))&gt;0,"Science",IF((($AP620="Banking and Finance")+($AP620="Management and Administration")+($AP620="Marketing")+($AP620="Sales")+($AP620="Entrepreneurship")+($AP620="Hospitality and Tourism"))&gt;0,"Commerce",IF((($AP620="Social Sciences and Humanities")+($AP620="Law Studies")+($AP620="Education and Training")+($AP620="Art, Design")+($AP620="Entertainment and Mass Media")+($AP620="Community and Social Service")+($AP620="Personal Care and Services")+($AP620="Government and Public Administration")+($AP620="Defence/ Protective Service")+($AP620="Sports"))&gt;0,"Arts / Humanities",""))))</f>
        <v/>
      </c>
      <c r="BC620" s="5" t="str">
        <f aca="false">IF($AL620="","",IF((($AL620="Engineering and Technology")+($AL620="Science and Mathematics")+($AL620="Computer Science, IT and Allied Fields")+($AL620="Life Sciences /Medicine and Healthcare")+($AL620="Paramedical")+($AL620="Architecture")+($AL620="Environmental Service")+($AL620="Agriculture, Food Industry and Forestry"))&gt;0,"Science",IF((($AL620="Banking and Finance")+($AL620="Management and Administration")+($AL620="Marketing")+($AL620="Sales")+($AL620="Entrepreneurship")+($AL620="Hospitality and Tourism"))&gt;0,"Commerce",IF((($AL620="Social Sciences and Humanities")+($AL620="Law Studies")+($AL620="Education and Training")+($AL620="Art, Design")+($AL620="Entertainment and Mass Media")+($AL620="Community and Social Service")+($AL620="Personal Care and Services")+($AL620="Government and Public Administration")+($AL620="Defence/ Protective Service")+($AL620="Sports"))&gt;0,"Arts / Humanities",""))))</f>
        <v/>
      </c>
      <c r="BD620" s="5" t="str">
        <f aca="false">IF($B620="","",--(F620&gt;=10)+--(G620&gt;=10)+--(H620&gt;=10)+--(I620&gt;=10)+--(J620&gt;=10)+--(K620&gt;=10)+--(L620&gt;=10)+--(M620&gt;=10)+--(N620&gt;=10)+--(O620&gt;=10))</f>
        <v/>
      </c>
      <c r="BE620" s="5" t="str">
        <f aca="false">IF($B620="","",--(AND(F620&lt;&gt;"",F620&lt;=8))+--(AND(G620&lt;&gt;"",G620&lt;=8))+--(AND(H620&lt;&gt;"",H620&lt;=8))+--(AND(I620&lt;&gt;"",I620&lt;=8))+--(AND(J620&lt;&gt;"",J620&lt;=8))+--(AND(K620&lt;&gt;"",K620&lt;=8))+--(AND(L620&lt;&gt;"",L620&lt;=8))+--(AND(M620&lt;&gt;"",M620&lt;=8))+--(AND(N620&lt;&gt;"",N620&lt;=8))+--(AND(O620&lt;&gt;"",O620&lt;=8)))</f>
        <v/>
      </c>
    </row>
    <row r="621" customFormat="false" ht="15" hidden="false" customHeight="false" outlineLevel="0" collapsed="false">
      <c r="AZ621" s="5" t="str">
        <f aca="false">IF($B621="","",SUMPRODUCT(($AL621:$AO621&lt;&gt;"")*(COUNTIF($AP621:$AX621,$AL621:$AO621)&gt;0)))</f>
        <v/>
      </c>
      <c r="BA621" s="5" t="str">
        <f aca="false">IF($B621="","",IF(AZ621&gt;0,1,0))</f>
        <v/>
      </c>
      <c r="BB621" s="5" t="str">
        <f aca="false">IF($AP621="","",IF((($AP621="Engineering and Technology")+($AP621="Science and Mathematics")+($AP621="Computer Science, IT and Allied Fields")+($AP621="Life Sciences /Medicine and Healthcare")+($AP621="Paramedical")+($AP621="Architecture")+($AP621="Environmental Service")+($AP621="Agriculture, Food Industry and Forestry"))&gt;0,"Science",IF((($AP621="Banking and Finance")+($AP621="Management and Administration")+($AP621="Marketing")+($AP621="Sales")+($AP621="Entrepreneurship")+($AP621="Hospitality and Tourism"))&gt;0,"Commerce",IF((($AP621="Social Sciences and Humanities")+($AP621="Law Studies")+($AP621="Education and Training")+($AP621="Art, Design")+($AP621="Entertainment and Mass Media")+($AP621="Community and Social Service")+($AP621="Personal Care and Services")+($AP621="Government and Public Administration")+($AP621="Defence/ Protective Service")+($AP621="Sports"))&gt;0,"Arts / Humanities",""))))</f>
        <v/>
      </c>
      <c r="BC621" s="5" t="str">
        <f aca="false">IF($AL621="","",IF((($AL621="Engineering and Technology")+($AL621="Science and Mathematics")+($AL621="Computer Science, IT and Allied Fields")+($AL621="Life Sciences /Medicine and Healthcare")+($AL621="Paramedical")+($AL621="Architecture")+($AL621="Environmental Service")+($AL621="Agriculture, Food Industry and Forestry"))&gt;0,"Science",IF((($AL621="Banking and Finance")+($AL621="Management and Administration")+($AL621="Marketing")+($AL621="Sales")+($AL621="Entrepreneurship")+($AL621="Hospitality and Tourism"))&gt;0,"Commerce",IF((($AL621="Social Sciences and Humanities")+($AL621="Law Studies")+($AL621="Education and Training")+($AL621="Art, Design")+($AL621="Entertainment and Mass Media")+($AL621="Community and Social Service")+($AL621="Personal Care and Services")+($AL621="Government and Public Administration")+($AL621="Defence/ Protective Service")+($AL621="Sports"))&gt;0,"Arts / Humanities",""))))</f>
        <v/>
      </c>
      <c r="BD621" s="5" t="str">
        <f aca="false">IF($B621="","",--(F621&gt;=10)+--(G621&gt;=10)+--(H621&gt;=10)+--(I621&gt;=10)+--(J621&gt;=10)+--(K621&gt;=10)+--(L621&gt;=10)+--(M621&gt;=10)+--(N621&gt;=10)+--(O621&gt;=10))</f>
        <v/>
      </c>
      <c r="BE621" s="5" t="str">
        <f aca="false">IF($B621="","",--(AND(F621&lt;&gt;"",F621&lt;=8))+--(AND(G621&lt;&gt;"",G621&lt;=8))+--(AND(H621&lt;&gt;"",H621&lt;=8))+--(AND(I621&lt;&gt;"",I621&lt;=8))+--(AND(J621&lt;&gt;"",J621&lt;=8))+--(AND(K621&lt;&gt;"",K621&lt;=8))+--(AND(L621&lt;&gt;"",L621&lt;=8))+--(AND(M621&lt;&gt;"",M621&lt;=8))+--(AND(N621&lt;&gt;"",N621&lt;=8))+--(AND(O621&lt;&gt;"",O621&lt;=8)))</f>
        <v/>
      </c>
    </row>
    <row r="622" customFormat="false" ht="15" hidden="false" customHeight="false" outlineLevel="0" collapsed="false">
      <c r="AZ622" s="5" t="str">
        <f aca="false">IF($B622="","",SUMPRODUCT(($AL622:$AO622&lt;&gt;"")*(COUNTIF($AP622:$AX622,$AL622:$AO622)&gt;0)))</f>
        <v/>
      </c>
      <c r="BA622" s="5" t="str">
        <f aca="false">IF($B622="","",IF(AZ622&gt;0,1,0))</f>
        <v/>
      </c>
      <c r="BB622" s="5" t="str">
        <f aca="false">IF($AP622="","",IF((($AP622="Engineering and Technology")+($AP622="Science and Mathematics")+($AP622="Computer Science, IT and Allied Fields")+($AP622="Life Sciences /Medicine and Healthcare")+($AP622="Paramedical")+($AP622="Architecture")+($AP622="Environmental Service")+($AP622="Agriculture, Food Industry and Forestry"))&gt;0,"Science",IF((($AP622="Banking and Finance")+($AP622="Management and Administration")+($AP622="Marketing")+($AP622="Sales")+($AP622="Entrepreneurship")+($AP622="Hospitality and Tourism"))&gt;0,"Commerce",IF((($AP622="Social Sciences and Humanities")+($AP622="Law Studies")+($AP622="Education and Training")+($AP622="Art, Design")+($AP622="Entertainment and Mass Media")+($AP622="Community and Social Service")+($AP622="Personal Care and Services")+($AP622="Government and Public Administration")+($AP622="Defence/ Protective Service")+($AP622="Sports"))&gt;0,"Arts / Humanities",""))))</f>
        <v/>
      </c>
      <c r="BC622" s="5" t="str">
        <f aca="false">IF($AL622="","",IF((($AL622="Engineering and Technology")+($AL622="Science and Mathematics")+($AL622="Computer Science, IT and Allied Fields")+($AL622="Life Sciences /Medicine and Healthcare")+($AL622="Paramedical")+($AL622="Architecture")+($AL622="Environmental Service")+($AL622="Agriculture, Food Industry and Forestry"))&gt;0,"Science",IF((($AL622="Banking and Finance")+($AL622="Management and Administration")+($AL622="Marketing")+($AL622="Sales")+($AL622="Entrepreneurship")+($AL622="Hospitality and Tourism"))&gt;0,"Commerce",IF((($AL622="Social Sciences and Humanities")+($AL622="Law Studies")+($AL622="Education and Training")+($AL622="Art, Design")+($AL622="Entertainment and Mass Media")+($AL622="Community and Social Service")+($AL622="Personal Care and Services")+($AL622="Government and Public Administration")+($AL622="Defence/ Protective Service")+($AL622="Sports"))&gt;0,"Arts / Humanities",""))))</f>
        <v/>
      </c>
      <c r="BD622" s="5" t="str">
        <f aca="false">IF($B622="","",--(F622&gt;=10)+--(G622&gt;=10)+--(H622&gt;=10)+--(I622&gt;=10)+--(J622&gt;=10)+--(K622&gt;=10)+--(L622&gt;=10)+--(M622&gt;=10)+--(N622&gt;=10)+--(O622&gt;=10))</f>
        <v/>
      </c>
      <c r="BE622" s="5" t="str">
        <f aca="false">IF($B622="","",--(AND(F622&lt;&gt;"",F622&lt;=8))+--(AND(G622&lt;&gt;"",G622&lt;=8))+--(AND(H622&lt;&gt;"",H622&lt;=8))+--(AND(I622&lt;&gt;"",I622&lt;=8))+--(AND(J622&lt;&gt;"",J622&lt;=8))+--(AND(K622&lt;&gt;"",K622&lt;=8))+--(AND(L622&lt;&gt;"",L622&lt;=8))+--(AND(M622&lt;&gt;"",M622&lt;=8))+--(AND(N622&lt;&gt;"",N622&lt;=8))+--(AND(O622&lt;&gt;"",O622&lt;=8)))</f>
        <v/>
      </c>
    </row>
    <row r="623" customFormat="false" ht="15" hidden="false" customHeight="false" outlineLevel="0" collapsed="false">
      <c r="AZ623" s="5" t="str">
        <f aca="false">IF($B623="","",SUMPRODUCT(($AL623:$AO623&lt;&gt;"")*(COUNTIF($AP623:$AX623,$AL623:$AO623)&gt;0)))</f>
        <v/>
      </c>
      <c r="BA623" s="5" t="str">
        <f aca="false">IF($B623="","",IF(AZ623&gt;0,1,0))</f>
        <v/>
      </c>
      <c r="BB623" s="5" t="str">
        <f aca="false">IF($AP623="","",IF((($AP623="Engineering and Technology")+($AP623="Science and Mathematics")+($AP623="Computer Science, IT and Allied Fields")+($AP623="Life Sciences /Medicine and Healthcare")+($AP623="Paramedical")+($AP623="Architecture")+($AP623="Environmental Service")+($AP623="Agriculture, Food Industry and Forestry"))&gt;0,"Science",IF((($AP623="Banking and Finance")+($AP623="Management and Administration")+($AP623="Marketing")+($AP623="Sales")+($AP623="Entrepreneurship")+($AP623="Hospitality and Tourism"))&gt;0,"Commerce",IF((($AP623="Social Sciences and Humanities")+($AP623="Law Studies")+($AP623="Education and Training")+($AP623="Art, Design")+($AP623="Entertainment and Mass Media")+($AP623="Community and Social Service")+($AP623="Personal Care and Services")+($AP623="Government and Public Administration")+($AP623="Defence/ Protective Service")+($AP623="Sports"))&gt;0,"Arts / Humanities",""))))</f>
        <v/>
      </c>
      <c r="BC623" s="5" t="str">
        <f aca="false">IF($AL623="","",IF((($AL623="Engineering and Technology")+($AL623="Science and Mathematics")+($AL623="Computer Science, IT and Allied Fields")+($AL623="Life Sciences /Medicine and Healthcare")+($AL623="Paramedical")+($AL623="Architecture")+($AL623="Environmental Service")+($AL623="Agriculture, Food Industry and Forestry"))&gt;0,"Science",IF((($AL623="Banking and Finance")+($AL623="Management and Administration")+($AL623="Marketing")+($AL623="Sales")+($AL623="Entrepreneurship")+($AL623="Hospitality and Tourism"))&gt;0,"Commerce",IF((($AL623="Social Sciences and Humanities")+($AL623="Law Studies")+($AL623="Education and Training")+($AL623="Art, Design")+($AL623="Entertainment and Mass Media")+($AL623="Community and Social Service")+($AL623="Personal Care and Services")+($AL623="Government and Public Administration")+($AL623="Defence/ Protective Service")+($AL623="Sports"))&gt;0,"Arts / Humanities",""))))</f>
        <v/>
      </c>
      <c r="BD623" s="5" t="str">
        <f aca="false">IF($B623="","",--(F623&gt;=10)+--(G623&gt;=10)+--(H623&gt;=10)+--(I623&gt;=10)+--(J623&gt;=10)+--(K623&gt;=10)+--(L623&gt;=10)+--(M623&gt;=10)+--(N623&gt;=10)+--(O623&gt;=10))</f>
        <v/>
      </c>
      <c r="BE623" s="5" t="str">
        <f aca="false">IF($B623="","",--(AND(F623&lt;&gt;"",F623&lt;=8))+--(AND(G623&lt;&gt;"",G623&lt;=8))+--(AND(H623&lt;&gt;"",H623&lt;=8))+--(AND(I623&lt;&gt;"",I623&lt;=8))+--(AND(J623&lt;&gt;"",J623&lt;=8))+--(AND(K623&lt;&gt;"",K623&lt;=8))+--(AND(L623&lt;&gt;"",L623&lt;=8))+--(AND(M623&lt;&gt;"",M623&lt;=8))+--(AND(N623&lt;&gt;"",N623&lt;=8))+--(AND(O623&lt;&gt;"",O623&lt;=8)))</f>
        <v/>
      </c>
    </row>
    <row r="624" customFormat="false" ht="15" hidden="false" customHeight="false" outlineLevel="0" collapsed="false">
      <c r="AZ624" s="5" t="str">
        <f aca="false">IF($B624="","",SUMPRODUCT(($AL624:$AO624&lt;&gt;"")*(COUNTIF($AP624:$AX624,$AL624:$AO624)&gt;0)))</f>
        <v/>
      </c>
      <c r="BA624" s="5" t="str">
        <f aca="false">IF($B624="","",IF(AZ624&gt;0,1,0))</f>
        <v/>
      </c>
      <c r="BB624" s="5" t="str">
        <f aca="false">IF($AP624="","",IF((($AP624="Engineering and Technology")+($AP624="Science and Mathematics")+($AP624="Computer Science, IT and Allied Fields")+($AP624="Life Sciences /Medicine and Healthcare")+($AP624="Paramedical")+($AP624="Architecture")+($AP624="Environmental Service")+($AP624="Agriculture, Food Industry and Forestry"))&gt;0,"Science",IF((($AP624="Banking and Finance")+($AP624="Management and Administration")+($AP624="Marketing")+($AP624="Sales")+($AP624="Entrepreneurship")+($AP624="Hospitality and Tourism"))&gt;0,"Commerce",IF((($AP624="Social Sciences and Humanities")+($AP624="Law Studies")+($AP624="Education and Training")+($AP624="Art, Design")+($AP624="Entertainment and Mass Media")+($AP624="Community and Social Service")+($AP624="Personal Care and Services")+($AP624="Government and Public Administration")+($AP624="Defence/ Protective Service")+($AP624="Sports"))&gt;0,"Arts / Humanities",""))))</f>
        <v/>
      </c>
      <c r="BC624" s="5" t="str">
        <f aca="false">IF($AL624="","",IF((($AL624="Engineering and Technology")+($AL624="Science and Mathematics")+($AL624="Computer Science, IT and Allied Fields")+($AL624="Life Sciences /Medicine and Healthcare")+($AL624="Paramedical")+($AL624="Architecture")+($AL624="Environmental Service")+($AL624="Agriculture, Food Industry and Forestry"))&gt;0,"Science",IF((($AL624="Banking and Finance")+($AL624="Management and Administration")+($AL624="Marketing")+($AL624="Sales")+($AL624="Entrepreneurship")+($AL624="Hospitality and Tourism"))&gt;0,"Commerce",IF((($AL624="Social Sciences and Humanities")+($AL624="Law Studies")+($AL624="Education and Training")+($AL624="Art, Design")+($AL624="Entertainment and Mass Media")+($AL624="Community and Social Service")+($AL624="Personal Care and Services")+($AL624="Government and Public Administration")+($AL624="Defence/ Protective Service")+($AL624="Sports"))&gt;0,"Arts / Humanities",""))))</f>
        <v/>
      </c>
      <c r="BD624" s="5" t="str">
        <f aca="false">IF($B624="","",--(F624&gt;=10)+--(G624&gt;=10)+--(H624&gt;=10)+--(I624&gt;=10)+--(J624&gt;=10)+--(K624&gt;=10)+--(L624&gt;=10)+--(M624&gt;=10)+--(N624&gt;=10)+--(O624&gt;=10))</f>
        <v/>
      </c>
      <c r="BE624" s="5" t="str">
        <f aca="false">IF($B624="","",--(AND(F624&lt;&gt;"",F624&lt;=8))+--(AND(G624&lt;&gt;"",G624&lt;=8))+--(AND(H624&lt;&gt;"",H624&lt;=8))+--(AND(I624&lt;&gt;"",I624&lt;=8))+--(AND(J624&lt;&gt;"",J624&lt;=8))+--(AND(K624&lt;&gt;"",K624&lt;=8))+--(AND(L624&lt;&gt;"",L624&lt;=8))+--(AND(M624&lt;&gt;"",M624&lt;=8))+--(AND(N624&lt;&gt;"",N624&lt;=8))+--(AND(O624&lt;&gt;"",O624&lt;=8)))</f>
        <v/>
      </c>
    </row>
    <row r="625" customFormat="false" ht="15" hidden="false" customHeight="false" outlineLevel="0" collapsed="false">
      <c r="AZ625" s="5" t="str">
        <f aca="false">IF($B625="","",SUMPRODUCT(($AL625:$AO625&lt;&gt;"")*(COUNTIF($AP625:$AX625,$AL625:$AO625)&gt;0)))</f>
        <v/>
      </c>
      <c r="BA625" s="5" t="str">
        <f aca="false">IF($B625="","",IF(AZ625&gt;0,1,0))</f>
        <v/>
      </c>
      <c r="BB625" s="5" t="str">
        <f aca="false">IF($AP625="","",IF((($AP625="Engineering and Technology")+($AP625="Science and Mathematics")+($AP625="Computer Science, IT and Allied Fields")+($AP625="Life Sciences /Medicine and Healthcare")+($AP625="Paramedical")+($AP625="Architecture")+($AP625="Environmental Service")+($AP625="Agriculture, Food Industry and Forestry"))&gt;0,"Science",IF((($AP625="Banking and Finance")+($AP625="Management and Administration")+($AP625="Marketing")+($AP625="Sales")+($AP625="Entrepreneurship")+($AP625="Hospitality and Tourism"))&gt;0,"Commerce",IF((($AP625="Social Sciences and Humanities")+($AP625="Law Studies")+($AP625="Education and Training")+($AP625="Art, Design")+($AP625="Entertainment and Mass Media")+($AP625="Community and Social Service")+($AP625="Personal Care and Services")+($AP625="Government and Public Administration")+($AP625="Defence/ Protective Service")+($AP625="Sports"))&gt;0,"Arts / Humanities",""))))</f>
        <v/>
      </c>
      <c r="BC625" s="5" t="str">
        <f aca="false">IF($AL625="","",IF((($AL625="Engineering and Technology")+($AL625="Science and Mathematics")+($AL625="Computer Science, IT and Allied Fields")+($AL625="Life Sciences /Medicine and Healthcare")+($AL625="Paramedical")+($AL625="Architecture")+($AL625="Environmental Service")+($AL625="Agriculture, Food Industry and Forestry"))&gt;0,"Science",IF((($AL625="Banking and Finance")+($AL625="Management and Administration")+($AL625="Marketing")+($AL625="Sales")+($AL625="Entrepreneurship")+($AL625="Hospitality and Tourism"))&gt;0,"Commerce",IF((($AL625="Social Sciences and Humanities")+($AL625="Law Studies")+($AL625="Education and Training")+($AL625="Art, Design")+($AL625="Entertainment and Mass Media")+($AL625="Community and Social Service")+($AL625="Personal Care and Services")+($AL625="Government and Public Administration")+($AL625="Defence/ Protective Service")+($AL625="Sports"))&gt;0,"Arts / Humanities",""))))</f>
        <v/>
      </c>
      <c r="BD625" s="5" t="str">
        <f aca="false">IF($B625="","",--(F625&gt;=10)+--(G625&gt;=10)+--(H625&gt;=10)+--(I625&gt;=10)+--(J625&gt;=10)+--(K625&gt;=10)+--(L625&gt;=10)+--(M625&gt;=10)+--(N625&gt;=10)+--(O625&gt;=10))</f>
        <v/>
      </c>
      <c r="BE625" s="5" t="str">
        <f aca="false">IF($B625="","",--(AND(F625&lt;&gt;"",F625&lt;=8))+--(AND(G625&lt;&gt;"",G625&lt;=8))+--(AND(H625&lt;&gt;"",H625&lt;=8))+--(AND(I625&lt;&gt;"",I625&lt;=8))+--(AND(J625&lt;&gt;"",J625&lt;=8))+--(AND(K625&lt;&gt;"",K625&lt;=8))+--(AND(L625&lt;&gt;"",L625&lt;=8))+--(AND(M625&lt;&gt;"",M625&lt;=8))+--(AND(N625&lt;&gt;"",N625&lt;=8))+--(AND(O625&lt;&gt;"",O625&lt;=8)))</f>
        <v/>
      </c>
    </row>
    <row r="626" customFormat="false" ht="15" hidden="false" customHeight="false" outlineLevel="0" collapsed="false">
      <c r="AZ626" s="5" t="str">
        <f aca="false">IF($B626="","",SUMPRODUCT(($AL626:$AO626&lt;&gt;"")*(COUNTIF($AP626:$AX626,$AL626:$AO626)&gt;0)))</f>
        <v/>
      </c>
      <c r="BA626" s="5" t="str">
        <f aca="false">IF($B626="","",IF(AZ626&gt;0,1,0))</f>
        <v/>
      </c>
      <c r="BB626" s="5" t="str">
        <f aca="false">IF($AP626="","",IF((($AP626="Engineering and Technology")+($AP626="Science and Mathematics")+($AP626="Computer Science, IT and Allied Fields")+($AP626="Life Sciences /Medicine and Healthcare")+($AP626="Paramedical")+($AP626="Architecture")+($AP626="Environmental Service")+($AP626="Agriculture, Food Industry and Forestry"))&gt;0,"Science",IF((($AP626="Banking and Finance")+($AP626="Management and Administration")+($AP626="Marketing")+($AP626="Sales")+($AP626="Entrepreneurship")+($AP626="Hospitality and Tourism"))&gt;0,"Commerce",IF((($AP626="Social Sciences and Humanities")+($AP626="Law Studies")+($AP626="Education and Training")+($AP626="Art, Design")+($AP626="Entertainment and Mass Media")+($AP626="Community and Social Service")+($AP626="Personal Care and Services")+($AP626="Government and Public Administration")+($AP626="Defence/ Protective Service")+($AP626="Sports"))&gt;0,"Arts / Humanities",""))))</f>
        <v/>
      </c>
      <c r="BC626" s="5" t="str">
        <f aca="false">IF($AL626="","",IF((($AL626="Engineering and Technology")+($AL626="Science and Mathematics")+($AL626="Computer Science, IT and Allied Fields")+($AL626="Life Sciences /Medicine and Healthcare")+($AL626="Paramedical")+($AL626="Architecture")+($AL626="Environmental Service")+($AL626="Agriculture, Food Industry and Forestry"))&gt;0,"Science",IF((($AL626="Banking and Finance")+($AL626="Management and Administration")+($AL626="Marketing")+($AL626="Sales")+($AL626="Entrepreneurship")+($AL626="Hospitality and Tourism"))&gt;0,"Commerce",IF((($AL626="Social Sciences and Humanities")+($AL626="Law Studies")+($AL626="Education and Training")+($AL626="Art, Design")+($AL626="Entertainment and Mass Media")+($AL626="Community and Social Service")+($AL626="Personal Care and Services")+($AL626="Government and Public Administration")+($AL626="Defence/ Protective Service")+($AL626="Sports"))&gt;0,"Arts / Humanities",""))))</f>
        <v/>
      </c>
      <c r="BD626" s="5" t="str">
        <f aca="false">IF($B626="","",--(F626&gt;=10)+--(G626&gt;=10)+--(H626&gt;=10)+--(I626&gt;=10)+--(J626&gt;=10)+--(K626&gt;=10)+--(L626&gt;=10)+--(M626&gt;=10)+--(N626&gt;=10)+--(O626&gt;=10))</f>
        <v/>
      </c>
      <c r="BE626" s="5" t="str">
        <f aca="false">IF($B626="","",--(AND(F626&lt;&gt;"",F626&lt;=8))+--(AND(G626&lt;&gt;"",G626&lt;=8))+--(AND(H626&lt;&gt;"",H626&lt;=8))+--(AND(I626&lt;&gt;"",I626&lt;=8))+--(AND(J626&lt;&gt;"",J626&lt;=8))+--(AND(K626&lt;&gt;"",K626&lt;=8))+--(AND(L626&lt;&gt;"",L626&lt;=8))+--(AND(M626&lt;&gt;"",M626&lt;=8))+--(AND(N626&lt;&gt;"",N626&lt;=8))+--(AND(O626&lt;&gt;"",O626&lt;=8)))</f>
        <v/>
      </c>
    </row>
    <row r="627" customFormat="false" ht="15" hidden="false" customHeight="false" outlineLevel="0" collapsed="false">
      <c r="AZ627" s="5" t="str">
        <f aca="false">IF($B627="","",SUMPRODUCT(($AL627:$AO627&lt;&gt;"")*(COUNTIF($AP627:$AX627,$AL627:$AO627)&gt;0)))</f>
        <v/>
      </c>
      <c r="BA627" s="5" t="str">
        <f aca="false">IF($B627="","",IF(AZ627&gt;0,1,0))</f>
        <v/>
      </c>
      <c r="BB627" s="5" t="str">
        <f aca="false">IF($AP627="","",IF((($AP627="Engineering and Technology")+($AP627="Science and Mathematics")+($AP627="Computer Science, IT and Allied Fields")+($AP627="Life Sciences /Medicine and Healthcare")+($AP627="Paramedical")+($AP627="Architecture")+($AP627="Environmental Service")+($AP627="Agriculture, Food Industry and Forestry"))&gt;0,"Science",IF((($AP627="Banking and Finance")+($AP627="Management and Administration")+($AP627="Marketing")+($AP627="Sales")+($AP627="Entrepreneurship")+($AP627="Hospitality and Tourism"))&gt;0,"Commerce",IF((($AP627="Social Sciences and Humanities")+($AP627="Law Studies")+($AP627="Education and Training")+($AP627="Art, Design")+($AP627="Entertainment and Mass Media")+($AP627="Community and Social Service")+($AP627="Personal Care and Services")+($AP627="Government and Public Administration")+($AP627="Defence/ Protective Service")+($AP627="Sports"))&gt;0,"Arts / Humanities",""))))</f>
        <v/>
      </c>
      <c r="BC627" s="5" t="str">
        <f aca="false">IF($AL627="","",IF((($AL627="Engineering and Technology")+($AL627="Science and Mathematics")+($AL627="Computer Science, IT and Allied Fields")+($AL627="Life Sciences /Medicine and Healthcare")+($AL627="Paramedical")+($AL627="Architecture")+($AL627="Environmental Service")+($AL627="Agriculture, Food Industry and Forestry"))&gt;0,"Science",IF((($AL627="Banking and Finance")+($AL627="Management and Administration")+($AL627="Marketing")+($AL627="Sales")+($AL627="Entrepreneurship")+($AL627="Hospitality and Tourism"))&gt;0,"Commerce",IF((($AL627="Social Sciences and Humanities")+($AL627="Law Studies")+($AL627="Education and Training")+($AL627="Art, Design")+($AL627="Entertainment and Mass Media")+($AL627="Community and Social Service")+($AL627="Personal Care and Services")+($AL627="Government and Public Administration")+($AL627="Defence/ Protective Service")+($AL627="Sports"))&gt;0,"Arts / Humanities",""))))</f>
        <v/>
      </c>
      <c r="BD627" s="5" t="str">
        <f aca="false">IF($B627="","",--(F627&gt;=10)+--(G627&gt;=10)+--(H627&gt;=10)+--(I627&gt;=10)+--(J627&gt;=10)+--(K627&gt;=10)+--(L627&gt;=10)+--(M627&gt;=10)+--(N627&gt;=10)+--(O627&gt;=10))</f>
        <v/>
      </c>
      <c r="BE627" s="5" t="str">
        <f aca="false">IF($B627="","",--(AND(F627&lt;&gt;"",F627&lt;=8))+--(AND(G627&lt;&gt;"",G627&lt;=8))+--(AND(H627&lt;&gt;"",H627&lt;=8))+--(AND(I627&lt;&gt;"",I627&lt;=8))+--(AND(J627&lt;&gt;"",J627&lt;=8))+--(AND(K627&lt;&gt;"",K627&lt;=8))+--(AND(L627&lt;&gt;"",L627&lt;=8))+--(AND(M627&lt;&gt;"",M627&lt;=8))+--(AND(N627&lt;&gt;"",N627&lt;=8))+--(AND(O627&lt;&gt;"",O627&lt;=8)))</f>
        <v/>
      </c>
    </row>
    <row r="628" customFormat="false" ht="15" hidden="false" customHeight="false" outlineLevel="0" collapsed="false">
      <c r="AZ628" s="5" t="str">
        <f aca="false">IF($B628="","",SUMPRODUCT(($AL628:$AO628&lt;&gt;"")*(COUNTIF($AP628:$AX628,$AL628:$AO628)&gt;0)))</f>
        <v/>
      </c>
      <c r="BA628" s="5" t="str">
        <f aca="false">IF($B628="","",IF(AZ628&gt;0,1,0))</f>
        <v/>
      </c>
      <c r="BB628" s="5" t="str">
        <f aca="false">IF($AP628="","",IF((($AP628="Engineering and Technology")+($AP628="Science and Mathematics")+($AP628="Computer Science, IT and Allied Fields")+($AP628="Life Sciences /Medicine and Healthcare")+($AP628="Paramedical")+($AP628="Architecture")+($AP628="Environmental Service")+($AP628="Agriculture, Food Industry and Forestry"))&gt;0,"Science",IF((($AP628="Banking and Finance")+($AP628="Management and Administration")+($AP628="Marketing")+($AP628="Sales")+($AP628="Entrepreneurship")+($AP628="Hospitality and Tourism"))&gt;0,"Commerce",IF((($AP628="Social Sciences and Humanities")+($AP628="Law Studies")+($AP628="Education and Training")+($AP628="Art, Design")+($AP628="Entertainment and Mass Media")+($AP628="Community and Social Service")+($AP628="Personal Care and Services")+($AP628="Government and Public Administration")+($AP628="Defence/ Protective Service")+($AP628="Sports"))&gt;0,"Arts / Humanities",""))))</f>
        <v/>
      </c>
      <c r="BC628" s="5" t="str">
        <f aca="false">IF($AL628="","",IF((($AL628="Engineering and Technology")+($AL628="Science and Mathematics")+($AL628="Computer Science, IT and Allied Fields")+($AL628="Life Sciences /Medicine and Healthcare")+($AL628="Paramedical")+($AL628="Architecture")+($AL628="Environmental Service")+($AL628="Agriculture, Food Industry and Forestry"))&gt;0,"Science",IF((($AL628="Banking and Finance")+($AL628="Management and Administration")+($AL628="Marketing")+($AL628="Sales")+($AL628="Entrepreneurship")+($AL628="Hospitality and Tourism"))&gt;0,"Commerce",IF((($AL628="Social Sciences and Humanities")+($AL628="Law Studies")+($AL628="Education and Training")+($AL628="Art, Design")+($AL628="Entertainment and Mass Media")+($AL628="Community and Social Service")+($AL628="Personal Care and Services")+($AL628="Government and Public Administration")+($AL628="Defence/ Protective Service")+($AL628="Sports"))&gt;0,"Arts / Humanities",""))))</f>
        <v/>
      </c>
      <c r="BD628" s="5" t="str">
        <f aca="false">IF($B628="","",--(F628&gt;=10)+--(G628&gt;=10)+--(H628&gt;=10)+--(I628&gt;=10)+--(J628&gt;=10)+--(K628&gt;=10)+--(L628&gt;=10)+--(M628&gt;=10)+--(N628&gt;=10)+--(O628&gt;=10))</f>
        <v/>
      </c>
      <c r="BE628" s="5" t="str">
        <f aca="false">IF($B628="","",--(AND(F628&lt;&gt;"",F628&lt;=8))+--(AND(G628&lt;&gt;"",G628&lt;=8))+--(AND(H628&lt;&gt;"",H628&lt;=8))+--(AND(I628&lt;&gt;"",I628&lt;=8))+--(AND(J628&lt;&gt;"",J628&lt;=8))+--(AND(K628&lt;&gt;"",K628&lt;=8))+--(AND(L628&lt;&gt;"",L628&lt;=8))+--(AND(M628&lt;&gt;"",M628&lt;=8))+--(AND(N628&lt;&gt;"",N628&lt;=8))+--(AND(O628&lt;&gt;"",O628&lt;=8)))</f>
        <v/>
      </c>
    </row>
    <row r="629" customFormat="false" ht="15" hidden="false" customHeight="false" outlineLevel="0" collapsed="false">
      <c r="AZ629" s="5" t="str">
        <f aca="false">IF($B629="","",SUMPRODUCT(($AL629:$AO629&lt;&gt;"")*(COUNTIF($AP629:$AX629,$AL629:$AO629)&gt;0)))</f>
        <v/>
      </c>
      <c r="BA629" s="5" t="str">
        <f aca="false">IF($B629="","",IF(AZ629&gt;0,1,0))</f>
        <v/>
      </c>
      <c r="BB629" s="5" t="str">
        <f aca="false">IF($AP629="","",IF((($AP629="Engineering and Technology")+($AP629="Science and Mathematics")+($AP629="Computer Science, IT and Allied Fields")+($AP629="Life Sciences /Medicine and Healthcare")+($AP629="Paramedical")+($AP629="Architecture")+($AP629="Environmental Service")+($AP629="Agriculture, Food Industry and Forestry"))&gt;0,"Science",IF((($AP629="Banking and Finance")+($AP629="Management and Administration")+($AP629="Marketing")+($AP629="Sales")+($AP629="Entrepreneurship")+($AP629="Hospitality and Tourism"))&gt;0,"Commerce",IF((($AP629="Social Sciences and Humanities")+($AP629="Law Studies")+($AP629="Education and Training")+($AP629="Art, Design")+($AP629="Entertainment and Mass Media")+($AP629="Community and Social Service")+($AP629="Personal Care and Services")+($AP629="Government and Public Administration")+($AP629="Defence/ Protective Service")+($AP629="Sports"))&gt;0,"Arts / Humanities",""))))</f>
        <v/>
      </c>
      <c r="BC629" s="5" t="str">
        <f aca="false">IF($AL629="","",IF((($AL629="Engineering and Technology")+($AL629="Science and Mathematics")+($AL629="Computer Science, IT and Allied Fields")+($AL629="Life Sciences /Medicine and Healthcare")+($AL629="Paramedical")+($AL629="Architecture")+($AL629="Environmental Service")+($AL629="Agriculture, Food Industry and Forestry"))&gt;0,"Science",IF((($AL629="Banking and Finance")+($AL629="Management and Administration")+($AL629="Marketing")+($AL629="Sales")+($AL629="Entrepreneurship")+($AL629="Hospitality and Tourism"))&gt;0,"Commerce",IF((($AL629="Social Sciences and Humanities")+($AL629="Law Studies")+($AL629="Education and Training")+($AL629="Art, Design")+($AL629="Entertainment and Mass Media")+($AL629="Community and Social Service")+($AL629="Personal Care and Services")+($AL629="Government and Public Administration")+($AL629="Defence/ Protective Service")+($AL629="Sports"))&gt;0,"Arts / Humanities",""))))</f>
        <v/>
      </c>
      <c r="BD629" s="5" t="str">
        <f aca="false">IF($B629="","",--(F629&gt;=10)+--(G629&gt;=10)+--(H629&gt;=10)+--(I629&gt;=10)+--(J629&gt;=10)+--(K629&gt;=10)+--(L629&gt;=10)+--(M629&gt;=10)+--(N629&gt;=10)+--(O629&gt;=10))</f>
        <v/>
      </c>
      <c r="BE629" s="5" t="str">
        <f aca="false">IF($B629="","",--(AND(F629&lt;&gt;"",F629&lt;=8))+--(AND(G629&lt;&gt;"",G629&lt;=8))+--(AND(H629&lt;&gt;"",H629&lt;=8))+--(AND(I629&lt;&gt;"",I629&lt;=8))+--(AND(J629&lt;&gt;"",J629&lt;=8))+--(AND(K629&lt;&gt;"",K629&lt;=8))+--(AND(L629&lt;&gt;"",L629&lt;=8))+--(AND(M629&lt;&gt;"",M629&lt;=8))+--(AND(N629&lt;&gt;"",N629&lt;=8))+--(AND(O629&lt;&gt;"",O629&lt;=8)))</f>
        <v/>
      </c>
    </row>
    <row r="630" customFormat="false" ht="15" hidden="false" customHeight="false" outlineLevel="0" collapsed="false">
      <c r="AZ630" s="5" t="str">
        <f aca="false">IF($B630="","",SUMPRODUCT(($AL630:$AO630&lt;&gt;"")*(COUNTIF($AP630:$AX630,$AL630:$AO630)&gt;0)))</f>
        <v/>
      </c>
      <c r="BA630" s="5" t="str">
        <f aca="false">IF($B630="","",IF(AZ630&gt;0,1,0))</f>
        <v/>
      </c>
      <c r="BB630" s="5" t="str">
        <f aca="false">IF($AP630="","",IF((($AP630="Engineering and Technology")+($AP630="Science and Mathematics")+($AP630="Computer Science, IT and Allied Fields")+($AP630="Life Sciences /Medicine and Healthcare")+($AP630="Paramedical")+($AP630="Architecture")+($AP630="Environmental Service")+($AP630="Agriculture, Food Industry and Forestry"))&gt;0,"Science",IF((($AP630="Banking and Finance")+($AP630="Management and Administration")+($AP630="Marketing")+($AP630="Sales")+($AP630="Entrepreneurship")+($AP630="Hospitality and Tourism"))&gt;0,"Commerce",IF((($AP630="Social Sciences and Humanities")+($AP630="Law Studies")+($AP630="Education and Training")+($AP630="Art, Design")+($AP630="Entertainment and Mass Media")+($AP630="Community and Social Service")+($AP630="Personal Care and Services")+($AP630="Government and Public Administration")+($AP630="Defence/ Protective Service")+($AP630="Sports"))&gt;0,"Arts / Humanities",""))))</f>
        <v/>
      </c>
      <c r="BC630" s="5" t="str">
        <f aca="false">IF($AL630="","",IF((($AL630="Engineering and Technology")+($AL630="Science and Mathematics")+($AL630="Computer Science, IT and Allied Fields")+($AL630="Life Sciences /Medicine and Healthcare")+($AL630="Paramedical")+($AL630="Architecture")+($AL630="Environmental Service")+($AL630="Agriculture, Food Industry and Forestry"))&gt;0,"Science",IF((($AL630="Banking and Finance")+($AL630="Management and Administration")+($AL630="Marketing")+($AL630="Sales")+($AL630="Entrepreneurship")+($AL630="Hospitality and Tourism"))&gt;0,"Commerce",IF((($AL630="Social Sciences and Humanities")+($AL630="Law Studies")+($AL630="Education and Training")+($AL630="Art, Design")+($AL630="Entertainment and Mass Media")+($AL630="Community and Social Service")+($AL630="Personal Care and Services")+($AL630="Government and Public Administration")+($AL630="Defence/ Protective Service")+($AL630="Sports"))&gt;0,"Arts / Humanities",""))))</f>
        <v/>
      </c>
      <c r="BD630" s="5" t="str">
        <f aca="false">IF($B630="","",--(F630&gt;=10)+--(G630&gt;=10)+--(H630&gt;=10)+--(I630&gt;=10)+--(J630&gt;=10)+--(K630&gt;=10)+--(L630&gt;=10)+--(M630&gt;=10)+--(N630&gt;=10)+--(O630&gt;=10))</f>
        <v/>
      </c>
      <c r="BE630" s="5" t="str">
        <f aca="false">IF($B630="","",--(AND(F630&lt;&gt;"",F630&lt;=8))+--(AND(G630&lt;&gt;"",G630&lt;=8))+--(AND(H630&lt;&gt;"",H630&lt;=8))+--(AND(I630&lt;&gt;"",I630&lt;=8))+--(AND(J630&lt;&gt;"",J630&lt;=8))+--(AND(K630&lt;&gt;"",K630&lt;=8))+--(AND(L630&lt;&gt;"",L630&lt;=8))+--(AND(M630&lt;&gt;"",M630&lt;=8))+--(AND(N630&lt;&gt;"",N630&lt;=8))+--(AND(O630&lt;&gt;"",O630&lt;=8)))</f>
        <v/>
      </c>
    </row>
    <row r="631" customFormat="false" ht="15" hidden="false" customHeight="false" outlineLevel="0" collapsed="false">
      <c r="AZ631" s="5" t="str">
        <f aca="false">IF($B631="","",SUMPRODUCT(($AL631:$AO631&lt;&gt;"")*(COUNTIF($AP631:$AX631,$AL631:$AO631)&gt;0)))</f>
        <v/>
      </c>
      <c r="BA631" s="5" t="str">
        <f aca="false">IF($B631="","",IF(AZ631&gt;0,1,0))</f>
        <v/>
      </c>
      <c r="BB631" s="5" t="str">
        <f aca="false">IF($AP631="","",IF((($AP631="Engineering and Technology")+($AP631="Science and Mathematics")+($AP631="Computer Science, IT and Allied Fields")+($AP631="Life Sciences /Medicine and Healthcare")+($AP631="Paramedical")+($AP631="Architecture")+($AP631="Environmental Service")+($AP631="Agriculture, Food Industry and Forestry"))&gt;0,"Science",IF((($AP631="Banking and Finance")+($AP631="Management and Administration")+($AP631="Marketing")+($AP631="Sales")+($AP631="Entrepreneurship")+($AP631="Hospitality and Tourism"))&gt;0,"Commerce",IF((($AP631="Social Sciences and Humanities")+($AP631="Law Studies")+($AP631="Education and Training")+($AP631="Art, Design")+($AP631="Entertainment and Mass Media")+($AP631="Community and Social Service")+($AP631="Personal Care and Services")+($AP631="Government and Public Administration")+($AP631="Defence/ Protective Service")+($AP631="Sports"))&gt;0,"Arts / Humanities",""))))</f>
        <v/>
      </c>
      <c r="BC631" s="5" t="str">
        <f aca="false">IF($AL631="","",IF((($AL631="Engineering and Technology")+($AL631="Science and Mathematics")+($AL631="Computer Science, IT and Allied Fields")+($AL631="Life Sciences /Medicine and Healthcare")+($AL631="Paramedical")+($AL631="Architecture")+($AL631="Environmental Service")+($AL631="Agriculture, Food Industry and Forestry"))&gt;0,"Science",IF((($AL631="Banking and Finance")+($AL631="Management and Administration")+($AL631="Marketing")+($AL631="Sales")+($AL631="Entrepreneurship")+($AL631="Hospitality and Tourism"))&gt;0,"Commerce",IF((($AL631="Social Sciences and Humanities")+($AL631="Law Studies")+($AL631="Education and Training")+($AL631="Art, Design")+($AL631="Entertainment and Mass Media")+($AL631="Community and Social Service")+($AL631="Personal Care and Services")+($AL631="Government and Public Administration")+($AL631="Defence/ Protective Service")+($AL631="Sports"))&gt;0,"Arts / Humanities",""))))</f>
        <v/>
      </c>
      <c r="BD631" s="5" t="str">
        <f aca="false">IF($B631="","",--(F631&gt;=10)+--(G631&gt;=10)+--(H631&gt;=10)+--(I631&gt;=10)+--(J631&gt;=10)+--(K631&gt;=10)+--(L631&gt;=10)+--(M631&gt;=10)+--(N631&gt;=10)+--(O631&gt;=10))</f>
        <v/>
      </c>
      <c r="BE631" s="5" t="str">
        <f aca="false">IF($B631="","",--(AND(F631&lt;&gt;"",F631&lt;=8))+--(AND(G631&lt;&gt;"",G631&lt;=8))+--(AND(H631&lt;&gt;"",H631&lt;=8))+--(AND(I631&lt;&gt;"",I631&lt;=8))+--(AND(J631&lt;&gt;"",J631&lt;=8))+--(AND(K631&lt;&gt;"",K631&lt;=8))+--(AND(L631&lt;&gt;"",L631&lt;=8))+--(AND(M631&lt;&gt;"",M631&lt;=8))+--(AND(N631&lt;&gt;"",N631&lt;=8))+--(AND(O631&lt;&gt;"",O631&lt;=8)))</f>
        <v/>
      </c>
    </row>
    <row r="632" customFormat="false" ht="15" hidden="false" customHeight="false" outlineLevel="0" collapsed="false">
      <c r="AZ632" s="5" t="str">
        <f aca="false">IF($B632="","",SUMPRODUCT(($AL632:$AO632&lt;&gt;"")*(COUNTIF($AP632:$AX632,$AL632:$AO632)&gt;0)))</f>
        <v/>
      </c>
      <c r="BA632" s="5" t="str">
        <f aca="false">IF($B632="","",IF(AZ632&gt;0,1,0))</f>
        <v/>
      </c>
      <c r="BB632" s="5" t="str">
        <f aca="false">IF($AP632="","",IF((($AP632="Engineering and Technology")+($AP632="Science and Mathematics")+($AP632="Computer Science, IT and Allied Fields")+($AP632="Life Sciences /Medicine and Healthcare")+($AP632="Paramedical")+($AP632="Architecture")+($AP632="Environmental Service")+($AP632="Agriculture, Food Industry and Forestry"))&gt;0,"Science",IF((($AP632="Banking and Finance")+($AP632="Management and Administration")+($AP632="Marketing")+($AP632="Sales")+($AP632="Entrepreneurship")+($AP632="Hospitality and Tourism"))&gt;0,"Commerce",IF((($AP632="Social Sciences and Humanities")+($AP632="Law Studies")+($AP632="Education and Training")+($AP632="Art, Design")+($AP632="Entertainment and Mass Media")+($AP632="Community and Social Service")+($AP632="Personal Care and Services")+($AP632="Government and Public Administration")+($AP632="Defence/ Protective Service")+($AP632="Sports"))&gt;0,"Arts / Humanities",""))))</f>
        <v/>
      </c>
      <c r="BC632" s="5" t="str">
        <f aca="false">IF($AL632="","",IF((($AL632="Engineering and Technology")+($AL632="Science and Mathematics")+($AL632="Computer Science, IT and Allied Fields")+($AL632="Life Sciences /Medicine and Healthcare")+($AL632="Paramedical")+($AL632="Architecture")+($AL632="Environmental Service")+($AL632="Agriculture, Food Industry and Forestry"))&gt;0,"Science",IF((($AL632="Banking and Finance")+($AL632="Management and Administration")+($AL632="Marketing")+($AL632="Sales")+($AL632="Entrepreneurship")+($AL632="Hospitality and Tourism"))&gt;0,"Commerce",IF((($AL632="Social Sciences and Humanities")+($AL632="Law Studies")+($AL632="Education and Training")+($AL632="Art, Design")+($AL632="Entertainment and Mass Media")+($AL632="Community and Social Service")+($AL632="Personal Care and Services")+($AL632="Government and Public Administration")+($AL632="Defence/ Protective Service")+($AL632="Sports"))&gt;0,"Arts / Humanities",""))))</f>
        <v/>
      </c>
      <c r="BD632" s="5" t="str">
        <f aca="false">IF($B632="","",--(F632&gt;=10)+--(G632&gt;=10)+--(H632&gt;=10)+--(I632&gt;=10)+--(J632&gt;=10)+--(K632&gt;=10)+--(L632&gt;=10)+--(M632&gt;=10)+--(N632&gt;=10)+--(O632&gt;=10))</f>
        <v/>
      </c>
      <c r="BE632" s="5" t="str">
        <f aca="false">IF($B632="","",--(AND(F632&lt;&gt;"",F632&lt;=8))+--(AND(G632&lt;&gt;"",G632&lt;=8))+--(AND(H632&lt;&gt;"",H632&lt;=8))+--(AND(I632&lt;&gt;"",I632&lt;=8))+--(AND(J632&lt;&gt;"",J632&lt;=8))+--(AND(K632&lt;&gt;"",K632&lt;=8))+--(AND(L632&lt;&gt;"",L632&lt;=8))+--(AND(M632&lt;&gt;"",M632&lt;=8))+--(AND(N632&lt;&gt;"",N632&lt;=8))+--(AND(O632&lt;&gt;"",O632&lt;=8)))</f>
        <v/>
      </c>
    </row>
    <row r="633" customFormat="false" ht="15" hidden="false" customHeight="false" outlineLevel="0" collapsed="false">
      <c r="AZ633" s="5" t="str">
        <f aca="false">IF($B633="","",SUMPRODUCT(($AL633:$AO633&lt;&gt;"")*(COUNTIF($AP633:$AX633,$AL633:$AO633)&gt;0)))</f>
        <v/>
      </c>
      <c r="BA633" s="5" t="str">
        <f aca="false">IF($B633="","",IF(AZ633&gt;0,1,0))</f>
        <v/>
      </c>
      <c r="BB633" s="5" t="str">
        <f aca="false">IF($AP633="","",IF((($AP633="Engineering and Technology")+($AP633="Science and Mathematics")+($AP633="Computer Science, IT and Allied Fields")+($AP633="Life Sciences /Medicine and Healthcare")+($AP633="Paramedical")+($AP633="Architecture")+($AP633="Environmental Service")+($AP633="Agriculture, Food Industry and Forestry"))&gt;0,"Science",IF((($AP633="Banking and Finance")+($AP633="Management and Administration")+($AP633="Marketing")+($AP633="Sales")+($AP633="Entrepreneurship")+($AP633="Hospitality and Tourism"))&gt;0,"Commerce",IF((($AP633="Social Sciences and Humanities")+($AP633="Law Studies")+($AP633="Education and Training")+($AP633="Art, Design")+($AP633="Entertainment and Mass Media")+($AP633="Community and Social Service")+($AP633="Personal Care and Services")+($AP633="Government and Public Administration")+($AP633="Defence/ Protective Service")+($AP633="Sports"))&gt;0,"Arts / Humanities",""))))</f>
        <v/>
      </c>
      <c r="BC633" s="5" t="str">
        <f aca="false">IF($AL633="","",IF((($AL633="Engineering and Technology")+($AL633="Science and Mathematics")+($AL633="Computer Science, IT and Allied Fields")+($AL633="Life Sciences /Medicine and Healthcare")+($AL633="Paramedical")+($AL633="Architecture")+($AL633="Environmental Service")+($AL633="Agriculture, Food Industry and Forestry"))&gt;0,"Science",IF((($AL633="Banking and Finance")+($AL633="Management and Administration")+($AL633="Marketing")+($AL633="Sales")+($AL633="Entrepreneurship")+($AL633="Hospitality and Tourism"))&gt;0,"Commerce",IF((($AL633="Social Sciences and Humanities")+($AL633="Law Studies")+($AL633="Education and Training")+($AL633="Art, Design")+($AL633="Entertainment and Mass Media")+($AL633="Community and Social Service")+($AL633="Personal Care and Services")+($AL633="Government and Public Administration")+($AL633="Defence/ Protective Service")+($AL633="Sports"))&gt;0,"Arts / Humanities",""))))</f>
        <v/>
      </c>
      <c r="BD633" s="5" t="str">
        <f aca="false">IF($B633="","",--(F633&gt;=10)+--(G633&gt;=10)+--(H633&gt;=10)+--(I633&gt;=10)+--(J633&gt;=10)+--(K633&gt;=10)+--(L633&gt;=10)+--(M633&gt;=10)+--(N633&gt;=10)+--(O633&gt;=10))</f>
        <v/>
      </c>
      <c r="BE633" s="5" t="str">
        <f aca="false">IF($B633="","",--(AND(F633&lt;&gt;"",F633&lt;=8))+--(AND(G633&lt;&gt;"",G633&lt;=8))+--(AND(H633&lt;&gt;"",H633&lt;=8))+--(AND(I633&lt;&gt;"",I633&lt;=8))+--(AND(J633&lt;&gt;"",J633&lt;=8))+--(AND(K633&lt;&gt;"",K633&lt;=8))+--(AND(L633&lt;&gt;"",L633&lt;=8))+--(AND(M633&lt;&gt;"",M633&lt;=8))+--(AND(N633&lt;&gt;"",N633&lt;=8))+--(AND(O633&lt;&gt;"",O633&lt;=8)))</f>
        <v/>
      </c>
    </row>
    <row r="634" customFormat="false" ht="15" hidden="false" customHeight="false" outlineLevel="0" collapsed="false">
      <c r="AZ634" s="5" t="str">
        <f aca="false">IF($B634="","",SUMPRODUCT(($AL634:$AO634&lt;&gt;"")*(COUNTIF($AP634:$AX634,$AL634:$AO634)&gt;0)))</f>
        <v/>
      </c>
      <c r="BA634" s="5" t="str">
        <f aca="false">IF($B634="","",IF(AZ634&gt;0,1,0))</f>
        <v/>
      </c>
      <c r="BB634" s="5" t="str">
        <f aca="false">IF($AP634="","",IF((($AP634="Engineering and Technology")+($AP634="Science and Mathematics")+($AP634="Computer Science, IT and Allied Fields")+($AP634="Life Sciences /Medicine and Healthcare")+($AP634="Paramedical")+($AP634="Architecture")+($AP634="Environmental Service")+($AP634="Agriculture, Food Industry and Forestry"))&gt;0,"Science",IF((($AP634="Banking and Finance")+($AP634="Management and Administration")+($AP634="Marketing")+($AP634="Sales")+($AP634="Entrepreneurship")+($AP634="Hospitality and Tourism"))&gt;0,"Commerce",IF((($AP634="Social Sciences and Humanities")+($AP634="Law Studies")+($AP634="Education and Training")+($AP634="Art, Design")+($AP634="Entertainment and Mass Media")+($AP634="Community and Social Service")+($AP634="Personal Care and Services")+($AP634="Government and Public Administration")+($AP634="Defence/ Protective Service")+($AP634="Sports"))&gt;0,"Arts / Humanities",""))))</f>
        <v/>
      </c>
      <c r="BC634" s="5" t="str">
        <f aca="false">IF($AL634="","",IF((($AL634="Engineering and Technology")+($AL634="Science and Mathematics")+($AL634="Computer Science, IT and Allied Fields")+($AL634="Life Sciences /Medicine and Healthcare")+($AL634="Paramedical")+($AL634="Architecture")+($AL634="Environmental Service")+($AL634="Agriculture, Food Industry and Forestry"))&gt;0,"Science",IF((($AL634="Banking and Finance")+($AL634="Management and Administration")+($AL634="Marketing")+($AL634="Sales")+($AL634="Entrepreneurship")+($AL634="Hospitality and Tourism"))&gt;0,"Commerce",IF((($AL634="Social Sciences and Humanities")+($AL634="Law Studies")+($AL634="Education and Training")+($AL634="Art, Design")+($AL634="Entertainment and Mass Media")+($AL634="Community and Social Service")+($AL634="Personal Care and Services")+($AL634="Government and Public Administration")+($AL634="Defence/ Protective Service")+($AL634="Sports"))&gt;0,"Arts / Humanities",""))))</f>
        <v/>
      </c>
      <c r="BD634" s="5" t="str">
        <f aca="false">IF($B634="","",--(F634&gt;=10)+--(G634&gt;=10)+--(H634&gt;=10)+--(I634&gt;=10)+--(J634&gt;=10)+--(K634&gt;=10)+--(L634&gt;=10)+--(M634&gt;=10)+--(N634&gt;=10)+--(O634&gt;=10))</f>
        <v/>
      </c>
      <c r="BE634" s="5" t="str">
        <f aca="false">IF($B634="","",--(AND(F634&lt;&gt;"",F634&lt;=8))+--(AND(G634&lt;&gt;"",G634&lt;=8))+--(AND(H634&lt;&gt;"",H634&lt;=8))+--(AND(I634&lt;&gt;"",I634&lt;=8))+--(AND(J634&lt;&gt;"",J634&lt;=8))+--(AND(K634&lt;&gt;"",K634&lt;=8))+--(AND(L634&lt;&gt;"",L634&lt;=8))+--(AND(M634&lt;&gt;"",M634&lt;=8))+--(AND(N634&lt;&gt;"",N634&lt;=8))+--(AND(O634&lt;&gt;"",O634&lt;=8)))</f>
        <v/>
      </c>
    </row>
    <row r="635" customFormat="false" ht="15" hidden="false" customHeight="false" outlineLevel="0" collapsed="false">
      <c r="AZ635" s="5" t="str">
        <f aca="false">IF($B635="","",SUMPRODUCT(($AL635:$AO635&lt;&gt;"")*(COUNTIF($AP635:$AX635,$AL635:$AO635)&gt;0)))</f>
        <v/>
      </c>
      <c r="BA635" s="5" t="str">
        <f aca="false">IF($B635="","",IF(AZ635&gt;0,1,0))</f>
        <v/>
      </c>
      <c r="BB635" s="5" t="str">
        <f aca="false">IF($AP635="","",IF((($AP635="Engineering and Technology")+($AP635="Science and Mathematics")+($AP635="Computer Science, IT and Allied Fields")+($AP635="Life Sciences /Medicine and Healthcare")+($AP635="Paramedical")+($AP635="Architecture")+($AP635="Environmental Service")+($AP635="Agriculture, Food Industry and Forestry"))&gt;0,"Science",IF((($AP635="Banking and Finance")+($AP635="Management and Administration")+($AP635="Marketing")+($AP635="Sales")+($AP635="Entrepreneurship")+($AP635="Hospitality and Tourism"))&gt;0,"Commerce",IF((($AP635="Social Sciences and Humanities")+($AP635="Law Studies")+($AP635="Education and Training")+($AP635="Art, Design")+($AP635="Entertainment and Mass Media")+($AP635="Community and Social Service")+($AP635="Personal Care and Services")+($AP635="Government and Public Administration")+($AP635="Defence/ Protective Service")+($AP635="Sports"))&gt;0,"Arts / Humanities",""))))</f>
        <v/>
      </c>
      <c r="BC635" s="5" t="str">
        <f aca="false">IF($AL635="","",IF((($AL635="Engineering and Technology")+($AL635="Science and Mathematics")+($AL635="Computer Science, IT and Allied Fields")+($AL635="Life Sciences /Medicine and Healthcare")+($AL635="Paramedical")+($AL635="Architecture")+($AL635="Environmental Service")+($AL635="Agriculture, Food Industry and Forestry"))&gt;0,"Science",IF((($AL635="Banking and Finance")+($AL635="Management and Administration")+($AL635="Marketing")+($AL635="Sales")+($AL635="Entrepreneurship")+($AL635="Hospitality and Tourism"))&gt;0,"Commerce",IF((($AL635="Social Sciences and Humanities")+($AL635="Law Studies")+($AL635="Education and Training")+($AL635="Art, Design")+($AL635="Entertainment and Mass Media")+($AL635="Community and Social Service")+($AL635="Personal Care and Services")+($AL635="Government and Public Administration")+($AL635="Defence/ Protective Service")+($AL635="Sports"))&gt;0,"Arts / Humanities",""))))</f>
        <v/>
      </c>
      <c r="BD635" s="5" t="str">
        <f aca="false">IF($B635="","",--(F635&gt;=10)+--(G635&gt;=10)+--(H635&gt;=10)+--(I635&gt;=10)+--(J635&gt;=10)+--(K635&gt;=10)+--(L635&gt;=10)+--(M635&gt;=10)+--(N635&gt;=10)+--(O635&gt;=10))</f>
        <v/>
      </c>
      <c r="BE635" s="5" t="str">
        <f aca="false">IF($B635="","",--(AND(F635&lt;&gt;"",F635&lt;=8))+--(AND(G635&lt;&gt;"",G635&lt;=8))+--(AND(H635&lt;&gt;"",H635&lt;=8))+--(AND(I635&lt;&gt;"",I635&lt;=8))+--(AND(J635&lt;&gt;"",J635&lt;=8))+--(AND(K635&lt;&gt;"",K635&lt;=8))+--(AND(L635&lt;&gt;"",L635&lt;=8))+--(AND(M635&lt;&gt;"",M635&lt;=8))+--(AND(N635&lt;&gt;"",N635&lt;=8))+--(AND(O635&lt;&gt;"",O635&lt;=8)))</f>
        <v/>
      </c>
    </row>
    <row r="636" customFormat="false" ht="15" hidden="false" customHeight="false" outlineLevel="0" collapsed="false">
      <c r="AZ636" s="5" t="str">
        <f aca="false">IF($B636="","",SUMPRODUCT(($AL636:$AO636&lt;&gt;"")*(COUNTIF($AP636:$AX636,$AL636:$AO636)&gt;0)))</f>
        <v/>
      </c>
      <c r="BA636" s="5" t="str">
        <f aca="false">IF($B636="","",IF(AZ636&gt;0,1,0))</f>
        <v/>
      </c>
      <c r="BB636" s="5" t="str">
        <f aca="false">IF($AP636="","",IF((($AP636="Engineering and Technology")+($AP636="Science and Mathematics")+($AP636="Computer Science, IT and Allied Fields")+($AP636="Life Sciences /Medicine and Healthcare")+($AP636="Paramedical")+($AP636="Architecture")+($AP636="Environmental Service")+($AP636="Agriculture, Food Industry and Forestry"))&gt;0,"Science",IF((($AP636="Banking and Finance")+($AP636="Management and Administration")+($AP636="Marketing")+($AP636="Sales")+($AP636="Entrepreneurship")+($AP636="Hospitality and Tourism"))&gt;0,"Commerce",IF((($AP636="Social Sciences and Humanities")+($AP636="Law Studies")+($AP636="Education and Training")+($AP636="Art, Design")+($AP636="Entertainment and Mass Media")+($AP636="Community and Social Service")+($AP636="Personal Care and Services")+($AP636="Government and Public Administration")+($AP636="Defence/ Protective Service")+($AP636="Sports"))&gt;0,"Arts / Humanities",""))))</f>
        <v/>
      </c>
      <c r="BC636" s="5" t="str">
        <f aca="false">IF($AL636="","",IF((($AL636="Engineering and Technology")+($AL636="Science and Mathematics")+($AL636="Computer Science, IT and Allied Fields")+($AL636="Life Sciences /Medicine and Healthcare")+($AL636="Paramedical")+($AL636="Architecture")+($AL636="Environmental Service")+($AL636="Agriculture, Food Industry and Forestry"))&gt;0,"Science",IF((($AL636="Banking and Finance")+($AL636="Management and Administration")+($AL636="Marketing")+($AL636="Sales")+($AL636="Entrepreneurship")+($AL636="Hospitality and Tourism"))&gt;0,"Commerce",IF((($AL636="Social Sciences and Humanities")+($AL636="Law Studies")+($AL636="Education and Training")+($AL636="Art, Design")+($AL636="Entertainment and Mass Media")+($AL636="Community and Social Service")+($AL636="Personal Care and Services")+($AL636="Government and Public Administration")+($AL636="Defence/ Protective Service")+($AL636="Sports"))&gt;0,"Arts / Humanities",""))))</f>
        <v/>
      </c>
      <c r="BD636" s="5" t="str">
        <f aca="false">IF($B636="","",--(F636&gt;=10)+--(G636&gt;=10)+--(H636&gt;=10)+--(I636&gt;=10)+--(J636&gt;=10)+--(K636&gt;=10)+--(L636&gt;=10)+--(M636&gt;=10)+--(N636&gt;=10)+--(O636&gt;=10))</f>
        <v/>
      </c>
      <c r="BE636" s="5" t="str">
        <f aca="false">IF($B636="","",--(AND(F636&lt;&gt;"",F636&lt;=8))+--(AND(G636&lt;&gt;"",G636&lt;=8))+--(AND(H636&lt;&gt;"",H636&lt;=8))+--(AND(I636&lt;&gt;"",I636&lt;=8))+--(AND(J636&lt;&gt;"",J636&lt;=8))+--(AND(K636&lt;&gt;"",K636&lt;=8))+--(AND(L636&lt;&gt;"",L636&lt;=8))+--(AND(M636&lt;&gt;"",M636&lt;=8))+--(AND(N636&lt;&gt;"",N636&lt;=8))+--(AND(O636&lt;&gt;"",O636&lt;=8)))</f>
        <v/>
      </c>
    </row>
    <row r="637" customFormat="false" ht="15" hidden="false" customHeight="false" outlineLevel="0" collapsed="false">
      <c r="AZ637" s="5" t="str">
        <f aca="false">IF($B637="","",SUMPRODUCT(($AL637:$AO637&lt;&gt;"")*(COUNTIF($AP637:$AX637,$AL637:$AO637)&gt;0)))</f>
        <v/>
      </c>
      <c r="BA637" s="5" t="str">
        <f aca="false">IF($B637="","",IF(AZ637&gt;0,1,0))</f>
        <v/>
      </c>
      <c r="BB637" s="5" t="str">
        <f aca="false">IF($AP637="","",IF((($AP637="Engineering and Technology")+($AP637="Science and Mathematics")+($AP637="Computer Science, IT and Allied Fields")+($AP637="Life Sciences /Medicine and Healthcare")+($AP637="Paramedical")+($AP637="Architecture")+($AP637="Environmental Service")+($AP637="Agriculture, Food Industry and Forestry"))&gt;0,"Science",IF((($AP637="Banking and Finance")+($AP637="Management and Administration")+($AP637="Marketing")+($AP637="Sales")+($AP637="Entrepreneurship")+($AP637="Hospitality and Tourism"))&gt;0,"Commerce",IF((($AP637="Social Sciences and Humanities")+($AP637="Law Studies")+($AP637="Education and Training")+($AP637="Art, Design")+($AP637="Entertainment and Mass Media")+($AP637="Community and Social Service")+($AP637="Personal Care and Services")+($AP637="Government and Public Administration")+($AP637="Defence/ Protective Service")+($AP637="Sports"))&gt;0,"Arts / Humanities",""))))</f>
        <v/>
      </c>
      <c r="BC637" s="5" t="str">
        <f aca="false">IF($AL637="","",IF((($AL637="Engineering and Technology")+($AL637="Science and Mathematics")+($AL637="Computer Science, IT and Allied Fields")+($AL637="Life Sciences /Medicine and Healthcare")+($AL637="Paramedical")+($AL637="Architecture")+($AL637="Environmental Service")+($AL637="Agriculture, Food Industry and Forestry"))&gt;0,"Science",IF((($AL637="Banking and Finance")+($AL637="Management and Administration")+($AL637="Marketing")+($AL637="Sales")+($AL637="Entrepreneurship")+($AL637="Hospitality and Tourism"))&gt;0,"Commerce",IF((($AL637="Social Sciences and Humanities")+($AL637="Law Studies")+($AL637="Education and Training")+($AL637="Art, Design")+($AL637="Entertainment and Mass Media")+($AL637="Community and Social Service")+($AL637="Personal Care and Services")+($AL637="Government and Public Administration")+($AL637="Defence/ Protective Service")+($AL637="Sports"))&gt;0,"Arts / Humanities",""))))</f>
        <v/>
      </c>
      <c r="BD637" s="5" t="str">
        <f aca="false">IF($B637="","",--(F637&gt;=10)+--(G637&gt;=10)+--(H637&gt;=10)+--(I637&gt;=10)+--(J637&gt;=10)+--(K637&gt;=10)+--(L637&gt;=10)+--(M637&gt;=10)+--(N637&gt;=10)+--(O637&gt;=10))</f>
        <v/>
      </c>
      <c r="BE637" s="5" t="str">
        <f aca="false">IF($B637="","",--(AND(F637&lt;&gt;"",F637&lt;=8))+--(AND(G637&lt;&gt;"",G637&lt;=8))+--(AND(H637&lt;&gt;"",H637&lt;=8))+--(AND(I637&lt;&gt;"",I637&lt;=8))+--(AND(J637&lt;&gt;"",J637&lt;=8))+--(AND(K637&lt;&gt;"",K637&lt;=8))+--(AND(L637&lt;&gt;"",L637&lt;=8))+--(AND(M637&lt;&gt;"",M637&lt;=8))+--(AND(N637&lt;&gt;"",N637&lt;=8))+--(AND(O637&lt;&gt;"",O637&lt;=8)))</f>
        <v/>
      </c>
    </row>
    <row r="638" customFormat="false" ht="15" hidden="false" customHeight="false" outlineLevel="0" collapsed="false">
      <c r="AZ638" s="5" t="str">
        <f aca="false">IF($B638="","",SUMPRODUCT(($AL638:$AO638&lt;&gt;"")*(COUNTIF($AP638:$AX638,$AL638:$AO638)&gt;0)))</f>
        <v/>
      </c>
      <c r="BA638" s="5" t="str">
        <f aca="false">IF($B638="","",IF(AZ638&gt;0,1,0))</f>
        <v/>
      </c>
      <c r="BB638" s="5" t="str">
        <f aca="false">IF($AP638="","",IF((($AP638="Engineering and Technology")+($AP638="Science and Mathematics")+($AP638="Computer Science, IT and Allied Fields")+($AP638="Life Sciences /Medicine and Healthcare")+($AP638="Paramedical")+($AP638="Architecture")+($AP638="Environmental Service")+($AP638="Agriculture, Food Industry and Forestry"))&gt;0,"Science",IF((($AP638="Banking and Finance")+($AP638="Management and Administration")+($AP638="Marketing")+($AP638="Sales")+($AP638="Entrepreneurship")+($AP638="Hospitality and Tourism"))&gt;0,"Commerce",IF((($AP638="Social Sciences and Humanities")+($AP638="Law Studies")+($AP638="Education and Training")+($AP638="Art, Design")+($AP638="Entertainment and Mass Media")+($AP638="Community and Social Service")+($AP638="Personal Care and Services")+($AP638="Government and Public Administration")+($AP638="Defence/ Protective Service")+($AP638="Sports"))&gt;0,"Arts / Humanities",""))))</f>
        <v/>
      </c>
      <c r="BC638" s="5" t="str">
        <f aca="false">IF($AL638="","",IF((($AL638="Engineering and Technology")+($AL638="Science and Mathematics")+($AL638="Computer Science, IT and Allied Fields")+($AL638="Life Sciences /Medicine and Healthcare")+($AL638="Paramedical")+($AL638="Architecture")+($AL638="Environmental Service")+($AL638="Agriculture, Food Industry and Forestry"))&gt;0,"Science",IF((($AL638="Banking and Finance")+($AL638="Management and Administration")+($AL638="Marketing")+($AL638="Sales")+($AL638="Entrepreneurship")+($AL638="Hospitality and Tourism"))&gt;0,"Commerce",IF((($AL638="Social Sciences and Humanities")+($AL638="Law Studies")+($AL638="Education and Training")+($AL638="Art, Design")+($AL638="Entertainment and Mass Media")+($AL638="Community and Social Service")+($AL638="Personal Care and Services")+($AL638="Government and Public Administration")+($AL638="Defence/ Protective Service")+($AL638="Sports"))&gt;0,"Arts / Humanities",""))))</f>
        <v/>
      </c>
      <c r="BD638" s="5" t="str">
        <f aca="false">IF($B638="","",--(F638&gt;=10)+--(G638&gt;=10)+--(H638&gt;=10)+--(I638&gt;=10)+--(J638&gt;=10)+--(K638&gt;=10)+--(L638&gt;=10)+--(M638&gt;=10)+--(N638&gt;=10)+--(O638&gt;=10))</f>
        <v/>
      </c>
      <c r="BE638" s="5" t="str">
        <f aca="false">IF($B638="","",--(AND(F638&lt;&gt;"",F638&lt;=8))+--(AND(G638&lt;&gt;"",G638&lt;=8))+--(AND(H638&lt;&gt;"",H638&lt;=8))+--(AND(I638&lt;&gt;"",I638&lt;=8))+--(AND(J638&lt;&gt;"",J638&lt;=8))+--(AND(K638&lt;&gt;"",K638&lt;=8))+--(AND(L638&lt;&gt;"",L638&lt;=8))+--(AND(M638&lt;&gt;"",M638&lt;=8))+--(AND(N638&lt;&gt;"",N638&lt;=8))+--(AND(O638&lt;&gt;"",O638&lt;=8)))</f>
        <v/>
      </c>
    </row>
    <row r="639" customFormat="false" ht="15" hidden="false" customHeight="false" outlineLevel="0" collapsed="false">
      <c r="AZ639" s="5" t="str">
        <f aca="false">IF($B639="","",SUMPRODUCT(($AL639:$AO639&lt;&gt;"")*(COUNTIF($AP639:$AX639,$AL639:$AO639)&gt;0)))</f>
        <v/>
      </c>
      <c r="BA639" s="5" t="str">
        <f aca="false">IF($B639="","",IF(AZ639&gt;0,1,0))</f>
        <v/>
      </c>
      <c r="BB639" s="5" t="str">
        <f aca="false">IF($AP639="","",IF((($AP639="Engineering and Technology")+($AP639="Science and Mathematics")+($AP639="Computer Science, IT and Allied Fields")+($AP639="Life Sciences /Medicine and Healthcare")+($AP639="Paramedical")+($AP639="Architecture")+($AP639="Environmental Service")+($AP639="Agriculture, Food Industry and Forestry"))&gt;0,"Science",IF((($AP639="Banking and Finance")+($AP639="Management and Administration")+($AP639="Marketing")+($AP639="Sales")+($AP639="Entrepreneurship")+($AP639="Hospitality and Tourism"))&gt;0,"Commerce",IF((($AP639="Social Sciences and Humanities")+($AP639="Law Studies")+($AP639="Education and Training")+($AP639="Art, Design")+($AP639="Entertainment and Mass Media")+($AP639="Community and Social Service")+($AP639="Personal Care and Services")+($AP639="Government and Public Administration")+($AP639="Defence/ Protective Service")+($AP639="Sports"))&gt;0,"Arts / Humanities",""))))</f>
        <v/>
      </c>
      <c r="BC639" s="5" t="str">
        <f aca="false">IF($AL639="","",IF((($AL639="Engineering and Technology")+($AL639="Science and Mathematics")+($AL639="Computer Science, IT and Allied Fields")+($AL639="Life Sciences /Medicine and Healthcare")+($AL639="Paramedical")+($AL639="Architecture")+($AL639="Environmental Service")+($AL639="Agriculture, Food Industry and Forestry"))&gt;0,"Science",IF((($AL639="Banking and Finance")+($AL639="Management and Administration")+($AL639="Marketing")+($AL639="Sales")+($AL639="Entrepreneurship")+($AL639="Hospitality and Tourism"))&gt;0,"Commerce",IF((($AL639="Social Sciences and Humanities")+($AL639="Law Studies")+($AL639="Education and Training")+($AL639="Art, Design")+($AL639="Entertainment and Mass Media")+($AL639="Community and Social Service")+($AL639="Personal Care and Services")+($AL639="Government and Public Administration")+($AL639="Defence/ Protective Service")+($AL639="Sports"))&gt;0,"Arts / Humanities",""))))</f>
        <v/>
      </c>
      <c r="BD639" s="5" t="str">
        <f aca="false">IF($B639="","",--(F639&gt;=10)+--(G639&gt;=10)+--(H639&gt;=10)+--(I639&gt;=10)+--(J639&gt;=10)+--(K639&gt;=10)+--(L639&gt;=10)+--(M639&gt;=10)+--(N639&gt;=10)+--(O639&gt;=10))</f>
        <v/>
      </c>
      <c r="BE639" s="5" t="str">
        <f aca="false">IF($B639="","",--(AND(F639&lt;&gt;"",F639&lt;=8))+--(AND(G639&lt;&gt;"",G639&lt;=8))+--(AND(H639&lt;&gt;"",H639&lt;=8))+--(AND(I639&lt;&gt;"",I639&lt;=8))+--(AND(J639&lt;&gt;"",J639&lt;=8))+--(AND(K639&lt;&gt;"",K639&lt;=8))+--(AND(L639&lt;&gt;"",L639&lt;=8))+--(AND(M639&lt;&gt;"",M639&lt;=8))+--(AND(N639&lt;&gt;"",N639&lt;=8))+--(AND(O639&lt;&gt;"",O639&lt;=8)))</f>
        <v/>
      </c>
    </row>
    <row r="640" customFormat="false" ht="15" hidden="false" customHeight="false" outlineLevel="0" collapsed="false">
      <c r="AZ640" s="5" t="str">
        <f aca="false">IF($B640="","",SUMPRODUCT(($AL640:$AO640&lt;&gt;"")*(COUNTIF($AP640:$AX640,$AL640:$AO640)&gt;0)))</f>
        <v/>
      </c>
      <c r="BA640" s="5" t="str">
        <f aca="false">IF($B640="","",IF(AZ640&gt;0,1,0))</f>
        <v/>
      </c>
      <c r="BB640" s="5" t="str">
        <f aca="false">IF($AP640="","",IF((($AP640="Engineering and Technology")+($AP640="Science and Mathematics")+($AP640="Computer Science, IT and Allied Fields")+($AP640="Life Sciences /Medicine and Healthcare")+($AP640="Paramedical")+($AP640="Architecture")+($AP640="Environmental Service")+($AP640="Agriculture, Food Industry and Forestry"))&gt;0,"Science",IF((($AP640="Banking and Finance")+($AP640="Management and Administration")+($AP640="Marketing")+($AP640="Sales")+($AP640="Entrepreneurship")+($AP640="Hospitality and Tourism"))&gt;0,"Commerce",IF((($AP640="Social Sciences and Humanities")+($AP640="Law Studies")+($AP640="Education and Training")+($AP640="Art, Design")+($AP640="Entertainment and Mass Media")+($AP640="Community and Social Service")+($AP640="Personal Care and Services")+($AP640="Government and Public Administration")+($AP640="Defence/ Protective Service")+($AP640="Sports"))&gt;0,"Arts / Humanities",""))))</f>
        <v/>
      </c>
      <c r="BC640" s="5" t="str">
        <f aca="false">IF($AL640="","",IF((($AL640="Engineering and Technology")+($AL640="Science and Mathematics")+($AL640="Computer Science, IT and Allied Fields")+($AL640="Life Sciences /Medicine and Healthcare")+($AL640="Paramedical")+($AL640="Architecture")+($AL640="Environmental Service")+($AL640="Agriculture, Food Industry and Forestry"))&gt;0,"Science",IF((($AL640="Banking and Finance")+($AL640="Management and Administration")+($AL640="Marketing")+($AL640="Sales")+($AL640="Entrepreneurship")+($AL640="Hospitality and Tourism"))&gt;0,"Commerce",IF((($AL640="Social Sciences and Humanities")+($AL640="Law Studies")+($AL640="Education and Training")+($AL640="Art, Design")+($AL640="Entertainment and Mass Media")+($AL640="Community and Social Service")+($AL640="Personal Care and Services")+($AL640="Government and Public Administration")+($AL640="Defence/ Protective Service")+($AL640="Sports"))&gt;0,"Arts / Humanities",""))))</f>
        <v/>
      </c>
      <c r="BD640" s="5" t="str">
        <f aca="false">IF($B640="","",--(F640&gt;=10)+--(G640&gt;=10)+--(H640&gt;=10)+--(I640&gt;=10)+--(J640&gt;=10)+--(K640&gt;=10)+--(L640&gt;=10)+--(M640&gt;=10)+--(N640&gt;=10)+--(O640&gt;=10))</f>
        <v/>
      </c>
      <c r="BE640" s="5" t="str">
        <f aca="false">IF($B640="","",--(AND(F640&lt;&gt;"",F640&lt;=8))+--(AND(G640&lt;&gt;"",G640&lt;=8))+--(AND(H640&lt;&gt;"",H640&lt;=8))+--(AND(I640&lt;&gt;"",I640&lt;=8))+--(AND(J640&lt;&gt;"",J640&lt;=8))+--(AND(K640&lt;&gt;"",K640&lt;=8))+--(AND(L640&lt;&gt;"",L640&lt;=8))+--(AND(M640&lt;&gt;"",M640&lt;=8))+--(AND(N640&lt;&gt;"",N640&lt;=8))+--(AND(O640&lt;&gt;"",O640&lt;=8)))</f>
        <v/>
      </c>
    </row>
    <row r="641" customFormat="false" ht="15" hidden="false" customHeight="false" outlineLevel="0" collapsed="false">
      <c r="AZ641" s="5" t="str">
        <f aca="false">IF($B641="","",SUMPRODUCT(($AL641:$AO641&lt;&gt;"")*(COUNTIF($AP641:$AX641,$AL641:$AO641)&gt;0)))</f>
        <v/>
      </c>
      <c r="BA641" s="5" t="str">
        <f aca="false">IF($B641="","",IF(AZ641&gt;0,1,0))</f>
        <v/>
      </c>
      <c r="BB641" s="5" t="str">
        <f aca="false">IF($AP641="","",IF((($AP641="Engineering and Technology")+($AP641="Science and Mathematics")+($AP641="Computer Science, IT and Allied Fields")+($AP641="Life Sciences /Medicine and Healthcare")+($AP641="Paramedical")+($AP641="Architecture")+($AP641="Environmental Service")+($AP641="Agriculture, Food Industry and Forestry"))&gt;0,"Science",IF((($AP641="Banking and Finance")+($AP641="Management and Administration")+($AP641="Marketing")+($AP641="Sales")+($AP641="Entrepreneurship")+($AP641="Hospitality and Tourism"))&gt;0,"Commerce",IF((($AP641="Social Sciences and Humanities")+($AP641="Law Studies")+($AP641="Education and Training")+($AP641="Art, Design")+($AP641="Entertainment and Mass Media")+($AP641="Community and Social Service")+($AP641="Personal Care and Services")+($AP641="Government and Public Administration")+($AP641="Defence/ Protective Service")+($AP641="Sports"))&gt;0,"Arts / Humanities",""))))</f>
        <v/>
      </c>
      <c r="BC641" s="5" t="str">
        <f aca="false">IF($AL641="","",IF((($AL641="Engineering and Technology")+($AL641="Science and Mathematics")+($AL641="Computer Science, IT and Allied Fields")+($AL641="Life Sciences /Medicine and Healthcare")+($AL641="Paramedical")+($AL641="Architecture")+($AL641="Environmental Service")+($AL641="Agriculture, Food Industry and Forestry"))&gt;0,"Science",IF((($AL641="Banking and Finance")+($AL641="Management and Administration")+($AL641="Marketing")+($AL641="Sales")+($AL641="Entrepreneurship")+($AL641="Hospitality and Tourism"))&gt;0,"Commerce",IF((($AL641="Social Sciences and Humanities")+($AL641="Law Studies")+($AL641="Education and Training")+($AL641="Art, Design")+($AL641="Entertainment and Mass Media")+($AL641="Community and Social Service")+($AL641="Personal Care and Services")+($AL641="Government and Public Administration")+($AL641="Defence/ Protective Service")+($AL641="Sports"))&gt;0,"Arts / Humanities",""))))</f>
        <v/>
      </c>
      <c r="BD641" s="5" t="str">
        <f aca="false">IF($B641="","",--(F641&gt;=10)+--(G641&gt;=10)+--(H641&gt;=10)+--(I641&gt;=10)+--(J641&gt;=10)+--(K641&gt;=10)+--(L641&gt;=10)+--(M641&gt;=10)+--(N641&gt;=10)+--(O641&gt;=10))</f>
        <v/>
      </c>
      <c r="BE641" s="5" t="str">
        <f aca="false">IF($B641="","",--(AND(F641&lt;&gt;"",F641&lt;=8))+--(AND(G641&lt;&gt;"",G641&lt;=8))+--(AND(H641&lt;&gt;"",H641&lt;=8))+--(AND(I641&lt;&gt;"",I641&lt;=8))+--(AND(J641&lt;&gt;"",J641&lt;=8))+--(AND(K641&lt;&gt;"",K641&lt;=8))+--(AND(L641&lt;&gt;"",L641&lt;=8))+--(AND(M641&lt;&gt;"",M641&lt;=8))+--(AND(N641&lt;&gt;"",N641&lt;=8))+--(AND(O641&lt;&gt;"",O641&lt;=8)))</f>
        <v/>
      </c>
    </row>
    <row r="642" customFormat="false" ht="15" hidden="false" customHeight="false" outlineLevel="0" collapsed="false">
      <c r="AZ642" s="5" t="str">
        <f aca="false">IF($B642="","",SUMPRODUCT(($AL642:$AO642&lt;&gt;"")*(COUNTIF($AP642:$AX642,$AL642:$AO642)&gt;0)))</f>
        <v/>
      </c>
      <c r="BA642" s="5" t="str">
        <f aca="false">IF($B642="","",IF(AZ642&gt;0,1,0))</f>
        <v/>
      </c>
      <c r="BB642" s="5" t="str">
        <f aca="false">IF($AP642="","",IF((($AP642="Engineering and Technology")+($AP642="Science and Mathematics")+($AP642="Computer Science, IT and Allied Fields")+($AP642="Life Sciences /Medicine and Healthcare")+($AP642="Paramedical")+($AP642="Architecture")+($AP642="Environmental Service")+($AP642="Agriculture, Food Industry and Forestry"))&gt;0,"Science",IF((($AP642="Banking and Finance")+($AP642="Management and Administration")+($AP642="Marketing")+($AP642="Sales")+($AP642="Entrepreneurship")+($AP642="Hospitality and Tourism"))&gt;0,"Commerce",IF((($AP642="Social Sciences and Humanities")+($AP642="Law Studies")+($AP642="Education and Training")+($AP642="Art, Design")+($AP642="Entertainment and Mass Media")+($AP642="Community and Social Service")+($AP642="Personal Care and Services")+($AP642="Government and Public Administration")+($AP642="Defence/ Protective Service")+($AP642="Sports"))&gt;0,"Arts / Humanities",""))))</f>
        <v/>
      </c>
      <c r="BC642" s="5" t="str">
        <f aca="false">IF($AL642="","",IF((($AL642="Engineering and Technology")+($AL642="Science and Mathematics")+($AL642="Computer Science, IT and Allied Fields")+($AL642="Life Sciences /Medicine and Healthcare")+($AL642="Paramedical")+($AL642="Architecture")+($AL642="Environmental Service")+($AL642="Agriculture, Food Industry and Forestry"))&gt;0,"Science",IF((($AL642="Banking and Finance")+($AL642="Management and Administration")+($AL642="Marketing")+($AL642="Sales")+($AL642="Entrepreneurship")+($AL642="Hospitality and Tourism"))&gt;0,"Commerce",IF((($AL642="Social Sciences and Humanities")+($AL642="Law Studies")+($AL642="Education and Training")+($AL642="Art, Design")+($AL642="Entertainment and Mass Media")+($AL642="Community and Social Service")+($AL642="Personal Care and Services")+($AL642="Government and Public Administration")+($AL642="Defence/ Protective Service")+($AL642="Sports"))&gt;0,"Arts / Humanities",""))))</f>
        <v/>
      </c>
      <c r="BD642" s="5" t="str">
        <f aca="false">IF($B642="","",--(F642&gt;=10)+--(G642&gt;=10)+--(H642&gt;=10)+--(I642&gt;=10)+--(J642&gt;=10)+--(K642&gt;=10)+--(L642&gt;=10)+--(M642&gt;=10)+--(N642&gt;=10)+--(O642&gt;=10))</f>
        <v/>
      </c>
      <c r="BE642" s="5" t="str">
        <f aca="false">IF($B642="","",--(AND(F642&lt;&gt;"",F642&lt;=8))+--(AND(G642&lt;&gt;"",G642&lt;=8))+--(AND(H642&lt;&gt;"",H642&lt;=8))+--(AND(I642&lt;&gt;"",I642&lt;=8))+--(AND(J642&lt;&gt;"",J642&lt;=8))+--(AND(K642&lt;&gt;"",K642&lt;=8))+--(AND(L642&lt;&gt;"",L642&lt;=8))+--(AND(M642&lt;&gt;"",M642&lt;=8))+--(AND(N642&lt;&gt;"",N642&lt;=8))+--(AND(O642&lt;&gt;"",O642&lt;=8)))</f>
        <v/>
      </c>
    </row>
    <row r="643" customFormat="false" ht="15" hidden="false" customHeight="false" outlineLevel="0" collapsed="false">
      <c r="AZ643" s="5" t="str">
        <f aca="false">IF($B643="","",SUMPRODUCT(($AL643:$AO643&lt;&gt;"")*(COUNTIF($AP643:$AX643,$AL643:$AO643)&gt;0)))</f>
        <v/>
      </c>
      <c r="BA643" s="5" t="str">
        <f aca="false">IF($B643="","",IF(AZ643&gt;0,1,0))</f>
        <v/>
      </c>
      <c r="BB643" s="5" t="str">
        <f aca="false">IF($AP643="","",IF((($AP643="Engineering and Technology")+($AP643="Science and Mathematics")+($AP643="Computer Science, IT and Allied Fields")+($AP643="Life Sciences /Medicine and Healthcare")+($AP643="Paramedical")+($AP643="Architecture")+($AP643="Environmental Service")+($AP643="Agriculture, Food Industry and Forestry"))&gt;0,"Science",IF((($AP643="Banking and Finance")+($AP643="Management and Administration")+($AP643="Marketing")+($AP643="Sales")+($AP643="Entrepreneurship")+($AP643="Hospitality and Tourism"))&gt;0,"Commerce",IF((($AP643="Social Sciences and Humanities")+($AP643="Law Studies")+($AP643="Education and Training")+($AP643="Art, Design")+($AP643="Entertainment and Mass Media")+($AP643="Community and Social Service")+($AP643="Personal Care and Services")+($AP643="Government and Public Administration")+($AP643="Defence/ Protective Service")+($AP643="Sports"))&gt;0,"Arts / Humanities",""))))</f>
        <v/>
      </c>
      <c r="BC643" s="5" t="str">
        <f aca="false">IF($AL643="","",IF((($AL643="Engineering and Technology")+($AL643="Science and Mathematics")+($AL643="Computer Science, IT and Allied Fields")+($AL643="Life Sciences /Medicine and Healthcare")+($AL643="Paramedical")+($AL643="Architecture")+($AL643="Environmental Service")+($AL643="Agriculture, Food Industry and Forestry"))&gt;0,"Science",IF((($AL643="Banking and Finance")+($AL643="Management and Administration")+($AL643="Marketing")+($AL643="Sales")+($AL643="Entrepreneurship")+($AL643="Hospitality and Tourism"))&gt;0,"Commerce",IF((($AL643="Social Sciences and Humanities")+($AL643="Law Studies")+($AL643="Education and Training")+($AL643="Art, Design")+($AL643="Entertainment and Mass Media")+($AL643="Community and Social Service")+($AL643="Personal Care and Services")+($AL643="Government and Public Administration")+($AL643="Defence/ Protective Service")+($AL643="Sports"))&gt;0,"Arts / Humanities",""))))</f>
        <v/>
      </c>
      <c r="BD643" s="5" t="str">
        <f aca="false">IF($B643="","",--(F643&gt;=10)+--(G643&gt;=10)+--(H643&gt;=10)+--(I643&gt;=10)+--(J643&gt;=10)+--(K643&gt;=10)+--(L643&gt;=10)+--(M643&gt;=10)+--(N643&gt;=10)+--(O643&gt;=10))</f>
        <v/>
      </c>
      <c r="BE643" s="5" t="str">
        <f aca="false">IF($B643="","",--(AND(F643&lt;&gt;"",F643&lt;=8))+--(AND(G643&lt;&gt;"",G643&lt;=8))+--(AND(H643&lt;&gt;"",H643&lt;=8))+--(AND(I643&lt;&gt;"",I643&lt;=8))+--(AND(J643&lt;&gt;"",J643&lt;=8))+--(AND(K643&lt;&gt;"",K643&lt;=8))+--(AND(L643&lt;&gt;"",L643&lt;=8))+--(AND(M643&lt;&gt;"",M643&lt;=8))+--(AND(N643&lt;&gt;"",N643&lt;=8))+--(AND(O643&lt;&gt;"",O643&lt;=8)))</f>
        <v/>
      </c>
    </row>
    <row r="644" customFormat="false" ht="15" hidden="false" customHeight="false" outlineLevel="0" collapsed="false">
      <c r="AZ644" s="5" t="str">
        <f aca="false">IF($B644="","",SUMPRODUCT(($AL644:$AO644&lt;&gt;"")*(COUNTIF($AP644:$AX644,$AL644:$AO644)&gt;0)))</f>
        <v/>
      </c>
      <c r="BA644" s="5" t="str">
        <f aca="false">IF($B644="","",IF(AZ644&gt;0,1,0))</f>
        <v/>
      </c>
      <c r="BB644" s="5" t="str">
        <f aca="false">IF($AP644="","",IF((($AP644="Engineering and Technology")+($AP644="Science and Mathematics")+($AP644="Computer Science, IT and Allied Fields")+($AP644="Life Sciences /Medicine and Healthcare")+($AP644="Paramedical")+($AP644="Architecture")+($AP644="Environmental Service")+($AP644="Agriculture, Food Industry and Forestry"))&gt;0,"Science",IF((($AP644="Banking and Finance")+($AP644="Management and Administration")+($AP644="Marketing")+($AP644="Sales")+($AP644="Entrepreneurship")+($AP644="Hospitality and Tourism"))&gt;0,"Commerce",IF((($AP644="Social Sciences and Humanities")+($AP644="Law Studies")+($AP644="Education and Training")+($AP644="Art, Design")+($AP644="Entertainment and Mass Media")+($AP644="Community and Social Service")+($AP644="Personal Care and Services")+($AP644="Government and Public Administration")+($AP644="Defence/ Protective Service")+($AP644="Sports"))&gt;0,"Arts / Humanities",""))))</f>
        <v/>
      </c>
      <c r="BC644" s="5" t="str">
        <f aca="false">IF($AL644="","",IF((($AL644="Engineering and Technology")+($AL644="Science and Mathematics")+($AL644="Computer Science, IT and Allied Fields")+($AL644="Life Sciences /Medicine and Healthcare")+($AL644="Paramedical")+($AL644="Architecture")+($AL644="Environmental Service")+($AL644="Agriculture, Food Industry and Forestry"))&gt;0,"Science",IF((($AL644="Banking and Finance")+($AL644="Management and Administration")+($AL644="Marketing")+($AL644="Sales")+($AL644="Entrepreneurship")+($AL644="Hospitality and Tourism"))&gt;0,"Commerce",IF((($AL644="Social Sciences and Humanities")+($AL644="Law Studies")+($AL644="Education and Training")+($AL644="Art, Design")+($AL644="Entertainment and Mass Media")+($AL644="Community and Social Service")+($AL644="Personal Care and Services")+($AL644="Government and Public Administration")+($AL644="Defence/ Protective Service")+($AL644="Sports"))&gt;0,"Arts / Humanities",""))))</f>
        <v/>
      </c>
      <c r="BD644" s="5" t="str">
        <f aca="false">IF($B644="","",--(F644&gt;=10)+--(G644&gt;=10)+--(H644&gt;=10)+--(I644&gt;=10)+--(J644&gt;=10)+--(K644&gt;=10)+--(L644&gt;=10)+--(M644&gt;=10)+--(N644&gt;=10)+--(O644&gt;=10))</f>
        <v/>
      </c>
      <c r="BE644" s="5" t="str">
        <f aca="false">IF($B644="","",--(AND(F644&lt;&gt;"",F644&lt;=8))+--(AND(G644&lt;&gt;"",G644&lt;=8))+--(AND(H644&lt;&gt;"",H644&lt;=8))+--(AND(I644&lt;&gt;"",I644&lt;=8))+--(AND(J644&lt;&gt;"",J644&lt;=8))+--(AND(K644&lt;&gt;"",K644&lt;=8))+--(AND(L644&lt;&gt;"",L644&lt;=8))+--(AND(M644&lt;&gt;"",M644&lt;=8))+--(AND(N644&lt;&gt;"",N644&lt;=8))+--(AND(O644&lt;&gt;"",O644&lt;=8)))</f>
        <v/>
      </c>
    </row>
    <row r="645" customFormat="false" ht="15" hidden="false" customHeight="false" outlineLevel="0" collapsed="false">
      <c r="AZ645" s="5" t="str">
        <f aca="false">IF($B645="","",SUMPRODUCT(($AL645:$AO645&lt;&gt;"")*(COUNTIF($AP645:$AX645,$AL645:$AO645)&gt;0)))</f>
        <v/>
      </c>
      <c r="BA645" s="5" t="str">
        <f aca="false">IF($B645="","",IF(AZ645&gt;0,1,0))</f>
        <v/>
      </c>
      <c r="BB645" s="5" t="str">
        <f aca="false">IF($AP645="","",IF((($AP645="Engineering and Technology")+($AP645="Science and Mathematics")+($AP645="Computer Science, IT and Allied Fields")+($AP645="Life Sciences /Medicine and Healthcare")+($AP645="Paramedical")+($AP645="Architecture")+($AP645="Environmental Service")+($AP645="Agriculture, Food Industry and Forestry"))&gt;0,"Science",IF((($AP645="Banking and Finance")+($AP645="Management and Administration")+($AP645="Marketing")+($AP645="Sales")+($AP645="Entrepreneurship")+($AP645="Hospitality and Tourism"))&gt;0,"Commerce",IF((($AP645="Social Sciences and Humanities")+($AP645="Law Studies")+($AP645="Education and Training")+($AP645="Art, Design")+($AP645="Entertainment and Mass Media")+($AP645="Community and Social Service")+($AP645="Personal Care and Services")+($AP645="Government and Public Administration")+($AP645="Defence/ Protective Service")+($AP645="Sports"))&gt;0,"Arts / Humanities",""))))</f>
        <v/>
      </c>
      <c r="BC645" s="5" t="str">
        <f aca="false">IF($AL645="","",IF((($AL645="Engineering and Technology")+($AL645="Science and Mathematics")+($AL645="Computer Science, IT and Allied Fields")+($AL645="Life Sciences /Medicine and Healthcare")+($AL645="Paramedical")+($AL645="Architecture")+($AL645="Environmental Service")+($AL645="Agriculture, Food Industry and Forestry"))&gt;0,"Science",IF((($AL645="Banking and Finance")+($AL645="Management and Administration")+($AL645="Marketing")+($AL645="Sales")+($AL645="Entrepreneurship")+($AL645="Hospitality and Tourism"))&gt;0,"Commerce",IF((($AL645="Social Sciences and Humanities")+($AL645="Law Studies")+($AL645="Education and Training")+($AL645="Art, Design")+($AL645="Entertainment and Mass Media")+($AL645="Community and Social Service")+($AL645="Personal Care and Services")+($AL645="Government and Public Administration")+($AL645="Defence/ Protective Service")+($AL645="Sports"))&gt;0,"Arts / Humanities",""))))</f>
        <v/>
      </c>
      <c r="BD645" s="5" t="str">
        <f aca="false">IF($B645="","",--(F645&gt;=10)+--(G645&gt;=10)+--(H645&gt;=10)+--(I645&gt;=10)+--(J645&gt;=10)+--(K645&gt;=10)+--(L645&gt;=10)+--(M645&gt;=10)+--(N645&gt;=10)+--(O645&gt;=10))</f>
        <v/>
      </c>
      <c r="BE645" s="5" t="str">
        <f aca="false">IF($B645="","",--(AND(F645&lt;&gt;"",F645&lt;=8))+--(AND(G645&lt;&gt;"",G645&lt;=8))+--(AND(H645&lt;&gt;"",H645&lt;=8))+--(AND(I645&lt;&gt;"",I645&lt;=8))+--(AND(J645&lt;&gt;"",J645&lt;=8))+--(AND(K645&lt;&gt;"",K645&lt;=8))+--(AND(L645&lt;&gt;"",L645&lt;=8))+--(AND(M645&lt;&gt;"",M645&lt;=8))+--(AND(N645&lt;&gt;"",N645&lt;=8))+--(AND(O645&lt;&gt;"",O645&lt;=8)))</f>
        <v/>
      </c>
    </row>
    <row r="646" customFormat="false" ht="15" hidden="false" customHeight="false" outlineLevel="0" collapsed="false">
      <c r="AZ646" s="5" t="str">
        <f aca="false">IF($B646="","",SUMPRODUCT(($AL646:$AO646&lt;&gt;"")*(COUNTIF($AP646:$AX646,$AL646:$AO646)&gt;0)))</f>
        <v/>
      </c>
      <c r="BA646" s="5" t="str">
        <f aca="false">IF($B646="","",IF(AZ646&gt;0,1,0))</f>
        <v/>
      </c>
      <c r="BB646" s="5" t="str">
        <f aca="false">IF($AP646="","",IF((($AP646="Engineering and Technology")+($AP646="Science and Mathematics")+($AP646="Computer Science, IT and Allied Fields")+($AP646="Life Sciences /Medicine and Healthcare")+($AP646="Paramedical")+($AP646="Architecture")+($AP646="Environmental Service")+($AP646="Agriculture, Food Industry and Forestry"))&gt;0,"Science",IF((($AP646="Banking and Finance")+($AP646="Management and Administration")+($AP646="Marketing")+($AP646="Sales")+($AP646="Entrepreneurship")+($AP646="Hospitality and Tourism"))&gt;0,"Commerce",IF((($AP646="Social Sciences and Humanities")+($AP646="Law Studies")+($AP646="Education and Training")+($AP646="Art, Design")+($AP646="Entertainment and Mass Media")+($AP646="Community and Social Service")+($AP646="Personal Care and Services")+($AP646="Government and Public Administration")+($AP646="Defence/ Protective Service")+($AP646="Sports"))&gt;0,"Arts / Humanities",""))))</f>
        <v/>
      </c>
      <c r="BC646" s="5" t="str">
        <f aca="false">IF($AL646="","",IF((($AL646="Engineering and Technology")+($AL646="Science and Mathematics")+($AL646="Computer Science, IT and Allied Fields")+($AL646="Life Sciences /Medicine and Healthcare")+($AL646="Paramedical")+($AL646="Architecture")+($AL646="Environmental Service")+($AL646="Agriculture, Food Industry and Forestry"))&gt;0,"Science",IF((($AL646="Banking and Finance")+($AL646="Management and Administration")+($AL646="Marketing")+($AL646="Sales")+($AL646="Entrepreneurship")+($AL646="Hospitality and Tourism"))&gt;0,"Commerce",IF((($AL646="Social Sciences and Humanities")+($AL646="Law Studies")+($AL646="Education and Training")+($AL646="Art, Design")+($AL646="Entertainment and Mass Media")+($AL646="Community and Social Service")+($AL646="Personal Care and Services")+($AL646="Government and Public Administration")+($AL646="Defence/ Protective Service")+($AL646="Sports"))&gt;0,"Arts / Humanities",""))))</f>
        <v/>
      </c>
      <c r="BD646" s="5" t="str">
        <f aca="false">IF($B646="","",--(F646&gt;=10)+--(G646&gt;=10)+--(H646&gt;=10)+--(I646&gt;=10)+--(J646&gt;=10)+--(K646&gt;=10)+--(L646&gt;=10)+--(M646&gt;=10)+--(N646&gt;=10)+--(O646&gt;=10))</f>
        <v/>
      </c>
      <c r="BE646" s="5" t="str">
        <f aca="false">IF($B646="","",--(AND(F646&lt;&gt;"",F646&lt;=8))+--(AND(G646&lt;&gt;"",G646&lt;=8))+--(AND(H646&lt;&gt;"",H646&lt;=8))+--(AND(I646&lt;&gt;"",I646&lt;=8))+--(AND(J646&lt;&gt;"",J646&lt;=8))+--(AND(K646&lt;&gt;"",K646&lt;=8))+--(AND(L646&lt;&gt;"",L646&lt;=8))+--(AND(M646&lt;&gt;"",M646&lt;=8))+--(AND(N646&lt;&gt;"",N646&lt;=8))+--(AND(O646&lt;&gt;"",O646&lt;=8)))</f>
        <v/>
      </c>
    </row>
    <row r="647" customFormat="false" ht="15" hidden="false" customHeight="false" outlineLevel="0" collapsed="false">
      <c r="AZ647" s="5" t="str">
        <f aca="false">IF($B647="","",SUMPRODUCT(($AL647:$AO647&lt;&gt;"")*(COUNTIF($AP647:$AX647,$AL647:$AO647)&gt;0)))</f>
        <v/>
      </c>
      <c r="BA647" s="5" t="str">
        <f aca="false">IF($B647="","",IF(AZ647&gt;0,1,0))</f>
        <v/>
      </c>
      <c r="BB647" s="5" t="str">
        <f aca="false">IF($AP647="","",IF((($AP647="Engineering and Technology")+($AP647="Science and Mathematics")+($AP647="Computer Science, IT and Allied Fields")+($AP647="Life Sciences /Medicine and Healthcare")+($AP647="Paramedical")+($AP647="Architecture")+($AP647="Environmental Service")+($AP647="Agriculture, Food Industry and Forestry"))&gt;0,"Science",IF((($AP647="Banking and Finance")+($AP647="Management and Administration")+($AP647="Marketing")+($AP647="Sales")+($AP647="Entrepreneurship")+($AP647="Hospitality and Tourism"))&gt;0,"Commerce",IF((($AP647="Social Sciences and Humanities")+($AP647="Law Studies")+($AP647="Education and Training")+($AP647="Art, Design")+($AP647="Entertainment and Mass Media")+($AP647="Community and Social Service")+($AP647="Personal Care and Services")+($AP647="Government and Public Administration")+($AP647="Defence/ Protective Service")+($AP647="Sports"))&gt;0,"Arts / Humanities",""))))</f>
        <v/>
      </c>
      <c r="BC647" s="5" t="str">
        <f aca="false">IF($AL647="","",IF((($AL647="Engineering and Technology")+($AL647="Science and Mathematics")+($AL647="Computer Science, IT and Allied Fields")+($AL647="Life Sciences /Medicine and Healthcare")+($AL647="Paramedical")+($AL647="Architecture")+($AL647="Environmental Service")+($AL647="Agriculture, Food Industry and Forestry"))&gt;0,"Science",IF((($AL647="Banking and Finance")+($AL647="Management and Administration")+($AL647="Marketing")+($AL647="Sales")+($AL647="Entrepreneurship")+($AL647="Hospitality and Tourism"))&gt;0,"Commerce",IF((($AL647="Social Sciences and Humanities")+($AL647="Law Studies")+($AL647="Education and Training")+($AL647="Art, Design")+($AL647="Entertainment and Mass Media")+($AL647="Community and Social Service")+($AL647="Personal Care and Services")+($AL647="Government and Public Administration")+($AL647="Defence/ Protective Service")+($AL647="Sports"))&gt;0,"Arts / Humanities",""))))</f>
        <v/>
      </c>
      <c r="BD647" s="5" t="str">
        <f aca="false">IF($B647="","",--(F647&gt;=10)+--(G647&gt;=10)+--(H647&gt;=10)+--(I647&gt;=10)+--(J647&gt;=10)+--(K647&gt;=10)+--(L647&gt;=10)+--(M647&gt;=10)+--(N647&gt;=10)+--(O647&gt;=10))</f>
        <v/>
      </c>
      <c r="BE647" s="5" t="str">
        <f aca="false">IF($B647="","",--(AND(F647&lt;&gt;"",F647&lt;=8))+--(AND(G647&lt;&gt;"",G647&lt;=8))+--(AND(H647&lt;&gt;"",H647&lt;=8))+--(AND(I647&lt;&gt;"",I647&lt;=8))+--(AND(J647&lt;&gt;"",J647&lt;=8))+--(AND(K647&lt;&gt;"",K647&lt;=8))+--(AND(L647&lt;&gt;"",L647&lt;=8))+--(AND(M647&lt;&gt;"",M647&lt;=8))+--(AND(N647&lt;&gt;"",N647&lt;=8))+--(AND(O647&lt;&gt;"",O647&lt;=8)))</f>
        <v/>
      </c>
    </row>
    <row r="648" customFormat="false" ht="15" hidden="false" customHeight="false" outlineLevel="0" collapsed="false">
      <c r="AZ648" s="5" t="str">
        <f aca="false">IF($B648="","",SUMPRODUCT(($AL648:$AO648&lt;&gt;"")*(COUNTIF($AP648:$AX648,$AL648:$AO648)&gt;0)))</f>
        <v/>
      </c>
      <c r="BA648" s="5" t="str">
        <f aca="false">IF($B648="","",IF(AZ648&gt;0,1,0))</f>
        <v/>
      </c>
      <c r="BB648" s="5" t="str">
        <f aca="false">IF($AP648="","",IF((($AP648="Engineering and Technology")+($AP648="Science and Mathematics")+($AP648="Computer Science, IT and Allied Fields")+($AP648="Life Sciences /Medicine and Healthcare")+($AP648="Paramedical")+($AP648="Architecture")+($AP648="Environmental Service")+($AP648="Agriculture, Food Industry and Forestry"))&gt;0,"Science",IF((($AP648="Banking and Finance")+($AP648="Management and Administration")+($AP648="Marketing")+($AP648="Sales")+($AP648="Entrepreneurship")+($AP648="Hospitality and Tourism"))&gt;0,"Commerce",IF((($AP648="Social Sciences and Humanities")+($AP648="Law Studies")+($AP648="Education and Training")+($AP648="Art, Design")+($AP648="Entertainment and Mass Media")+($AP648="Community and Social Service")+($AP648="Personal Care and Services")+($AP648="Government and Public Administration")+($AP648="Defence/ Protective Service")+($AP648="Sports"))&gt;0,"Arts / Humanities",""))))</f>
        <v/>
      </c>
      <c r="BC648" s="5" t="str">
        <f aca="false">IF($AL648="","",IF((($AL648="Engineering and Technology")+($AL648="Science and Mathematics")+($AL648="Computer Science, IT and Allied Fields")+($AL648="Life Sciences /Medicine and Healthcare")+($AL648="Paramedical")+($AL648="Architecture")+($AL648="Environmental Service")+($AL648="Agriculture, Food Industry and Forestry"))&gt;0,"Science",IF((($AL648="Banking and Finance")+($AL648="Management and Administration")+($AL648="Marketing")+($AL648="Sales")+($AL648="Entrepreneurship")+($AL648="Hospitality and Tourism"))&gt;0,"Commerce",IF((($AL648="Social Sciences and Humanities")+($AL648="Law Studies")+($AL648="Education and Training")+($AL648="Art, Design")+($AL648="Entertainment and Mass Media")+($AL648="Community and Social Service")+($AL648="Personal Care and Services")+($AL648="Government and Public Administration")+($AL648="Defence/ Protective Service")+($AL648="Sports"))&gt;0,"Arts / Humanities",""))))</f>
        <v/>
      </c>
      <c r="BD648" s="5" t="str">
        <f aca="false">IF($B648="","",--(F648&gt;=10)+--(G648&gt;=10)+--(H648&gt;=10)+--(I648&gt;=10)+--(J648&gt;=10)+--(K648&gt;=10)+--(L648&gt;=10)+--(M648&gt;=10)+--(N648&gt;=10)+--(O648&gt;=10))</f>
        <v/>
      </c>
      <c r="BE648" s="5" t="str">
        <f aca="false">IF($B648="","",--(AND(F648&lt;&gt;"",F648&lt;=8))+--(AND(G648&lt;&gt;"",G648&lt;=8))+--(AND(H648&lt;&gt;"",H648&lt;=8))+--(AND(I648&lt;&gt;"",I648&lt;=8))+--(AND(J648&lt;&gt;"",J648&lt;=8))+--(AND(K648&lt;&gt;"",K648&lt;=8))+--(AND(L648&lt;&gt;"",L648&lt;=8))+--(AND(M648&lt;&gt;"",M648&lt;=8))+--(AND(N648&lt;&gt;"",N648&lt;=8))+--(AND(O648&lt;&gt;"",O648&lt;=8)))</f>
        <v/>
      </c>
    </row>
    <row r="649" customFormat="false" ht="15" hidden="false" customHeight="false" outlineLevel="0" collapsed="false">
      <c r="AZ649" s="5" t="str">
        <f aca="false">IF($B649="","",SUMPRODUCT(($AL649:$AO649&lt;&gt;"")*(COUNTIF($AP649:$AX649,$AL649:$AO649)&gt;0)))</f>
        <v/>
      </c>
      <c r="BA649" s="5" t="str">
        <f aca="false">IF($B649="","",IF(AZ649&gt;0,1,0))</f>
        <v/>
      </c>
      <c r="BB649" s="5" t="str">
        <f aca="false">IF($AP649="","",IF((($AP649="Engineering and Technology")+($AP649="Science and Mathematics")+($AP649="Computer Science, IT and Allied Fields")+($AP649="Life Sciences /Medicine and Healthcare")+($AP649="Paramedical")+($AP649="Architecture")+($AP649="Environmental Service")+($AP649="Agriculture, Food Industry and Forestry"))&gt;0,"Science",IF((($AP649="Banking and Finance")+($AP649="Management and Administration")+($AP649="Marketing")+($AP649="Sales")+($AP649="Entrepreneurship")+($AP649="Hospitality and Tourism"))&gt;0,"Commerce",IF((($AP649="Social Sciences and Humanities")+($AP649="Law Studies")+($AP649="Education and Training")+($AP649="Art, Design")+($AP649="Entertainment and Mass Media")+($AP649="Community and Social Service")+($AP649="Personal Care and Services")+($AP649="Government and Public Administration")+($AP649="Defence/ Protective Service")+($AP649="Sports"))&gt;0,"Arts / Humanities",""))))</f>
        <v/>
      </c>
      <c r="BC649" s="5" t="str">
        <f aca="false">IF($AL649="","",IF((($AL649="Engineering and Technology")+($AL649="Science and Mathematics")+($AL649="Computer Science, IT and Allied Fields")+($AL649="Life Sciences /Medicine and Healthcare")+($AL649="Paramedical")+($AL649="Architecture")+($AL649="Environmental Service")+($AL649="Agriculture, Food Industry and Forestry"))&gt;0,"Science",IF((($AL649="Banking and Finance")+($AL649="Management and Administration")+($AL649="Marketing")+($AL649="Sales")+($AL649="Entrepreneurship")+($AL649="Hospitality and Tourism"))&gt;0,"Commerce",IF((($AL649="Social Sciences and Humanities")+($AL649="Law Studies")+($AL649="Education and Training")+($AL649="Art, Design")+($AL649="Entertainment and Mass Media")+($AL649="Community and Social Service")+($AL649="Personal Care and Services")+($AL649="Government and Public Administration")+($AL649="Defence/ Protective Service")+($AL649="Sports"))&gt;0,"Arts / Humanities",""))))</f>
        <v/>
      </c>
      <c r="BD649" s="5" t="str">
        <f aca="false">IF($B649="","",--(F649&gt;=10)+--(G649&gt;=10)+--(H649&gt;=10)+--(I649&gt;=10)+--(J649&gt;=10)+--(K649&gt;=10)+--(L649&gt;=10)+--(M649&gt;=10)+--(N649&gt;=10)+--(O649&gt;=10))</f>
        <v/>
      </c>
      <c r="BE649" s="5" t="str">
        <f aca="false">IF($B649="","",--(AND(F649&lt;&gt;"",F649&lt;=8))+--(AND(G649&lt;&gt;"",G649&lt;=8))+--(AND(H649&lt;&gt;"",H649&lt;=8))+--(AND(I649&lt;&gt;"",I649&lt;=8))+--(AND(J649&lt;&gt;"",J649&lt;=8))+--(AND(K649&lt;&gt;"",K649&lt;=8))+--(AND(L649&lt;&gt;"",L649&lt;=8))+--(AND(M649&lt;&gt;"",M649&lt;=8))+--(AND(N649&lt;&gt;"",N649&lt;=8))+--(AND(O649&lt;&gt;"",O649&lt;=8)))</f>
        <v/>
      </c>
    </row>
    <row r="650" customFormat="false" ht="15" hidden="false" customHeight="false" outlineLevel="0" collapsed="false">
      <c r="AZ650" s="5" t="str">
        <f aca="false">IF($B650="","",SUMPRODUCT(($AL650:$AO650&lt;&gt;"")*(COUNTIF($AP650:$AX650,$AL650:$AO650)&gt;0)))</f>
        <v/>
      </c>
      <c r="BA650" s="5" t="str">
        <f aca="false">IF($B650="","",IF(AZ650&gt;0,1,0))</f>
        <v/>
      </c>
      <c r="BB650" s="5" t="str">
        <f aca="false">IF($AP650="","",IF((($AP650="Engineering and Technology")+($AP650="Science and Mathematics")+($AP650="Computer Science, IT and Allied Fields")+($AP650="Life Sciences /Medicine and Healthcare")+($AP650="Paramedical")+($AP650="Architecture")+($AP650="Environmental Service")+($AP650="Agriculture, Food Industry and Forestry"))&gt;0,"Science",IF((($AP650="Banking and Finance")+($AP650="Management and Administration")+($AP650="Marketing")+($AP650="Sales")+($AP650="Entrepreneurship")+($AP650="Hospitality and Tourism"))&gt;0,"Commerce",IF((($AP650="Social Sciences and Humanities")+($AP650="Law Studies")+($AP650="Education and Training")+($AP650="Art, Design")+($AP650="Entertainment and Mass Media")+($AP650="Community and Social Service")+($AP650="Personal Care and Services")+($AP650="Government and Public Administration")+($AP650="Defence/ Protective Service")+($AP650="Sports"))&gt;0,"Arts / Humanities",""))))</f>
        <v/>
      </c>
      <c r="BC650" s="5" t="str">
        <f aca="false">IF($AL650="","",IF((($AL650="Engineering and Technology")+($AL650="Science and Mathematics")+($AL650="Computer Science, IT and Allied Fields")+($AL650="Life Sciences /Medicine and Healthcare")+($AL650="Paramedical")+($AL650="Architecture")+($AL650="Environmental Service")+($AL650="Agriculture, Food Industry and Forestry"))&gt;0,"Science",IF((($AL650="Banking and Finance")+($AL650="Management and Administration")+($AL650="Marketing")+($AL650="Sales")+($AL650="Entrepreneurship")+($AL650="Hospitality and Tourism"))&gt;0,"Commerce",IF((($AL650="Social Sciences and Humanities")+($AL650="Law Studies")+($AL650="Education and Training")+($AL650="Art, Design")+($AL650="Entertainment and Mass Media")+($AL650="Community and Social Service")+($AL650="Personal Care and Services")+($AL650="Government and Public Administration")+($AL650="Defence/ Protective Service")+($AL650="Sports"))&gt;0,"Arts / Humanities",""))))</f>
        <v/>
      </c>
      <c r="BD650" s="5" t="str">
        <f aca="false">IF($B650="","",--(F650&gt;=10)+--(G650&gt;=10)+--(H650&gt;=10)+--(I650&gt;=10)+--(J650&gt;=10)+--(K650&gt;=10)+--(L650&gt;=10)+--(M650&gt;=10)+--(N650&gt;=10)+--(O650&gt;=10))</f>
        <v/>
      </c>
      <c r="BE650" s="5" t="str">
        <f aca="false">IF($B650="","",--(AND(F650&lt;&gt;"",F650&lt;=8))+--(AND(G650&lt;&gt;"",G650&lt;=8))+--(AND(H650&lt;&gt;"",H650&lt;=8))+--(AND(I650&lt;&gt;"",I650&lt;=8))+--(AND(J650&lt;&gt;"",J650&lt;=8))+--(AND(K650&lt;&gt;"",K650&lt;=8))+--(AND(L650&lt;&gt;"",L650&lt;=8))+--(AND(M650&lt;&gt;"",M650&lt;=8))+--(AND(N650&lt;&gt;"",N650&lt;=8))+--(AND(O650&lt;&gt;"",O650&lt;=8)))</f>
        <v/>
      </c>
    </row>
    <row r="651" customFormat="false" ht="15" hidden="false" customHeight="false" outlineLevel="0" collapsed="false">
      <c r="AZ651" s="5" t="str">
        <f aca="false">IF($B651="","",SUMPRODUCT(($AL651:$AO651&lt;&gt;"")*(COUNTIF($AP651:$AX651,$AL651:$AO651)&gt;0)))</f>
        <v/>
      </c>
      <c r="BA651" s="5" t="str">
        <f aca="false">IF($B651="","",IF(AZ651&gt;0,1,0))</f>
        <v/>
      </c>
      <c r="BB651" s="5" t="str">
        <f aca="false">IF($AP651="","",IF((($AP651="Engineering and Technology")+($AP651="Science and Mathematics")+($AP651="Computer Science, IT and Allied Fields")+($AP651="Life Sciences /Medicine and Healthcare")+($AP651="Paramedical")+($AP651="Architecture")+($AP651="Environmental Service")+($AP651="Agriculture, Food Industry and Forestry"))&gt;0,"Science",IF((($AP651="Banking and Finance")+($AP651="Management and Administration")+($AP651="Marketing")+($AP651="Sales")+($AP651="Entrepreneurship")+($AP651="Hospitality and Tourism"))&gt;0,"Commerce",IF((($AP651="Social Sciences and Humanities")+($AP651="Law Studies")+($AP651="Education and Training")+($AP651="Art, Design")+($AP651="Entertainment and Mass Media")+($AP651="Community and Social Service")+($AP651="Personal Care and Services")+($AP651="Government and Public Administration")+($AP651="Defence/ Protective Service")+($AP651="Sports"))&gt;0,"Arts / Humanities",""))))</f>
        <v/>
      </c>
      <c r="BC651" s="5" t="str">
        <f aca="false">IF($AL651="","",IF((($AL651="Engineering and Technology")+($AL651="Science and Mathematics")+($AL651="Computer Science, IT and Allied Fields")+($AL651="Life Sciences /Medicine and Healthcare")+($AL651="Paramedical")+($AL651="Architecture")+($AL651="Environmental Service")+($AL651="Agriculture, Food Industry and Forestry"))&gt;0,"Science",IF((($AL651="Banking and Finance")+($AL651="Management and Administration")+($AL651="Marketing")+($AL651="Sales")+($AL651="Entrepreneurship")+($AL651="Hospitality and Tourism"))&gt;0,"Commerce",IF((($AL651="Social Sciences and Humanities")+($AL651="Law Studies")+($AL651="Education and Training")+($AL651="Art, Design")+($AL651="Entertainment and Mass Media")+($AL651="Community and Social Service")+($AL651="Personal Care and Services")+($AL651="Government and Public Administration")+($AL651="Defence/ Protective Service")+($AL651="Sports"))&gt;0,"Arts / Humanities",""))))</f>
        <v/>
      </c>
      <c r="BD651" s="5" t="str">
        <f aca="false">IF($B651="","",--(F651&gt;=10)+--(G651&gt;=10)+--(H651&gt;=10)+--(I651&gt;=10)+--(J651&gt;=10)+--(K651&gt;=10)+--(L651&gt;=10)+--(M651&gt;=10)+--(N651&gt;=10)+--(O651&gt;=10))</f>
        <v/>
      </c>
      <c r="BE651" s="5" t="str">
        <f aca="false">IF($B651="","",--(AND(F651&lt;&gt;"",F651&lt;=8))+--(AND(G651&lt;&gt;"",G651&lt;=8))+--(AND(H651&lt;&gt;"",H651&lt;=8))+--(AND(I651&lt;&gt;"",I651&lt;=8))+--(AND(J651&lt;&gt;"",J651&lt;=8))+--(AND(K651&lt;&gt;"",K651&lt;=8))+--(AND(L651&lt;&gt;"",L651&lt;=8))+--(AND(M651&lt;&gt;"",M651&lt;=8))+--(AND(N651&lt;&gt;"",N651&lt;=8))+--(AND(O651&lt;&gt;"",O651&lt;=8)))</f>
        <v/>
      </c>
    </row>
    <row r="652" customFormat="false" ht="15" hidden="false" customHeight="false" outlineLevel="0" collapsed="false">
      <c r="AZ652" s="5" t="str">
        <f aca="false">IF($B652="","",SUMPRODUCT(($AL652:$AO652&lt;&gt;"")*(COUNTIF($AP652:$AX652,$AL652:$AO652)&gt;0)))</f>
        <v/>
      </c>
      <c r="BA652" s="5" t="str">
        <f aca="false">IF($B652="","",IF(AZ652&gt;0,1,0))</f>
        <v/>
      </c>
      <c r="BB652" s="5" t="str">
        <f aca="false">IF($AP652="","",IF((($AP652="Engineering and Technology")+($AP652="Science and Mathematics")+($AP652="Computer Science, IT and Allied Fields")+($AP652="Life Sciences /Medicine and Healthcare")+($AP652="Paramedical")+($AP652="Architecture")+($AP652="Environmental Service")+($AP652="Agriculture, Food Industry and Forestry"))&gt;0,"Science",IF((($AP652="Banking and Finance")+($AP652="Management and Administration")+($AP652="Marketing")+($AP652="Sales")+($AP652="Entrepreneurship")+($AP652="Hospitality and Tourism"))&gt;0,"Commerce",IF((($AP652="Social Sciences and Humanities")+($AP652="Law Studies")+($AP652="Education and Training")+($AP652="Art, Design")+($AP652="Entertainment and Mass Media")+($AP652="Community and Social Service")+($AP652="Personal Care and Services")+($AP652="Government and Public Administration")+($AP652="Defence/ Protective Service")+($AP652="Sports"))&gt;0,"Arts / Humanities",""))))</f>
        <v/>
      </c>
      <c r="BC652" s="5" t="str">
        <f aca="false">IF($AL652="","",IF((($AL652="Engineering and Technology")+($AL652="Science and Mathematics")+($AL652="Computer Science, IT and Allied Fields")+($AL652="Life Sciences /Medicine and Healthcare")+($AL652="Paramedical")+($AL652="Architecture")+($AL652="Environmental Service")+($AL652="Agriculture, Food Industry and Forestry"))&gt;0,"Science",IF((($AL652="Banking and Finance")+($AL652="Management and Administration")+($AL652="Marketing")+($AL652="Sales")+($AL652="Entrepreneurship")+($AL652="Hospitality and Tourism"))&gt;0,"Commerce",IF((($AL652="Social Sciences and Humanities")+($AL652="Law Studies")+($AL652="Education and Training")+($AL652="Art, Design")+($AL652="Entertainment and Mass Media")+($AL652="Community and Social Service")+($AL652="Personal Care and Services")+($AL652="Government and Public Administration")+($AL652="Defence/ Protective Service")+($AL652="Sports"))&gt;0,"Arts / Humanities",""))))</f>
        <v/>
      </c>
      <c r="BD652" s="5" t="str">
        <f aca="false">IF($B652="","",--(F652&gt;=10)+--(G652&gt;=10)+--(H652&gt;=10)+--(I652&gt;=10)+--(J652&gt;=10)+--(K652&gt;=10)+--(L652&gt;=10)+--(M652&gt;=10)+--(N652&gt;=10)+--(O652&gt;=10))</f>
        <v/>
      </c>
      <c r="BE652" s="5" t="str">
        <f aca="false">IF($B652="","",--(AND(F652&lt;&gt;"",F652&lt;=8))+--(AND(G652&lt;&gt;"",G652&lt;=8))+--(AND(H652&lt;&gt;"",H652&lt;=8))+--(AND(I652&lt;&gt;"",I652&lt;=8))+--(AND(J652&lt;&gt;"",J652&lt;=8))+--(AND(K652&lt;&gt;"",K652&lt;=8))+--(AND(L652&lt;&gt;"",L652&lt;=8))+--(AND(M652&lt;&gt;"",M652&lt;=8))+--(AND(N652&lt;&gt;"",N652&lt;=8))+--(AND(O652&lt;&gt;"",O652&lt;=8)))</f>
        <v/>
      </c>
    </row>
    <row r="653" customFormat="false" ht="15" hidden="false" customHeight="false" outlineLevel="0" collapsed="false">
      <c r="AZ653" s="5" t="str">
        <f aca="false">IF($B653="","",SUMPRODUCT(($AL653:$AO653&lt;&gt;"")*(COUNTIF($AP653:$AX653,$AL653:$AO653)&gt;0)))</f>
        <v/>
      </c>
      <c r="BA653" s="5" t="str">
        <f aca="false">IF($B653="","",IF(AZ653&gt;0,1,0))</f>
        <v/>
      </c>
      <c r="BB653" s="5" t="str">
        <f aca="false">IF($AP653="","",IF((($AP653="Engineering and Technology")+($AP653="Science and Mathematics")+($AP653="Computer Science, IT and Allied Fields")+($AP653="Life Sciences /Medicine and Healthcare")+($AP653="Paramedical")+($AP653="Architecture")+($AP653="Environmental Service")+($AP653="Agriculture, Food Industry and Forestry"))&gt;0,"Science",IF((($AP653="Banking and Finance")+($AP653="Management and Administration")+($AP653="Marketing")+($AP653="Sales")+($AP653="Entrepreneurship")+($AP653="Hospitality and Tourism"))&gt;0,"Commerce",IF((($AP653="Social Sciences and Humanities")+($AP653="Law Studies")+($AP653="Education and Training")+($AP653="Art, Design")+($AP653="Entertainment and Mass Media")+($AP653="Community and Social Service")+($AP653="Personal Care and Services")+($AP653="Government and Public Administration")+($AP653="Defence/ Protective Service")+($AP653="Sports"))&gt;0,"Arts / Humanities",""))))</f>
        <v/>
      </c>
      <c r="BC653" s="5" t="str">
        <f aca="false">IF($AL653="","",IF((($AL653="Engineering and Technology")+($AL653="Science and Mathematics")+($AL653="Computer Science, IT and Allied Fields")+($AL653="Life Sciences /Medicine and Healthcare")+($AL653="Paramedical")+($AL653="Architecture")+($AL653="Environmental Service")+($AL653="Agriculture, Food Industry and Forestry"))&gt;0,"Science",IF((($AL653="Banking and Finance")+($AL653="Management and Administration")+($AL653="Marketing")+($AL653="Sales")+($AL653="Entrepreneurship")+($AL653="Hospitality and Tourism"))&gt;0,"Commerce",IF((($AL653="Social Sciences and Humanities")+($AL653="Law Studies")+($AL653="Education and Training")+($AL653="Art, Design")+($AL653="Entertainment and Mass Media")+($AL653="Community and Social Service")+($AL653="Personal Care and Services")+($AL653="Government and Public Administration")+($AL653="Defence/ Protective Service")+($AL653="Sports"))&gt;0,"Arts / Humanities",""))))</f>
        <v/>
      </c>
      <c r="BD653" s="5" t="str">
        <f aca="false">IF($B653="","",--(F653&gt;=10)+--(G653&gt;=10)+--(H653&gt;=10)+--(I653&gt;=10)+--(J653&gt;=10)+--(K653&gt;=10)+--(L653&gt;=10)+--(M653&gt;=10)+--(N653&gt;=10)+--(O653&gt;=10))</f>
        <v/>
      </c>
      <c r="BE653" s="5" t="str">
        <f aca="false">IF($B653="","",--(AND(F653&lt;&gt;"",F653&lt;=8))+--(AND(G653&lt;&gt;"",G653&lt;=8))+--(AND(H653&lt;&gt;"",H653&lt;=8))+--(AND(I653&lt;&gt;"",I653&lt;=8))+--(AND(J653&lt;&gt;"",J653&lt;=8))+--(AND(K653&lt;&gt;"",K653&lt;=8))+--(AND(L653&lt;&gt;"",L653&lt;=8))+--(AND(M653&lt;&gt;"",M653&lt;=8))+--(AND(N653&lt;&gt;"",N653&lt;=8))+--(AND(O653&lt;&gt;"",O653&lt;=8)))</f>
        <v/>
      </c>
    </row>
    <row r="654" customFormat="false" ht="15" hidden="false" customHeight="false" outlineLevel="0" collapsed="false">
      <c r="AZ654" s="5" t="str">
        <f aca="false">IF($B654="","",SUMPRODUCT(($AL654:$AO654&lt;&gt;"")*(COUNTIF($AP654:$AX654,$AL654:$AO654)&gt;0)))</f>
        <v/>
      </c>
      <c r="BA654" s="5" t="str">
        <f aca="false">IF($B654="","",IF(AZ654&gt;0,1,0))</f>
        <v/>
      </c>
      <c r="BB654" s="5" t="str">
        <f aca="false">IF($AP654="","",IF((($AP654="Engineering and Technology")+($AP654="Science and Mathematics")+($AP654="Computer Science, IT and Allied Fields")+($AP654="Life Sciences /Medicine and Healthcare")+($AP654="Paramedical")+($AP654="Architecture")+($AP654="Environmental Service")+($AP654="Agriculture, Food Industry and Forestry"))&gt;0,"Science",IF((($AP654="Banking and Finance")+($AP654="Management and Administration")+($AP654="Marketing")+($AP654="Sales")+($AP654="Entrepreneurship")+($AP654="Hospitality and Tourism"))&gt;0,"Commerce",IF((($AP654="Social Sciences and Humanities")+($AP654="Law Studies")+($AP654="Education and Training")+($AP654="Art, Design")+($AP654="Entertainment and Mass Media")+($AP654="Community and Social Service")+($AP654="Personal Care and Services")+($AP654="Government and Public Administration")+($AP654="Defence/ Protective Service")+($AP654="Sports"))&gt;0,"Arts / Humanities",""))))</f>
        <v/>
      </c>
      <c r="BC654" s="5" t="str">
        <f aca="false">IF($AL654="","",IF((($AL654="Engineering and Technology")+($AL654="Science and Mathematics")+($AL654="Computer Science, IT and Allied Fields")+($AL654="Life Sciences /Medicine and Healthcare")+($AL654="Paramedical")+($AL654="Architecture")+($AL654="Environmental Service")+($AL654="Agriculture, Food Industry and Forestry"))&gt;0,"Science",IF((($AL654="Banking and Finance")+($AL654="Management and Administration")+($AL654="Marketing")+($AL654="Sales")+($AL654="Entrepreneurship")+($AL654="Hospitality and Tourism"))&gt;0,"Commerce",IF((($AL654="Social Sciences and Humanities")+($AL654="Law Studies")+($AL654="Education and Training")+($AL654="Art, Design")+($AL654="Entertainment and Mass Media")+($AL654="Community and Social Service")+($AL654="Personal Care and Services")+($AL654="Government and Public Administration")+($AL654="Defence/ Protective Service")+($AL654="Sports"))&gt;0,"Arts / Humanities",""))))</f>
        <v/>
      </c>
      <c r="BD654" s="5" t="str">
        <f aca="false">IF($B654="","",--(F654&gt;=10)+--(G654&gt;=10)+--(H654&gt;=10)+--(I654&gt;=10)+--(J654&gt;=10)+--(K654&gt;=10)+--(L654&gt;=10)+--(M654&gt;=10)+--(N654&gt;=10)+--(O654&gt;=10))</f>
        <v/>
      </c>
      <c r="BE654" s="5" t="str">
        <f aca="false">IF($B654="","",--(AND(F654&lt;&gt;"",F654&lt;=8))+--(AND(G654&lt;&gt;"",G654&lt;=8))+--(AND(H654&lt;&gt;"",H654&lt;=8))+--(AND(I654&lt;&gt;"",I654&lt;=8))+--(AND(J654&lt;&gt;"",J654&lt;=8))+--(AND(K654&lt;&gt;"",K654&lt;=8))+--(AND(L654&lt;&gt;"",L654&lt;=8))+--(AND(M654&lt;&gt;"",M654&lt;=8))+--(AND(N654&lt;&gt;"",N654&lt;=8))+--(AND(O654&lt;&gt;"",O654&lt;=8)))</f>
        <v/>
      </c>
    </row>
    <row r="655" customFormat="false" ht="15" hidden="false" customHeight="false" outlineLevel="0" collapsed="false">
      <c r="AZ655" s="5" t="str">
        <f aca="false">IF($B655="","",SUMPRODUCT(($AL655:$AO655&lt;&gt;"")*(COUNTIF($AP655:$AX655,$AL655:$AO655)&gt;0)))</f>
        <v/>
      </c>
      <c r="BA655" s="5" t="str">
        <f aca="false">IF($B655="","",IF(AZ655&gt;0,1,0))</f>
        <v/>
      </c>
      <c r="BB655" s="5" t="str">
        <f aca="false">IF($AP655="","",IF((($AP655="Engineering and Technology")+($AP655="Science and Mathematics")+($AP655="Computer Science, IT and Allied Fields")+($AP655="Life Sciences /Medicine and Healthcare")+($AP655="Paramedical")+($AP655="Architecture")+($AP655="Environmental Service")+($AP655="Agriculture, Food Industry and Forestry"))&gt;0,"Science",IF((($AP655="Banking and Finance")+($AP655="Management and Administration")+($AP655="Marketing")+($AP655="Sales")+($AP655="Entrepreneurship")+($AP655="Hospitality and Tourism"))&gt;0,"Commerce",IF((($AP655="Social Sciences and Humanities")+($AP655="Law Studies")+($AP655="Education and Training")+($AP655="Art, Design")+($AP655="Entertainment and Mass Media")+($AP655="Community and Social Service")+($AP655="Personal Care and Services")+($AP655="Government and Public Administration")+($AP655="Defence/ Protective Service")+($AP655="Sports"))&gt;0,"Arts / Humanities",""))))</f>
        <v/>
      </c>
      <c r="BC655" s="5" t="str">
        <f aca="false">IF($AL655="","",IF((($AL655="Engineering and Technology")+($AL655="Science and Mathematics")+($AL655="Computer Science, IT and Allied Fields")+($AL655="Life Sciences /Medicine and Healthcare")+($AL655="Paramedical")+($AL655="Architecture")+($AL655="Environmental Service")+($AL655="Agriculture, Food Industry and Forestry"))&gt;0,"Science",IF((($AL655="Banking and Finance")+($AL655="Management and Administration")+($AL655="Marketing")+($AL655="Sales")+($AL655="Entrepreneurship")+($AL655="Hospitality and Tourism"))&gt;0,"Commerce",IF((($AL655="Social Sciences and Humanities")+($AL655="Law Studies")+($AL655="Education and Training")+($AL655="Art, Design")+($AL655="Entertainment and Mass Media")+($AL655="Community and Social Service")+($AL655="Personal Care and Services")+($AL655="Government and Public Administration")+($AL655="Defence/ Protective Service")+($AL655="Sports"))&gt;0,"Arts / Humanities",""))))</f>
        <v/>
      </c>
      <c r="BD655" s="5" t="str">
        <f aca="false">IF($B655="","",--(F655&gt;=10)+--(G655&gt;=10)+--(H655&gt;=10)+--(I655&gt;=10)+--(J655&gt;=10)+--(K655&gt;=10)+--(L655&gt;=10)+--(M655&gt;=10)+--(N655&gt;=10)+--(O655&gt;=10))</f>
        <v/>
      </c>
      <c r="BE655" s="5" t="str">
        <f aca="false">IF($B655="","",--(AND(F655&lt;&gt;"",F655&lt;=8))+--(AND(G655&lt;&gt;"",G655&lt;=8))+--(AND(H655&lt;&gt;"",H655&lt;=8))+--(AND(I655&lt;&gt;"",I655&lt;=8))+--(AND(J655&lt;&gt;"",J655&lt;=8))+--(AND(K655&lt;&gt;"",K655&lt;=8))+--(AND(L655&lt;&gt;"",L655&lt;=8))+--(AND(M655&lt;&gt;"",M655&lt;=8))+--(AND(N655&lt;&gt;"",N655&lt;=8))+--(AND(O655&lt;&gt;"",O655&lt;=8)))</f>
        <v/>
      </c>
    </row>
    <row r="656" customFormat="false" ht="15" hidden="false" customHeight="false" outlineLevel="0" collapsed="false">
      <c r="AZ656" s="5" t="str">
        <f aca="false">IF($B656="","",SUMPRODUCT(($AL656:$AO656&lt;&gt;"")*(COUNTIF($AP656:$AX656,$AL656:$AO656)&gt;0)))</f>
        <v/>
      </c>
      <c r="BA656" s="5" t="str">
        <f aca="false">IF($B656="","",IF(AZ656&gt;0,1,0))</f>
        <v/>
      </c>
      <c r="BB656" s="5" t="str">
        <f aca="false">IF($AP656="","",IF((($AP656="Engineering and Technology")+($AP656="Science and Mathematics")+($AP656="Computer Science, IT and Allied Fields")+($AP656="Life Sciences /Medicine and Healthcare")+($AP656="Paramedical")+($AP656="Architecture")+($AP656="Environmental Service")+($AP656="Agriculture, Food Industry and Forestry"))&gt;0,"Science",IF((($AP656="Banking and Finance")+($AP656="Management and Administration")+($AP656="Marketing")+($AP656="Sales")+($AP656="Entrepreneurship")+($AP656="Hospitality and Tourism"))&gt;0,"Commerce",IF((($AP656="Social Sciences and Humanities")+($AP656="Law Studies")+($AP656="Education and Training")+($AP656="Art, Design")+($AP656="Entertainment and Mass Media")+($AP656="Community and Social Service")+($AP656="Personal Care and Services")+($AP656="Government and Public Administration")+($AP656="Defence/ Protective Service")+($AP656="Sports"))&gt;0,"Arts / Humanities",""))))</f>
        <v/>
      </c>
      <c r="BC656" s="5" t="str">
        <f aca="false">IF($AL656="","",IF((($AL656="Engineering and Technology")+($AL656="Science and Mathematics")+($AL656="Computer Science, IT and Allied Fields")+($AL656="Life Sciences /Medicine and Healthcare")+($AL656="Paramedical")+($AL656="Architecture")+($AL656="Environmental Service")+($AL656="Agriculture, Food Industry and Forestry"))&gt;0,"Science",IF((($AL656="Banking and Finance")+($AL656="Management and Administration")+($AL656="Marketing")+($AL656="Sales")+($AL656="Entrepreneurship")+($AL656="Hospitality and Tourism"))&gt;0,"Commerce",IF((($AL656="Social Sciences and Humanities")+($AL656="Law Studies")+($AL656="Education and Training")+($AL656="Art, Design")+($AL656="Entertainment and Mass Media")+($AL656="Community and Social Service")+($AL656="Personal Care and Services")+($AL656="Government and Public Administration")+($AL656="Defence/ Protective Service")+($AL656="Sports"))&gt;0,"Arts / Humanities",""))))</f>
        <v/>
      </c>
      <c r="BD656" s="5" t="str">
        <f aca="false">IF($B656="","",--(F656&gt;=10)+--(G656&gt;=10)+--(H656&gt;=10)+--(I656&gt;=10)+--(J656&gt;=10)+--(K656&gt;=10)+--(L656&gt;=10)+--(M656&gt;=10)+--(N656&gt;=10)+--(O656&gt;=10))</f>
        <v/>
      </c>
      <c r="BE656" s="5" t="str">
        <f aca="false">IF($B656="","",--(AND(F656&lt;&gt;"",F656&lt;=8))+--(AND(G656&lt;&gt;"",G656&lt;=8))+--(AND(H656&lt;&gt;"",H656&lt;=8))+--(AND(I656&lt;&gt;"",I656&lt;=8))+--(AND(J656&lt;&gt;"",J656&lt;=8))+--(AND(K656&lt;&gt;"",K656&lt;=8))+--(AND(L656&lt;&gt;"",L656&lt;=8))+--(AND(M656&lt;&gt;"",M656&lt;=8))+--(AND(N656&lt;&gt;"",N656&lt;=8))+--(AND(O656&lt;&gt;"",O656&lt;=8)))</f>
        <v/>
      </c>
    </row>
    <row r="657" customFormat="false" ht="15" hidden="false" customHeight="false" outlineLevel="0" collapsed="false">
      <c r="AZ657" s="5" t="str">
        <f aca="false">IF($B657="","",SUMPRODUCT(($AL657:$AO657&lt;&gt;"")*(COUNTIF($AP657:$AX657,$AL657:$AO657)&gt;0)))</f>
        <v/>
      </c>
      <c r="BA657" s="5" t="str">
        <f aca="false">IF($B657="","",IF(AZ657&gt;0,1,0))</f>
        <v/>
      </c>
      <c r="BB657" s="5" t="str">
        <f aca="false">IF($AP657="","",IF((($AP657="Engineering and Technology")+($AP657="Science and Mathematics")+($AP657="Computer Science, IT and Allied Fields")+($AP657="Life Sciences /Medicine and Healthcare")+($AP657="Paramedical")+($AP657="Architecture")+($AP657="Environmental Service")+($AP657="Agriculture, Food Industry and Forestry"))&gt;0,"Science",IF((($AP657="Banking and Finance")+($AP657="Management and Administration")+($AP657="Marketing")+($AP657="Sales")+($AP657="Entrepreneurship")+($AP657="Hospitality and Tourism"))&gt;0,"Commerce",IF((($AP657="Social Sciences and Humanities")+($AP657="Law Studies")+($AP657="Education and Training")+($AP657="Art, Design")+($AP657="Entertainment and Mass Media")+($AP657="Community and Social Service")+($AP657="Personal Care and Services")+($AP657="Government and Public Administration")+($AP657="Defence/ Protective Service")+($AP657="Sports"))&gt;0,"Arts / Humanities",""))))</f>
        <v/>
      </c>
      <c r="BC657" s="5" t="str">
        <f aca="false">IF($AL657="","",IF((($AL657="Engineering and Technology")+($AL657="Science and Mathematics")+($AL657="Computer Science, IT and Allied Fields")+($AL657="Life Sciences /Medicine and Healthcare")+($AL657="Paramedical")+($AL657="Architecture")+($AL657="Environmental Service")+($AL657="Agriculture, Food Industry and Forestry"))&gt;0,"Science",IF((($AL657="Banking and Finance")+($AL657="Management and Administration")+($AL657="Marketing")+($AL657="Sales")+($AL657="Entrepreneurship")+($AL657="Hospitality and Tourism"))&gt;0,"Commerce",IF((($AL657="Social Sciences and Humanities")+($AL657="Law Studies")+($AL657="Education and Training")+($AL657="Art, Design")+($AL657="Entertainment and Mass Media")+($AL657="Community and Social Service")+($AL657="Personal Care and Services")+($AL657="Government and Public Administration")+($AL657="Defence/ Protective Service")+($AL657="Sports"))&gt;0,"Arts / Humanities",""))))</f>
        <v/>
      </c>
      <c r="BD657" s="5" t="str">
        <f aca="false">IF($B657="","",--(F657&gt;=10)+--(G657&gt;=10)+--(H657&gt;=10)+--(I657&gt;=10)+--(J657&gt;=10)+--(K657&gt;=10)+--(L657&gt;=10)+--(M657&gt;=10)+--(N657&gt;=10)+--(O657&gt;=10))</f>
        <v/>
      </c>
      <c r="BE657" s="5" t="str">
        <f aca="false">IF($B657="","",--(AND(F657&lt;&gt;"",F657&lt;=8))+--(AND(G657&lt;&gt;"",G657&lt;=8))+--(AND(H657&lt;&gt;"",H657&lt;=8))+--(AND(I657&lt;&gt;"",I657&lt;=8))+--(AND(J657&lt;&gt;"",J657&lt;=8))+--(AND(K657&lt;&gt;"",K657&lt;=8))+--(AND(L657&lt;&gt;"",L657&lt;=8))+--(AND(M657&lt;&gt;"",M657&lt;=8))+--(AND(N657&lt;&gt;"",N657&lt;=8))+--(AND(O657&lt;&gt;"",O657&lt;=8)))</f>
        <v/>
      </c>
    </row>
    <row r="658" customFormat="false" ht="15" hidden="false" customHeight="false" outlineLevel="0" collapsed="false">
      <c r="AZ658" s="5" t="str">
        <f aca="false">IF($B658="","",SUMPRODUCT(($AL658:$AO658&lt;&gt;"")*(COUNTIF($AP658:$AX658,$AL658:$AO658)&gt;0)))</f>
        <v/>
      </c>
      <c r="BA658" s="5" t="str">
        <f aca="false">IF($B658="","",IF(AZ658&gt;0,1,0))</f>
        <v/>
      </c>
      <c r="BB658" s="5" t="str">
        <f aca="false">IF($AP658="","",IF((($AP658="Engineering and Technology")+($AP658="Science and Mathematics")+($AP658="Computer Science, IT and Allied Fields")+($AP658="Life Sciences /Medicine and Healthcare")+($AP658="Paramedical")+($AP658="Architecture")+($AP658="Environmental Service")+($AP658="Agriculture, Food Industry and Forestry"))&gt;0,"Science",IF((($AP658="Banking and Finance")+($AP658="Management and Administration")+($AP658="Marketing")+($AP658="Sales")+($AP658="Entrepreneurship")+($AP658="Hospitality and Tourism"))&gt;0,"Commerce",IF((($AP658="Social Sciences and Humanities")+($AP658="Law Studies")+($AP658="Education and Training")+($AP658="Art, Design")+($AP658="Entertainment and Mass Media")+($AP658="Community and Social Service")+($AP658="Personal Care and Services")+($AP658="Government and Public Administration")+($AP658="Defence/ Protective Service")+($AP658="Sports"))&gt;0,"Arts / Humanities",""))))</f>
        <v/>
      </c>
      <c r="BC658" s="5" t="str">
        <f aca="false">IF($AL658="","",IF((($AL658="Engineering and Technology")+($AL658="Science and Mathematics")+($AL658="Computer Science, IT and Allied Fields")+($AL658="Life Sciences /Medicine and Healthcare")+($AL658="Paramedical")+($AL658="Architecture")+($AL658="Environmental Service")+($AL658="Agriculture, Food Industry and Forestry"))&gt;0,"Science",IF((($AL658="Banking and Finance")+($AL658="Management and Administration")+($AL658="Marketing")+($AL658="Sales")+($AL658="Entrepreneurship")+($AL658="Hospitality and Tourism"))&gt;0,"Commerce",IF((($AL658="Social Sciences and Humanities")+($AL658="Law Studies")+($AL658="Education and Training")+($AL658="Art, Design")+($AL658="Entertainment and Mass Media")+($AL658="Community and Social Service")+($AL658="Personal Care and Services")+($AL658="Government and Public Administration")+($AL658="Defence/ Protective Service")+($AL658="Sports"))&gt;0,"Arts / Humanities",""))))</f>
        <v/>
      </c>
      <c r="BD658" s="5" t="str">
        <f aca="false">IF($B658="","",--(F658&gt;=10)+--(G658&gt;=10)+--(H658&gt;=10)+--(I658&gt;=10)+--(J658&gt;=10)+--(K658&gt;=10)+--(L658&gt;=10)+--(M658&gt;=10)+--(N658&gt;=10)+--(O658&gt;=10))</f>
        <v/>
      </c>
      <c r="BE658" s="5" t="str">
        <f aca="false">IF($B658="","",--(AND(F658&lt;&gt;"",F658&lt;=8))+--(AND(G658&lt;&gt;"",G658&lt;=8))+--(AND(H658&lt;&gt;"",H658&lt;=8))+--(AND(I658&lt;&gt;"",I658&lt;=8))+--(AND(J658&lt;&gt;"",J658&lt;=8))+--(AND(K658&lt;&gt;"",K658&lt;=8))+--(AND(L658&lt;&gt;"",L658&lt;=8))+--(AND(M658&lt;&gt;"",M658&lt;=8))+--(AND(N658&lt;&gt;"",N658&lt;=8))+--(AND(O658&lt;&gt;"",O658&lt;=8)))</f>
        <v/>
      </c>
    </row>
    <row r="659" customFormat="false" ht="15" hidden="false" customHeight="false" outlineLevel="0" collapsed="false">
      <c r="AZ659" s="5" t="str">
        <f aca="false">IF($B659="","",SUMPRODUCT(($AL659:$AO659&lt;&gt;"")*(COUNTIF($AP659:$AX659,$AL659:$AO659)&gt;0)))</f>
        <v/>
      </c>
      <c r="BA659" s="5" t="str">
        <f aca="false">IF($B659="","",IF(AZ659&gt;0,1,0))</f>
        <v/>
      </c>
      <c r="BB659" s="5" t="str">
        <f aca="false">IF($AP659="","",IF((($AP659="Engineering and Technology")+($AP659="Science and Mathematics")+($AP659="Computer Science, IT and Allied Fields")+($AP659="Life Sciences /Medicine and Healthcare")+($AP659="Paramedical")+($AP659="Architecture")+($AP659="Environmental Service")+($AP659="Agriculture, Food Industry and Forestry"))&gt;0,"Science",IF((($AP659="Banking and Finance")+($AP659="Management and Administration")+($AP659="Marketing")+($AP659="Sales")+($AP659="Entrepreneurship")+($AP659="Hospitality and Tourism"))&gt;0,"Commerce",IF((($AP659="Social Sciences and Humanities")+($AP659="Law Studies")+($AP659="Education and Training")+($AP659="Art, Design")+($AP659="Entertainment and Mass Media")+($AP659="Community and Social Service")+($AP659="Personal Care and Services")+($AP659="Government and Public Administration")+($AP659="Defence/ Protective Service")+($AP659="Sports"))&gt;0,"Arts / Humanities",""))))</f>
        <v/>
      </c>
      <c r="BC659" s="5" t="str">
        <f aca="false">IF($AL659="","",IF((($AL659="Engineering and Technology")+($AL659="Science and Mathematics")+($AL659="Computer Science, IT and Allied Fields")+($AL659="Life Sciences /Medicine and Healthcare")+($AL659="Paramedical")+($AL659="Architecture")+($AL659="Environmental Service")+($AL659="Agriculture, Food Industry and Forestry"))&gt;0,"Science",IF((($AL659="Banking and Finance")+($AL659="Management and Administration")+($AL659="Marketing")+($AL659="Sales")+($AL659="Entrepreneurship")+($AL659="Hospitality and Tourism"))&gt;0,"Commerce",IF((($AL659="Social Sciences and Humanities")+($AL659="Law Studies")+($AL659="Education and Training")+($AL659="Art, Design")+($AL659="Entertainment and Mass Media")+($AL659="Community and Social Service")+($AL659="Personal Care and Services")+($AL659="Government and Public Administration")+($AL659="Defence/ Protective Service")+($AL659="Sports"))&gt;0,"Arts / Humanities",""))))</f>
        <v/>
      </c>
      <c r="BD659" s="5" t="str">
        <f aca="false">IF($B659="","",--(F659&gt;=10)+--(G659&gt;=10)+--(H659&gt;=10)+--(I659&gt;=10)+--(J659&gt;=10)+--(K659&gt;=10)+--(L659&gt;=10)+--(M659&gt;=10)+--(N659&gt;=10)+--(O659&gt;=10))</f>
        <v/>
      </c>
      <c r="BE659" s="5" t="str">
        <f aca="false">IF($B659="","",--(AND(F659&lt;&gt;"",F659&lt;=8))+--(AND(G659&lt;&gt;"",G659&lt;=8))+--(AND(H659&lt;&gt;"",H659&lt;=8))+--(AND(I659&lt;&gt;"",I659&lt;=8))+--(AND(J659&lt;&gt;"",J659&lt;=8))+--(AND(K659&lt;&gt;"",K659&lt;=8))+--(AND(L659&lt;&gt;"",L659&lt;=8))+--(AND(M659&lt;&gt;"",M659&lt;=8))+--(AND(N659&lt;&gt;"",N659&lt;=8))+--(AND(O659&lt;&gt;"",O659&lt;=8)))</f>
        <v/>
      </c>
    </row>
    <row r="660" customFormat="false" ht="15" hidden="false" customHeight="false" outlineLevel="0" collapsed="false">
      <c r="AZ660" s="5" t="str">
        <f aca="false">IF($B660="","",SUMPRODUCT(($AL660:$AO660&lt;&gt;"")*(COUNTIF($AP660:$AX660,$AL660:$AO660)&gt;0)))</f>
        <v/>
      </c>
      <c r="BA660" s="5" t="str">
        <f aca="false">IF($B660="","",IF(AZ660&gt;0,1,0))</f>
        <v/>
      </c>
      <c r="BB660" s="5" t="str">
        <f aca="false">IF($AP660="","",IF((($AP660="Engineering and Technology")+($AP660="Science and Mathematics")+($AP660="Computer Science, IT and Allied Fields")+($AP660="Life Sciences /Medicine and Healthcare")+($AP660="Paramedical")+($AP660="Architecture")+($AP660="Environmental Service")+($AP660="Agriculture, Food Industry and Forestry"))&gt;0,"Science",IF((($AP660="Banking and Finance")+($AP660="Management and Administration")+($AP660="Marketing")+($AP660="Sales")+($AP660="Entrepreneurship")+($AP660="Hospitality and Tourism"))&gt;0,"Commerce",IF((($AP660="Social Sciences and Humanities")+($AP660="Law Studies")+($AP660="Education and Training")+($AP660="Art, Design")+($AP660="Entertainment and Mass Media")+($AP660="Community and Social Service")+($AP660="Personal Care and Services")+($AP660="Government and Public Administration")+($AP660="Defence/ Protective Service")+($AP660="Sports"))&gt;0,"Arts / Humanities",""))))</f>
        <v/>
      </c>
      <c r="BC660" s="5" t="str">
        <f aca="false">IF($AL660="","",IF((($AL660="Engineering and Technology")+($AL660="Science and Mathematics")+($AL660="Computer Science, IT and Allied Fields")+($AL660="Life Sciences /Medicine and Healthcare")+($AL660="Paramedical")+($AL660="Architecture")+($AL660="Environmental Service")+($AL660="Agriculture, Food Industry and Forestry"))&gt;0,"Science",IF((($AL660="Banking and Finance")+($AL660="Management and Administration")+($AL660="Marketing")+($AL660="Sales")+($AL660="Entrepreneurship")+($AL660="Hospitality and Tourism"))&gt;0,"Commerce",IF((($AL660="Social Sciences and Humanities")+($AL660="Law Studies")+($AL660="Education and Training")+($AL660="Art, Design")+($AL660="Entertainment and Mass Media")+($AL660="Community and Social Service")+($AL660="Personal Care and Services")+($AL660="Government and Public Administration")+($AL660="Defence/ Protective Service")+($AL660="Sports"))&gt;0,"Arts / Humanities",""))))</f>
        <v/>
      </c>
      <c r="BD660" s="5" t="str">
        <f aca="false">IF($B660="","",--(F660&gt;=10)+--(G660&gt;=10)+--(H660&gt;=10)+--(I660&gt;=10)+--(J660&gt;=10)+--(K660&gt;=10)+--(L660&gt;=10)+--(M660&gt;=10)+--(N660&gt;=10)+--(O660&gt;=10))</f>
        <v/>
      </c>
      <c r="BE660" s="5" t="str">
        <f aca="false">IF($B660="","",--(AND(F660&lt;&gt;"",F660&lt;=8))+--(AND(G660&lt;&gt;"",G660&lt;=8))+--(AND(H660&lt;&gt;"",H660&lt;=8))+--(AND(I660&lt;&gt;"",I660&lt;=8))+--(AND(J660&lt;&gt;"",J660&lt;=8))+--(AND(K660&lt;&gt;"",K660&lt;=8))+--(AND(L660&lt;&gt;"",L660&lt;=8))+--(AND(M660&lt;&gt;"",M660&lt;=8))+--(AND(N660&lt;&gt;"",N660&lt;=8))+--(AND(O660&lt;&gt;"",O660&lt;=8)))</f>
        <v/>
      </c>
    </row>
    <row r="661" customFormat="false" ht="15" hidden="false" customHeight="false" outlineLevel="0" collapsed="false">
      <c r="AZ661" s="5" t="str">
        <f aca="false">IF($B661="","",SUMPRODUCT(($AL661:$AO661&lt;&gt;"")*(COUNTIF($AP661:$AX661,$AL661:$AO661)&gt;0)))</f>
        <v/>
      </c>
      <c r="BA661" s="5" t="str">
        <f aca="false">IF($B661="","",IF(AZ661&gt;0,1,0))</f>
        <v/>
      </c>
      <c r="BB661" s="5" t="str">
        <f aca="false">IF($AP661="","",IF((($AP661="Engineering and Technology")+($AP661="Science and Mathematics")+($AP661="Computer Science, IT and Allied Fields")+($AP661="Life Sciences /Medicine and Healthcare")+($AP661="Paramedical")+($AP661="Architecture")+($AP661="Environmental Service")+($AP661="Agriculture, Food Industry and Forestry"))&gt;0,"Science",IF((($AP661="Banking and Finance")+($AP661="Management and Administration")+($AP661="Marketing")+($AP661="Sales")+($AP661="Entrepreneurship")+($AP661="Hospitality and Tourism"))&gt;0,"Commerce",IF((($AP661="Social Sciences and Humanities")+($AP661="Law Studies")+($AP661="Education and Training")+($AP661="Art, Design")+($AP661="Entertainment and Mass Media")+($AP661="Community and Social Service")+($AP661="Personal Care and Services")+($AP661="Government and Public Administration")+($AP661="Defence/ Protective Service")+($AP661="Sports"))&gt;0,"Arts / Humanities",""))))</f>
        <v/>
      </c>
      <c r="BC661" s="5" t="str">
        <f aca="false">IF($AL661="","",IF((($AL661="Engineering and Technology")+($AL661="Science and Mathematics")+($AL661="Computer Science, IT and Allied Fields")+($AL661="Life Sciences /Medicine and Healthcare")+($AL661="Paramedical")+($AL661="Architecture")+($AL661="Environmental Service")+($AL661="Agriculture, Food Industry and Forestry"))&gt;0,"Science",IF((($AL661="Banking and Finance")+($AL661="Management and Administration")+($AL661="Marketing")+($AL661="Sales")+($AL661="Entrepreneurship")+($AL661="Hospitality and Tourism"))&gt;0,"Commerce",IF((($AL661="Social Sciences and Humanities")+($AL661="Law Studies")+($AL661="Education and Training")+($AL661="Art, Design")+($AL661="Entertainment and Mass Media")+($AL661="Community and Social Service")+($AL661="Personal Care and Services")+($AL661="Government and Public Administration")+($AL661="Defence/ Protective Service")+($AL661="Sports"))&gt;0,"Arts / Humanities",""))))</f>
        <v/>
      </c>
      <c r="BD661" s="5" t="str">
        <f aca="false">IF($B661="","",--(F661&gt;=10)+--(G661&gt;=10)+--(H661&gt;=10)+--(I661&gt;=10)+--(J661&gt;=10)+--(K661&gt;=10)+--(L661&gt;=10)+--(M661&gt;=10)+--(N661&gt;=10)+--(O661&gt;=10))</f>
        <v/>
      </c>
      <c r="BE661" s="5" t="str">
        <f aca="false">IF($B661="","",--(AND(F661&lt;&gt;"",F661&lt;=8))+--(AND(G661&lt;&gt;"",G661&lt;=8))+--(AND(H661&lt;&gt;"",H661&lt;=8))+--(AND(I661&lt;&gt;"",I661&lt;=8))+--(AND(J661&lt;&gt;"",J661&lt;=8))+--(AND(K661&lt;&gt;"",K661&lt;=8))+--(AND(L661&lt;&gt;"",L661&lt;=8))+--(AND(M661&lt;&gt;"",M661&lt;=8))+--(AND(N661&lt;&gt;"",N661&lt;=8))+--(AND(O661&lt;&gt;"",O661&lt;=8)))</f>
        <v/>
      </c>
    </row>
    <row r="662" customFormat="false" ht="15" hidden="false" customHeight="false" outlineLevel="0" collapsed="false">
      <c r="AZ662" s="5" t="str">
        <f aca="false">IF($B662="","",SUMPRODUCT(($AL662:$AO662&lt;&gt;"")*(COUNTIF($AP662:$AX662,$AL662:$AO662)&gt;0)))</f>
        <v/>
      </c>
      <c r="BA662" s="5" t="str">
        <f aca="false">IF($B662="","",IF(AZ662&gt;0,1,0))</f>
        <v/>
      </c>
      <c r="BB662" s="5" t="str">
        <f aca="false">IF($AP662="","",IF((($AP662="Engineering and Technology")+($AP662="Science and Mathematics")+($AP662="Computer Science, IT and Allied Fields")+($AP662="Life Sciences /Medicine and Healthcare")+($AP662="Paramedical")+($AP662="Architecture")+($AP662="Environmental Service")+($AP662="Agriculture, Food Industry and Forestry"))&gt;0,"Science",IF((($AP662="Banking and Finance")+($AP662="Management and Administration")+($AP662="Marketing")+($AP662="Sales")+($AP662="Entrepreneurship")+($AP662="Hospitality and Tourism"))&gt;0,"Commerce",IF((($AP662="Social Sciences and Humanities")+($AP662="Law Studies")+($AP662="Education and Training")+($AP662="Art, Design")+($AP662="Entertainment and Mass Media")+($AP662="Community and Social Service")+($AP662="Personal Care and Services")+($AP662="Government and Public Administration")+($AP662="Defence/ Protective Service")+($AP662="Sports"))&gt;0,"Arts / Humanities",""))))</f>
        <v/>
      </c>
      <c r="BC662" s="5" t="str">
        <f aca="false">IF($AL662="","",IF((($AL662="Engineering and Technology")+($AL662="Science and Mathematics")+($AL662="Computer Science, IT and Allied Fields")+($AL662="Life Sciences /Medicine and Healthcare")+($AL662="Paramedical")+($AL662="Architecture")+($AL662="Environmental Service")+($AL662="Agriculture, Food Industry and Forestry"))&gt;0,"Science",IF((($AL662="Banking and Finance")+($AL662="Management and Administration")+($AL662="Marketing")+($AL662="Sales")+($AL662="Entrepreneurship")+($AL662="Hospitality and Tourism"))&gt;0,"Commerce",IF((($AL662="Social Sciences and Humanities")+($AL662="Law Studies")+($AL662="Education and Training")+($AL662="Art, Design")+($AL662="Entertainment and Mass Media")+($AL662="Community and Social Service")+($AL662="Personal Care and Services")+($AL662="Government and Public Administration")+($AL662="Defence/ Protective Service")+($AL662="Sports"))&gt;0,"Arts / Humanities",""))))</f>
        <v/>
      </c>
      <c r="BD662" s="5" t="str">
        <f aca="false">IF($B662="","",--(F662&gt;=10)+--(G662&gt;=10)+--(H662&gt;=10)+--(I662&gt;=10)+--(J662&gt;=10)+--(K662&gt;=10)+--(L662&gt;=10)+--(M662&gt;=10)+--(N662&gt;=10)+--(O662&gt;=10))</f>
        <v/>
      </c>
      <c r="BE662" s="5" t="str">
        <f aca="false">IF($B662="","",--(AND(F662&lt;&gt;"",F662&lt;=8))+--(AND(G662&lt;&gt;"",G662&lt;=8))+--(AND(H662&lt;&gt;"",H662&lt;=8))+--(AND(I662&lt;&gt;"",I662&lt;=8))+--(AND(J662&lt;&gt;"",J662&lt;=8))+--(AND(K662&lt;&gt;"",K662&lt;=8))+--(AND(L662&lt;&gt;"",L662&lt;=8))+--(AND(M662&lt;&gt;"",M662&lt;=8))+--(AND(N662&lt;&gt;"",N662&lt;=8))+--(AND(O662&lt;&gt;"",O662&lt;=8)))</f>
        <v/>
      </c>
    </row>
    <row r="663" customFormat="false" ht="15" hidden="false" customHeight="false" outlineLevel="0" collapsed="false">
      <c r="AZ663" s="5" t="str">
        <f aca="false">IF($B663="","",SUMPRODUCT(($AL663:$AO663&lt;&gt;"")*(COUNTIF($AP663:$AX663,$AL663:$AO663)&gt;0)))</f>
        <v/>
      </c>
      <c r="BA663" s="5" t="str">
        <f aca="false">IF($B663="","",IF(AZ663&gt;0,1,0))</f>
        <v/>
      </c>
      <c r="BB663" s="5" t="str">
        <f aca="false">IF($AP663="","",IF((($AP663="Engineering and Technology")+($AP663="Science and Mathematics")+($AP663="Computer Science, IT and Allied Fields")+($AP663="Life Sciences /Medicine and Healthcare")+($AP663="Paramedical")+($AP663="Architecture")+($AP663="Environmental Service")+($AP663="Agriculture, Food Industry and Forestry"))&gt;0,"Science",IF((($AP663="Banking and Finance")+($AP663="Management and Administration")+($AP663="Marketing")+($AP663="Sales")+($AP663="Entrepreneurship")+($AP663="Hospitality and Tourism"))&gt;0,"Commerce",IF((($AP663="Social Sciences and Humanities")+($AP663="Law Studies")+($AP663="Education and Training")+($AP663="Art, Design")+($AP663="Entertainment and Mass Media")+($AP663="Community and Social Service")+($AP663="Personal Care and Services")+($AP663="Government and Public Administration")+($AP663="Defence/ Protective Service")+($AP663="Sports"))&gt;0,"Arts / Humanities",""))))</f>
        <v/>
      </c>
      <c r="BC663" s="5" t="str">
        <f aca="false">IF($AL663="","",IF((($AL663="Engineering and Technology")+($AL663="Science and Mathematics")+($AL663="Computer Science, IT and Allied Fields")+($AL663="Life Sciences /Medicine and Healthcare")+($AL663="Paramedical")+($AL663="Architecture")+($AL663="Environmental Service")+($AL663="Agriculture, Food Industry and Forestry"))&gt;0,"Science",IF((($AL663="Banking and Finance")+($AL663="Management and Administration")+($AL663="Marketing")+($AL663="Sales")+($AL663="Entrepreneurship")+($AL663="Hospitality and Tourism"))&gt;0,"Commerce",IF((($AL663="Social Sciences and Humanities")+($AL663="Law Studies")+($AL663="Education and Training")+($AL663="Art, Design")+($AL663="Entertainment and Mass Media")+($AL663="Community and Social Service")+($AL663="Personal Care and Services")+($AL663="Government and Public Administration")+($AL663="Defence/ Protective Service")+($AL663="Sports"))&gt;0,"Arts / Humanities",""))))</f>
        <v/>
      </c>
      <c r="BD663" s="5" t="str">
        <f aca="false">IF($B663="","",--(F663&gt;=10)+--(G663&gt;=10)+--(H663&gt;=10)+--(I663&gt;=10)+--(J663&gt;=10)+--(K663&gt;=10)+--(L663&gt;=10)+--(M663&gt;=10)+--(N663&gt;=10)+--(O663&gt;=10))</f>
        <v/>
      </c>
      <c r="BE663" s="5" t="str">
        <f aca="false">IF($B663="","",--(AND(F663&lt;&gt;"",F663&lt;=8))+--(AND(G663&lt;&gt;"",G663&lt;=8))+--(AND(H663&lt;&gt;"",H663&lt;=8))+--(AND(I663&lt;&gt;"",I663&lt;=8))+--(AND(J663&lt;&gt;"",J663&lt;=8))+--(AND(K663&lt;&gt;"",K663&lt;=8))+--(AND(L663&lt;&gt;"",L663&lt;=8))+--(AND(M663&lt;&gt;"",M663&lt;=8))+--(AND(N663&lt;&gt;"",N663&lt;=8))+--(AND(O663&lt;&gt;"",O663&lt;=8)))</f>
        <v/>
      </c>
    </row>
    <row r="664" customFormat="false" ht="15" hidden="false" customHeight="false" outlineLevel="0" collapsed="false">
      <c r="AZ664" s="5" t="str">
        <f aca="false">IF($B664="","",SUMPRODUCT(($AL664:$AO664&lt;&gt;"")*(COUNTIF($AP664:$AX664,$AL664:$AO664)&gt;0)))</f>
        <v/>
      </c>
      <c r="BA664" s="5" t="str">
        <f aca="false">IF($B664="","",IF(AZ664&gt;0,1,0))</f>
        <v/>
      </c>
      <c r="BB664" s="5" t="str">
        <f aca="false">IF($AP664="","",IF((($AP664="Engineering and Technology")+($AP664="Science and Mathematics")+($AP664="Computer Science, IT and Allied Fields")+($AP664="Life Sciences /Medicine and Healthcare")+($AP664="Paramedical")+($AP664="Architecture")+($AP664="Environmental Service")+($AP664="Agriculture, Food Industry and Forestry"))&gt;0,"Science",IF((($AP664="Banking and Finance")+($AP664="Management and Administration")+($AP664="Marketing")+($AP664="Sales")+($AP664="Entrepreneurship")+($AP664="Hospitality and Tourism"))&gt;0,"Commerce",IF((($AP664="Social Sciences and Humanities")+($AP664="Law Studies")+($AP664="Education and Training")+($AP664="Art, Design")+($AP664="Entertainment and Mass Media")+($AP664="Community and Social Service")+($AP664="Personal Care and Services")+($AP664="Government and Public Administration")+($AP664="Defence/ Protective Service")+($AP664="Sports"))&gt;0,"Arts / Humanities",""))))</f>
        <v/>
      </c>
      <c r="BC664" s="5" t="str">
        <f aca="false">IF($AL664="","",IF((($AL664="Engineering and Technology")+($AL664="Science and Mathematics")+($AL664="Computer Science, IT and Allied Fields")+($AL664="Life Sciences /Medicine and Healthcare")+($AL664="Paramedical")+($AL664="Architecture")+($AL664="Environmental Service")+($AL664="Agriculture, Food Industry and Forestry"))&gt;0,"Science",IF((($AL664="Banking and Finance")+($AL664="Management and Administration")+($AL664="Marketing")+($AL664="Sales")+($AL664="Entrepreneurship")+($AL664="Hospitality and Tourism"))&gt;0,"Commerce",IF((($AL664="Social Sciences and Humanities")+($AL664="Law Studies")+($AL664="Education and Training")+($AL664="Art, Design")+($AL664="Entertainment and Mass Media")+($AL664="Community and Social Service")+($AL664="Personal Care and Services")+($AL664="Government and Public Administration")+($AL664="Defence/ Protective Service")+($AL664="Sports"))&gt;0,"Arts / Humanities",""))))</f>
        <v/>
      </c>
      <c r="BD664" s="5" t="str">
        <f aca="false">IF($B664="","",--(F664&gt;=10)+--(G664&gt;=10)+--(H664&gt;=10)+--(I664&gt;=10)+--(J664&gt;=10)+--(K664&gt;=10)+--(L664&gt;=10)+--(M664&gt;=10)+--(N664&gt;=10)+--(O664&gt;=10))</f>
        <v/>
      </c>
      <c r="BE664" s="5" t="str">
        <f aca="false">IF($B664="","",--(AND(F664&lt;&gt;"",F664&lt;=8))+--(AND(G664&lt;&gt;"",G664&lt;=8))+--(AND(H664&lt;&gt;"",H664&lt;=8))+--(AND(I664&lt;&gt;"",I664&lt;=8))+--(AND(J664&lt;&gt;"",J664&lt;=8))+--(AND(K664&lt;&gt;"",K664&lt;=8))+--(AND(L664&lt;&gt;"",L664&lt;=8))+--(AND(M664&lt;&gt;"",M664&lt;=8))+--(AND(N664&lt;&gt;"",N664&lt;=8))+--(AND(O664&lt;&gt;"",O664&lt;=8)))</f>
        <v/>
      </c>
    </row>
    <row r="665" customFormat="false" ht="15" hidden="false" customHeight="false" outlineLevel="0" collapsed="false">
      <c r="AZ665" s="5" t="str">
        <f aca="false">IF($B665="","",SUMPRODUCT(($AL665:$AO665&lt;&gt;"")*(COUNTIF($AP665:$AX665,$AL665:$AO665)&gt;0)))</f>
        <v/>
      </c>
      <c r="BA665" s="5" t="str">
        <f aca="false">IF($B665="","",IF(AZ665&gt;0,1,0))</f>
        <v/>
      </c>
      <c r="BB665" s="5" t="str">
        <f aca="false">IF($AP665="","",IF((($AP665="Engineering and Technology")+($AP665="Science and Mathematics")+($AP665="Computer Science, IT and Allied Fields")+($AP665="Life Sciences /Medicine and Healthcare")+($AP665="Paramedical")+($AP665="Architecture")+($AP665="Environmental Service")+($AP665="Agriculture, Food Industry and Forestry"))&gt;0,"Science",IF((($AP665="Banking and Finance")+($AP665="Management and Administration")+($AP665="Marketing")+($AP665="Sales")+($AP665="Entrepreneurship")+($AP665="Hospitality and Tourism"))&gt;0,"Commerce",IF((($AP665="Social Sciences and Humanities")+($AP665="Law Studies")+($AP665="Education and Training")+($AP665="Art, Design")+($AP665="Entertainment and Mass Media")+($AP665="Community and Social Service")+($AP665="Personal Care and Services")+($AP665="Government and Public Administration")+($AP665="Defence/ Protective Service")+($AP665="Sports"))&gt;0,"Arts / Humanities",""))))</f>
        <v/>
      </c>
      <c r="BC665" s="5" t="str">
        <f aca="false">IF($AL665="","",IF((($AL665="Engineering and Technology")+($AL665="Science and Mathematics")+($AL665="Computer Science, IT and Allied Fields")+($AL665="Life Sciences /Medicine and Healthcare")+($AL665="Paramedical")+($AL665="Architecture")+($AL665="Environmental Service")+($AL665="Agriculture, Food Industry and Forestry"))&gt;0,"Science",IF((($AL665="Banking and Finance")+($AL665="Management and Administration")+($AL665="Marketing")+($AL665="Sales")+($AL665="Entrepreneurship")+($AL665="Hospitality and Tourism"))&gt;0,"Commerce",IF((($AL665="Social Sciences and Humanities")+($AL665="Law Studies")+($AL665="Education and Training")+($AL665="Art, Design")+($AL665="Entertainment and Mass Media")+($AL665="Community and Social Service")+($AL665="Personal Care and Services")+($AL665="Government and Public Administration")+($AL665="Defence/ Protective Service")+($AL665="Sports"))&gt;0,"Arts / Humanities",""))))</f>
        <v/>
      </c>
      <c r="BD665" s="5" t="str">
        <f aca="false">IF($B665="","",--(F665&gt;=10)+--(G665&gt;=10)+--(H665&gt;=10)+--(I665&gt;=10)+--(J665&gt;=10)+--(K665&gt;=10)+--(L665&gt;=10)+--(M665&gt;=10)+--(N665&gt;=10)+--(O665&gt;=10))</f>
        <v/>
      </c>
      <c r="BE665" s="5" t="str">
        <f aca="false">IF($B665="","",--(AND(F665&lt;&gt;"",F665&lt;=8))+--(AND(G665&lt;&gt;"",G665&lt;=8))+--(AND(H665&lt;&gt;"",H665&lt;=8))+--(AND(I665&lt;&gt;"",I665&lt;=8))+--(AND(J665&lt;&gt;"",J665&lt;=8))+--(AND(K665&lt;&gt;"",K665&lt;=8))+--(AND(L665&lt;&gt;"",L665&lt;=8))+--(AND(M665&lt;&gt;"",M665&lt;=8))+--(AND(N665&lt;&gt;"",N665&lt;=8))+--(AND(O665&lt;&gt;"",O665&lt;=8)))</f>
        <v/>
      </c>
    </row>
    <row r="666" customFormat="false" ht="15" hidden="false" customHeight="false" outlineLevel="0" collapsed="false">
      <c r="AZ666" s="5" t="str">
        <f aca="false">IF($B666="","",SUMPRODUCT(($AL666:$AO666&lt;&gt;"")*(COUNTIF($AP666:$AX666,$AL666:$AO666)&gt;0)))</f>
        <v/>
      </c>
      <c r="BA666" s="5" t="str">
        <f aca="false">IF($B666="","",IF(AZ666&gt;0,1,0))</f>
        <v/>
      </c>
      <c r="BB666" s="5" t="str">
        <f aca="false">IF($AP666="","",IF((($AP666="Engineering and Technology")+($AP666="Science and Mathematics")+($AP666="Computer Science, IT and Allied Fields")+($AP666="Life Sciences /Medicine and Healthcare")+($AP666="Paramedical")+($AP666="Architecture")+($AP666="Environmental Service")+($AP666="Agriculture, Food Industry and Forestry"))&gt;0,"Science",IF((($AP666="Banking and Finance")+($AP666="Management and Administration")+($AP666="Marketing")+($AP666="Sales")+($AP666="Entrepreneurship")+($AP666="Hospitality and Tourism"))&gt;0,"Commerce",IF((($AP666="Social Sciences and Humanities")+($AP666="Law Studies")+($AP666="Education and Training")+($AP666="Art, Design")+($AP666="Entertainment and Mass Media")+($AP666="Community and Social Service")+($AP666="Personal Care and Services")+($AP666="Government and Public Administration")+($AP666="Defence/ Protective Service")+($AP666="Sports"))&gt;0,"Arts / Humanities",""))))</f>
        <v/>
      </c>
      <c r="BC666" s="5" t="str">
        <f aca="false">IF($AL666="","",IF((($AL666="Engineering and Technology")+($AL666="Science and Mathematics")+($AL666="Computer Science, IT and Allied Fields")+($AL666="Life Sciences /Medicine and Healthcare")+($AL666="Paramedical")+($AL666="Architecture")+($AL666="Environmental Service")+($AL666="Agriculture, Food Industry and Forestry"))&gt;0,"Science",IF((($AL666="Banking and Finance")+($AL666="Management and Administration")+($AL666="Marketing")+($AL666="Sales")+($AL666="Entrepreneurship")+($AL666="Hospitality and Tourism"))&gt;0,"Commerce",IF((($AL666="Social Sciences and Humanities")+($AL666="Law Studies")+($AL666="Education and Training")+($AL666="Art, Design")+($AL666="Entertainment and Mass Media")+($AL666="Community and Social Service")+($AL666="Personal Care and Services")+($AL666="Government and Public Administration")+($AL666="Defence/ Protective Service")+($AL666="Sports"))&gt;0,"Arts / Humanities",""))))</f>
        <v/>
      </c>
      <c r="BD666" s="5" t="str">
        <f aca="false">IF($B666="","",--(F666&gt;=10)+--(G666&gt;=10)+--(H666&gt;=10)+--(I666&gt;=10)+--(J666&gt;=10)+--(K666&gt;=10)+--(L666&gt;=10)+--(M666&gt;=10)+--(N666&gt;=10)+--(O666&gt;=10))</f>
        <v/>
      </c>
      <c r="BE666" s="5" t="str">
        <f aca="false">IF($B666="","",--(AND(F666&lt;&gt;"",F666&lt;=8))+--(AND(G666&lt;&gt;"",G666&lt;=8))+--(AND(H666&lt;&gt;"",H666&lt;=8))+--(AND(I666&lt;&gt;"",I666&lt;=8))+--(AND(J666&lt;&gt;"",J666&lt;=8))+--(AND(K666&lt;&gt;"",K666&lt;=8))+--(AND(L666&lt;&gt;"",L666&lt;=8))+--(AND(M666&lt;&gt;"",M666&lt;=8))+--(AND(N666&lt;&gt;"",N666&lt;=8))+--(AND(O666&lt;&gt;"",O666&lt;=8)))</f>
        <v/>
      </c>
    </row>
    <row r="667" customFormat="false" ht="15" hidden="false" customHeight="false" outlineLevel="0" collapsed="false">
      <c r="AZ667" s="5" t="str">
        <f aca="false">IF($B667="","",SUMPRODUCT(($AL667:$AO667&lt;&gt;"")*(COUNTIF($AP667:$AX667,$AL667:$AO667)&gt;0)))</f>
        <v/>
      </c>
      <c r="BA667" s="5" t="str">
        <f aca="false">IF($B667="","",IF(AZ667&gt;0,1,0))</f>
        <v/>
      </c>
      <c r="BB667" s="5" t="str">
        <f aca="false">IF($AP667="","",IF((($AP667="Engineering and Technology")+($AP667="Science and Mathematics")+($AP667="Computer Science, IT and Allied Fields")+($AP667="Life Sciences /Medicine and Healthcare")+($AP667="Paramedical")+($AP667="Architecture")+($AP667="Environmental Service")+($AP667="Agriculture, Food Industry and Forestry"))&gt;0,"Science",IF((($AP667="Banking and Finance")+($AP667="Management and Administration")+($AP667="Marketing")+($AP667="Sales")+($AP667="Entrepreneurship")+($AP667="Hospitality and Tourism"))&gt;0,"Commerce",IF((($AP667="Social Sciences and Humanities")+($AP667="Law Studies")+($AP667="Education and Training")+($AP667="Art, Design")+($AP667="Entertainment and Mass Media")+($AP667="Community and Social Service")+($AP667="Personal Care and Services")+($AP667="Government and Public Administration")+($AP667="Defence/ Protective Service")+($AP667="Sports"))&gt;0,"Arts / Humanities",""))))</f>
        <v/>
      </c>
      <c r="BC667" s="5" t="str">
        <f aca="false">IF($AL667="","",IF((($AL667="Engineering and Technology")+($AL667="Science and Mathematics")+($AL667="Computer Science, IT and Allied Fields")+($AL667="Life Sciences /Medicine and Healthcare")+($AL667="Paramedical")+($AL667="Architecture")+($AL667="Environmental Service")+($AL667="Agriculture, Food Industry and Forestry"))&gt;0,"Science",IF((($AL667="Banking and Finance")+($AL667="Management and Administration")+($AL667="Marketing")+($AL667="Sales")+($AL667="Entrepreneurship")+($AL667="Hospitality and Tourism"))&gt;0,"Commerce",IF((($AL667="Social Sciences and Humanities")+($AL667="Law Studies")+($AL667="Education and Training")+($AL667="Art, Design")+($AL667="Entertainment and Mass Media")+($AL667="Community and Social Service")+($AL667="Personal Care and Services")+($AL667="Government and Public Administration")+($AL667="Defence/ Protective Service")+($AL667="Sports"))&gt;0,"Arts / Humanities",""))))</f>
        <v/>
      </c>
      <c r="BD667" s="5" t="str">
        <f aca="false">IF($B667="","",--(F667&gt;=10)+--(G667&gt;=10)+--(H667&gt;=10)+--(I667&gt;=10)+--(J667&gt;=10)+--(K667&gt;=10)+--(L667&gt;=10)+--(M667&gt;=10)+--(N667&gt;=10)+--(O667&gt;=10))</f>
        <v/>
      </c>
      <c r="BE667" s="5" t="str">
        <f aca="false">IF($B667="","",--(AND(F667&lt;&gt;"",F667&lt;=8))+--(AND(G667&lt;&gt;"",G667&lt;=8))+--(AND(H667&lt;&gt;"",H667&lt;=8))+--(AND(I667&lt;&gt;"",I667&lt;=8))+--(AND(J667&lt;&gt;"",J667&lt;=8))+--(AND(K667&lt;&gt;"",K667&lt;=8))+--(AND(L667&lt;&gt;"",L667&lt;=8))+--(AND(M667&lt;&gt;"",M667&lt;=8))+--(AND(N667&lt;&gt;"",N667&lt;=8))+--(AND(O667&lt;&gt;"",O667&lt;=8)))</f>
        <v/>
      </c>
    </row>
    <row r="668" customFormat="false" ht="15" hidden="false" customHeight="false" outlineLevel="0" collapsed="false">
      <c r="AZ668" s="5" t="str">
        <f aca="false">IF($B668="","",SUMPRODUCT(($AL668:$AO668&lt;&gt;"")*(COUNTIF($AP668:$AX668,$AL668:$AO668)&gt;0)))</f>
        <v/>
      </c>
      <c r="BA668" s="5" t="str">
        <f aca="false">IF($B668="","",IF(AZ668&gt;0,1,0))</f>
        <v/>
      </c>
      <c r="BB668" s="5" t="str">
        <f aca="false">IF($AP668="","",IF((($AP668="Engineering and Technology")+($AP668="Science and Mathematics")+($AP668="Computer Science, IT and Allied Fields")+($AP668="Life Sciences /Medicine and Healthcare")+($AP668="Paramedical")+($AP668="Architecture")+($AP668="Environmental Service")+($AP668="Agriculture, Food Industry and Forestry"))&gt;0,"Science",IF((($AP668="Banking and Finance")+($AP668="Management and Administration")+($AP668="Marketing")+($AP668="Sales")+($AP668="Entrepreneurship")+($AP668="Hospitality and Tourism"))&gt;0,"Commerce",IF((($AP668="Social Sciences and Humanities")+($AP668="Law Studies")+($AP668="Education and Training")+($AP668="Art, Design")+($AP668="Entertainment and Mass Media")+($AP668="Community and Social Service")+($AP668="Personal Care and Services")+($AP668="Government and Public Administration")+($AP668="Defence/ Protective Service")+($AP668="Sports"))&gt;0,"Arts / Humanities",""))))</f>
        <v/>
      </c>
      <c r="BC668" s="5" t="str">
        <f aca="false">IF($AL668="","",IF((($AL668="Engineering and Technology")+($AL668="Science and Mathematics")+($AL668="Computer Science, IT and Allied Fields")+($AL668="Life Sciences /Medicine and Healthcare")+($AL668="Paramedical")+($AL668="Architecture")+($AL668="Environmental Service")+($AL668="Agriculture, Food Industry and Forestry"))&gt;0,"Science",IF((($AL668="Banking and Finance")+($AL668="Management and Administration")+($AL668="Marketing")+($AL668="Sales")+($AL668="Entrepreneurship")+($AL668="Hospitality and Tourism"))&gt;0,"Commerce",IF((($AL668="Social Sciences and Humanities")+($AL668="Law Studies")+($AL668="Education and Training")+($AL668="Art, Design")+($AL668="Entertainment and Mass Media")+($AL668="Community and Social Service")+($AL668="Personal Care and Services")+($AL668="Government and Public Administration")+($AL668="Defence/ Protective Service")+($AL668="Sports"))&gt;0,"Arts / Humanities",""))))</f>
        <v/>
      </c>
      <c r="BD668" s="5" t="str">
        <f aca="false">IF($B668="","",--(F668&gt;=10)+--(G668&gt;=10)+--(H668&gt;=10)+--(I668&gt;=10)+--(J668&gt;=10)+--(K668&gt;=10)+--(L668&gt;=10)+--(M668&gt;=10)+--(N668&gt;=10)+--(O668&gt;=10))</f>
        <v/>
      </c>
      <c r="BE668" s="5" t="str">
        <f aca="false">IF($B668="","",--(AND(F668&lt;&gt;"",F668&lt;=8))+--(AND(G668&lt;&gt;"",G668&lt;=8))+--(AND(H668&lt;&gt;"",H668&lt;=8))+--(AND(I668&lt;&gt;"",I668&lt;=8))+--(AND(J668&lt;&gt;"",J668&lt;=8))+--(AND(K668&lt;&gt;"",K668&lt;=8))+--(AND(L668&lt;&gt;"",L668&lt;=8))+--(AND(M668&lt;&gt;"",M668&lt;=8))+--(AND(N668&lt;&gt;"",N668&lt;=8))+--(AND(O668&lt;&gt;"",O668&lt;=8)))</f>
        <v/>
      </c>
    </row>
    <row r="669" customFormat="false" ht="15" hidden="false" customHeight="false" outlineLevel="0" collapsed="false">
      <c r="AZ669" s="5" t="str">
        <f aca="false">IF($B669="","",SUMPRODUCT(($AL669:$AO669&lt;&gt;"")*(COUNTIF($AP669:$AX669,$AL669:$AO669)&gt;0)))</f>
        <v/>
      </c>
      <c r="BA669" s="5" t="str">
        <f aca="false">IF($B669="","",IF(AZ669&gt;0,1,0))</f>
        <v/>
      </c>
      <c r="BB669" s="5" t="str">
        <f aca="false">IF($AP669="","",IF((($AP669="Engineering and Technology")+($AP669="Science and Mathematics")+($AP669="Computer Science, IT and Allied Fields")+($AP669="Life Sciences /Medicine and Healthcare")+($AP669="Paramedical")+($AP669="Architecture")+($AP669="Environmental Service")+($AP669="Agriculture, Food Industry and Forestry"))&gt;0,"Science",IF((($AP669="Banking and Finance")+($AP669="Management and Administration")+($AP669="Marketing")+($AP669="Sales")+($AP669="Entrepreneurship")+($AP669="Hospitality and Tourism"))&gt;0,"Commerce",IF((($AP669="Social Sciences and Humanities")+($AP669="Law Studies")+($AP669="Education and Training")+($AP669="Art, Design")+($AP669="Entertainment and Mass Media")+($AP669="Community and Social Service")+($AP669="Personal Care and Services")+($AP669="Government and Public Administration")+($AP669="Defence/ Protective Service")+($AP669="Sports"))&gt;0,"Arts / Humanities",""))))</f>
        <v/>
      </c>
      <c r="BC669" s="5" t="str">
        <f aca="false">IF($AL669="","",IF((($AL669="Engineering and Technology")+($AL669="Science and Mathematics")+($AL669="Computer Science, IT and Allied Fields")+($AL669="Life Sciences /Medicine and Healthcare")+($AL669="Paramedical")+($AL669="Architecture")+($AL669="Environmental Service")+($AL669="Agriculture, Food Industry and Forestry"))&gt;0,"Science",IF((($AL669="Banking and Finance")+($AL669="Management and Administration")+($AL669="Marketing")+($AL669="Sales")+($AL669="Entrepreneurship")+($AL669="Hospitality and Tourism"))&gt;0,"Commerce",IF((($AL669="Social Sciences and Humanities")+($AL669="Law Studies")+($AL669="Education and Training")+($AL669="Art, Design")+($AL669="Entertainment and Mass Media")+($AL669="Community and Social Service")+($AL669="Personal Care and Services")+($AL669="Government and Public Administration")+($AL669="Defence/ Protective Service")+($AL669="Sports"))&gt;0,"Arts / Humanities",""))))</f>
        <v/>
      </c>
      <c r="BD669" s="5" t="str">
        <f aca="false">IF($B669="","",--(F669&gt;=10)+--(G669&gt;=10)+--(H669&gt;=10)+--(I669&gt;=10)+--(J669&gt;=10)+--(K669&gt;=10)+--(L669&gt;=10)+--(M669&gt;=10)+--(N669&gt;=10)+--(O669&gt;=10))</f>
        <v/>
      </c>
      <c r="BE669" s="5" t="str">
        <f aca="false">IF($B669="","",--(AND(F669&lt;&gt;"",F669&lt;=8))+--(AND(G669&lt;&gt;"",G669&lt;=8))+--(AND(H669&lt;&gt;"",H669&lt;=8))+--(AND(I669&lt;&gt;"",I669&lt;=8))+--(AND(J669&lt;&gt;"",J669&lt;=8))+--(AND(K669&lt;&gt;"",K669&lt;=8))+--(AND(L669&lt;&gt;"",L669&lt;=8))+--(AND(M669&lt;&gt;"",M669&lt;=8))+--(AND(N669&lt;&gt;"",N669&lt;=8))+--(AND(O669&lt;&gt;"",O669&lt;=8)))</f>
        <v/>
      </c>
    </row>
    <row r="670" customFormat="false" ht="15" hidden="false" customHeight="false" outlineLevel="0" collapsed="false">
      <c r="AZ670" s="5" t="str">
        <f aca="false">IF($B670="","",SUMPRODUCT(($AL670:$AO670&lt;&gt;"")*(COUNTIF($AP670:$AX670,$AL670:$AO670)&gt;0)))</f>
        <v/>
      </c>
      <c r="BA670" s="5" t="str">
        <f aca="false">IF($B670="","",IF(AZ670&gt;0,1,0))</f>
        <v/>
      </c>
      <c r="BB670" s="5" t="str">
        <f aca="false">IF($AP670="","",IF((($AP670="Engineering and Technology")+($AP670="Science and Mathematics")+($AP670="Computer Science, IT and Allied Fields")+($AP670="Life Sciences /Medicine and Healthcare")+($AP670="Paramedical")+($AP670="Architecture")+($AP670="Environmental Service")+($AP670="Agriculture, Food Industry and Forestry"))&gt;0,"Science",IF((($AP670="Banking and Finance")+($AP670="Management and Administration")+($AP670="Marketing")+($AP670="Sales")+($AP670="Entrepreneurship")+($AP670="Hospitality and Tourism"))&gt;0,"Commerce",IF((($AP670="Social Sciences and Humanities")+($AP670="Law Studies")+($AP670="Education and Training")+($AP670="Art, Design")+($AP670="Entertainment and Mass Media")+($AP670="Community and Social Service")+($AP670="Personal Care and Services")+($AP670="Government and Public Administration")+($AP670="Defence/ Protective Service")+($AP670="Sports"))&gt;0,"Arts / Humanities",""))))</f>
        <v/>
      </c>
      <c r="BC670" s="5" t="str">
        <f aca="false">IF($AL670="","",IF((($AL670="Engineering and Technology")+($AL670="Science and Mathematics")+($AL670="Computer Science, IT and Allied Fields")+($AL670="Life Sciences /Medicine and Healthcare")+($AL670="Paramedical")+($AL670="Architecture")+($AL670="Environmental Service")+($AL670="Agriculture, Food Industry and Forestry"))&gt;0,"Science",IF((($AL670="Banking and Finance")+($AL670="Management and Administration")+($AL670="Marketing")+($AL670="Sales")+($AL670="Entrepreneurship")+($AL670="Hospitality and Tourism"))&gt;0,"Commerce",IF((($AL670="Social Sciences and Humanities")+($AL670="Law Studies")+($AL670="Education and Training")+($AL670="Art, Design")+($AL670="Entertainment and Mass Media")+($AL670="Community and Social Service")+($AL670="Personal Care and Services")+($AL670="Government and Public Administration")+($AL670="Defence/ Protective Service")+($AL670="Sports"))&gt;0,"Arts / Humanities",""))))</f>
        <v/>
      </c>
      <c r="BD670" s="5" t="str">
        <f aca="false">IF($B670="","",--(F670&gt;=10)+--(G670&gt;=10)+--(H670&gt;=10)+--(I670&gt;=10)+--(J670&gt;=10)+--(K670&gt;=10)+--(L670&gt;=10)+--(M670&gt;=10)+--(N670&gt;=10)+--(O670&gt;=10))</f>
        <v/>
      </c>
      <c r="BE670" s="5" t="str">
        <f aca="false">IF($B670="","",--(AND(F670&lt;&gt;"",F670&lt;=8))+--(AND(G670&lt;&gt;"",G670&lt;=8))+--(AND(H670&lt;&gt;"",H670&lt;=8))+--(AND(I670&lt;&gt;"",I670&lt;=8))+--(AND(J670&lt;&gt;"",J670&lt;=8))+--(AND(K670&lt;&gt;"",K670&lt;=8))+--(AND(L670&lt;&gt;"",L670&lt;=8))+--(AND(M670&lt;&gt;"",M670&lt;=8))+--(AND(N670&lt;&gt;"",N670&lt;=8))+--(AND(O670&lt;&gt;"",O670&lt;=8)))</f>
        <v/>
      </c>
    </row>
    <row r="671" customFormat="false" ht="15" hidden="false" customHeight="false" outlineLevel="0" collapsed="false">
      <c r="AZ671" s="5" t="str">
        <f aca="false">IF($B671="","",SUMPRODUCT(($AL671:$AO671&lt;&gt;"")*(COUNTIF($AP671:$AX671,$AL671:$AO671)&gt;0)))</f>
        <v/>
      </c>
      <c r="BA671" s="5" t="str">
        <f aca="false">IF($B671="","",IF(AZ671&gt;0,1,0))</f>
        <v/>
      </c>
      <c r="BB671" s="5" t="str">
        <f aca="false">IF($AP671="","",IF((($AP671="Engineering and Technology")+($AP671="Science and Mathematics")+($AP671="Computer Science, IT and Allied Fields")+($AP671="Life Sciences /Medicine and Healthcare")+($AP671="Paramedical")+($AP671="Architecture")+($AP671="Environmental Service")+($AP671="Agriculture, Food Industry and Forestry"))&gt;0,"Science",IF((($AP671="Banking and Finance")+($AP671="Management and Administration")+($AP671="Marketing")+($AP671="Sales")+($AP671="Entrepreneurship")+($AP671="Hospitality and Tourism"))&gt;0,"Commerce",IF((($AP671="Social Sciences and Humanities")+($AP671="Law Studies")+($AP671="Education and Training")+($AP671="Art, Design")+($AP671="Entertainment and Mass Media")+($AP671="Community and Social Service")+($AP671="Personal Care and Services")+($AP671="Government and Public Administration")+($AP671="Defence/ Protective Service")+($AP671="Sports"))&gt;0,"Arts / Humanities",""))))</f>
        <v/>
      </c>
      <c r="BC671" s="5" t="str">
        <f aca="false">IF($AL671="","",IF((($AL671="Engineering and Technology")+($AL671="Science and Mathematics")+($AL671="Computer Science, IT and Allied Fields")+($AL671="Life Sciences /Medicine and Healthcare")+($AL671="Paramedical")+($AL671="Architecture")+($AL671="Environmental Service")+($AL671="Agriculture, Food Industry and Forestry"))&gt;0,"Science",IF((($AL671="Banking and Finance")+($AL671="Management and Administration")+($AL671="Marketing")+($AL671="Sales")+($AL671="Entrepreneurship")+($AL671="Hospitality and Tourism"))&gt;0,"Commerce",IF((($AL671="Social Sciences and Humanities")+($AL671="Law Studies")+($AL671="Education and Training")+($AL671="Art, Design")+($AL671="Entertainment and Mass Media")+($AL671="Community and Social Service")+($AL671="Personal Care and Services")+($AL671="Government and Public Administration")+($AL671="Defence/ Protective Service")+($AL671="Sports"))&gt;0,"Arts / Humanities",""))))</f>
        <v/>
      </c>
      <c r="BD671" s="5" t="str">
        <f aca="false">IF($B671="","",--(F671&gt;=10)+--(G671&gt;=10)+--(H671&gt;=10)+--(I671&gt;=10)+--(J671&gt;=10)+--(K671&gt;=10)+--(L671&gt;=10)+--(M671&gt;=10)+--(N671&gt;=10)+--(O671&gt;=10))</f>
        <v/>
      </c>
      <c r="BE671" s="5" t="str">
        <f aca="false">IF($B671="","",--(AND(F671&lt;&gt;"",F671&lt;=8))+--(AND(G671&lt;&gt;"",G671&lt;=8))+--(AND(H671&lt;&gt;"",H671&lt;=8))+--(AND(I671&lt;&gt;"",I671&lt;=8))+--(AND(J671&lt;&gt;"",J671&lt;=8))+--(AND(K671&lt;&gt;"",K671&lt;=8))+--(AND(L671&lt;&gt;"",L671&lt;=8))+--(AND(M671&lt;&gt;"",M671&lt;=8))+--(AND(N671&lt;&gt;"",N671&lt;=8))+--(AND(O671&lt;&gt;"",O671&lt;=8)))</f>
        <v/>
      </c>
    </row>
    <row r="672" customFormat="false" ht="15" hidden="false" customHeight="false" outlineLevel="0" collapsed="false">
      <c r="AZ672" s="5" t="str">
        <f aca="false">IF($B672="","",SUMPRODUCT(($AL672:$AO672&lt;&gt;"")*(COUNTIF($AP672:$AX672,$AL672:$AO672)&gt;0)))</f>
        <v/>
      </c>
      <c r="BA672" s="5" t="str">
        <f aca="false">IF($B672="","",IF(AZ672&gt;0,1,0))</f>
        <v/>
      </c>
      <c r="BB672" s="5" t="str">
        <f aca="false">IF($AP672="","",IF((($AP672="Engineering and Technology")+($AP672="Science and Mathematics")+($AP672="Computer Science, IT and Allied Fields")+($AP672="Life Sciences /Medicine and Healthcare")+($AP672="Paramedical")+($AP672="Architecture")+($AP672="Environmental Service")+($AP672="Agriculture, Food Industry and Forestry"))&gt;0,"Science",IF((($AP672="Banking and Finance")+($AP672="Management and Administration")+($AP672="Marketing")+($AP672="Sales")+($AP672="Entrepreneurship")+($AP672="Hospitality and Tourism"))&gt;0,"Commerce",IF((($AP672="Social Sciences and Humanities")+($AP672="Law Studies")+($AP672="Education and Training")+($AP672="Art, Design")+($AP672="Entertainment and Mass Media")+($AP672="Community and Social Service")+($AP672="Personal Care and Services")+($AP672="Government and Public Administration")+($AP672="Defence/ Protective Service")+($AP672="Sports"))&gt;0,"Arts / Humanities",""))))</f>
        <v/>
      </c>
      <c r="BC672" s="5" t="str">
        <f aca="false">IF($AL672="","",IF((($AL672="Engineering and Technology")+($AL672="Science and Mathematics")+($AL672="Computer Science, IT and Allied Fields")+($AL672="Life Sciences /Medicine and Healthcare")+($AL672="Paramedical")+($AL672="Architecture")+($AL672="Environmental Service")+($AL672="Agriculture, Food Industry and Forestry"))&gt;0,"Science",IF((($AL672="Banking and Finance")+($AL672="Management and Administration")+($AL672="Marketing")+($AL672="Sales")+($AL672="Entrepreneurship")+($AL672="Hospitality and Tourism"))&gt;0,"Commerce",IF((($AL672="Social Sciences and Humanities")+($AL672="Law Studies")+($AL672="Education and Training")+($AL672="Art, Design")+($AL672="Entertainment and Mass Media")+($AL672="Community and Social Service")+($AL672="Personal Care and Services")+($AL672="Government and Public Administration")+($AL672="Defence/ Protective Service")+($AL672="Sports"))&gt;0,"Arts / Humanities",""))))</f>
        <v/>
      </c>
      <c r="BD672" s="5" t="str">
        <f aca="false">IF($B672="","",--(F672&gt;=10)+--(G672&gt;=10)+--(H672&gt;=10)+--(I672&gt;=10)+--(J672&gt;=10)+--(K672&gt;=10)+--(L672&gt;=10)+--(M672&gt;=10)+--(N672&gt;=10)+--(O672&gt;=10))</f>
        <v/>
      </c>
      <c r="BE672" s="5" t="str">
        <f aca="false">IF($B672="","",--(AND(F672&lt;&gt;"",F672&lt;=8))+--(AND(G672&lt;&gt;"",G672&lt;=8))+--(AND(H672&lt;&gt;"",H672&lt;=8))+--(AND(I672&lt;&gt;"",I672&lt;=8))+--(AND(J672&lt;&gt;"",J672&lt;=8))+--(AND(K672&lt;&gt;"",K672&lt;=8))+--(AND(L672&lt;&gt;"",L672&lt;=8))+--(AND(M672&lt;&gt;"",M672&lt;=8))+--(AND(N672&lt;&gt;"",N672&lt;=8))+--(AND(O672&lt;&gt;"",O672&lt;=8)))</f>
        <v/>
      </c>
    </row>
    <row r="673" customFormat="false" ht="15" hidden="false" customHeight="false" outlineLevel="0" collapsed="false">
      <c r="AZ673" s="5" t="str">
        <f aca="false">IF($B673="","",SUMPRODUCT(($AL673:$AO673&lt;&gt;"")*(COUNTIF($AP673:$AX673,$AL673:$AO673)&gt;0)))</f>
        <v/>
      </c>
      <c r="BA673" s="5" t="str">
        <f aca="false">IF($B673="","",IF(AZ673&gt;0,1,0))</f>
        <v/>
      </c>
      <c r="BB673" s="5" t="str">
        <f aca="false">IF($AP673="","",IF((($AP673="Engineering and Technology")+($AP673="Science and Mathematics")+($AP673="Computer Science, IT and Allied Fields")+($AP673="Life Sciences /Medicine and Healthcare")+($AP673="Paramedical")+($AP673="Architecture")+($AP673="Environmental Service")+($AP673="Agriculture, Food Industry and Forestry"))&gt;0,"Science",IF((($AP673="Banking and Finance")+($AP673="Management and Administration")+($AP673="Marketing")+($AP673="Sales")+($AP673="Entrepreneurship")+($AP673="Hospitality and Tourism"))&gt;0,"Commerce",IF((($AP673="Social Sciences and Humanities")+($AP673="Law Studies")+($AP673="Education and Training")+($AP673="Art, Design")+($AP673="Entertainment and Mass Media")+($AP673="Community and Social Service")+($AP673="Personal Care and Services")+($AP673="Government and Public Administration")+($AP673="Defence/ Protective Service")+($AP673="Sports"))&gt;0,"Arts / Humanities",""))))</f>
        <v/>
      </c>
      <c r="BC673" s="5" t="str">
        <f aca="false">IF($AL673="","",IF((($AL673="Engineering and Technology")+($AL673="Science and Mathematics")+($AL673="Computer Science, IT and Allied Fields")+($AL673="Life Sciences /Medicine and Healthcare")+($AL673="Paramedical")+($AL673="Architecture")+($AL673="Environmental Service")+($AL673="Agriculture, Food Industry and Forestry"))&gt;0,"Science",IF((($AL673="Banking and Finance")+($AL673="Management and Administration")+($AL673="Marketing")+($AL673="Sales")+($AL673="Entrepreneurship")+($AL673="Hospitality and Tourism"))&gt;0,"Commerce",IF((($AL673="Social Sciences and Humanities")+($AL673="Law Studies")+($AL673="Education and Training")+($AL673="Art, Design")+($AL673="Entertainment and Mass Media")+($AL673="Community and Social Service")+($AL673="Personal Care and Services")+($AL673="Government and Public Administration")+($AL673="Defence/ Protective Service")+($AL673="Sports"))&gt;0,"Arts / Humanities",""))))</f>
        <v/>
      </c>
      <c r="BD673" s="5" t="str">
        <f aca="false">IF($B673="","",--(F673&gt;=10)+--(G673&gt;=10)+--(H673&gt;=10)+--(I673&gt;=10)+--(J673&gt;=10)+--(K673&gt;=10)+--(L673&gt;=10)+--(M673&gt;=10)+--(N673&gt;=10)+--(O673&gt;=10))</f>
        <v/>
      </c>
      <c r="BE673" s="5" t="str">
        <f aca="false">IF($B673="","",--(AND(F673&lt;&gt;"",F673&lt;=8))+--(AND(G673&lt;&gt;"",G673&lt;=8))+--(AND(H673&lt;&gt;"",H673&lt;=8))+--(AND(I673&lt;&gt;"",I673&lt;=8))+--(AND(J673&lt;&gt;"",J673&lt;=8))+--(AND(K673&lt;&gt;"",K673&lt;=8))+--(AND(L673&lt;&gt;"",L673&lt;=8))+--(AND(M673&lt;&gt;"",M673&lt;=8))+--(AND(N673&lt;&gt;"",N673&lt;=8))+--(AND(O673&lt;&gt;"",O673&lt;=8)))</f>
        <v/>
      </c>
    </row>
    <row r="674" customFormat="false" ht="15" hidden="false" customHeight="false" outlineLevel="0" collapsed="false">
      <c r="AZ674" s="5" t="str">
        <f aca="false">IF($B674="","",SUMPRODUCT(($AL674:$AO674&lt;&gt;"")*(COUNTIF($AP674:$AX674,$AL674:$AO674)&gt;0)))</f>
        <v/>
      </c>
      <c r="BA674" s="5" t="str">
        <f aca="false">IF($B674="","",IF(AZ674&gt;0,1,0))</f>
        <v/>
      </c>
      <c r="BB674" s="5" t="str">
        <f aca="false">IF($AP674="","",IF((($AP674="Engineering and Technology")+($AP674="Science and Mathematics")+($AP674="Computer Science, IT and Allied Fields")+($AP674="Life Sciences /Medicine and Healthcare")+($AP674="Paramedical")+($AP674="Architecture")+($AP674="Environmental Service")+($AP674="Agriculture, Food Industry and Forestry"))&gt;0,"Science",IF((($AP674="Banking and Finance")+($AP674="Management and Administration")+($AP674="Marketing")+($AP674="Sales")+($AP674="Entrepreneurship")+($AP674="Hospitality and Tourism"))&gt;0,"Commerce",IF((($AP674="Social Sciences and Humanities")+($AP674="Law Studies")+($AP674="Education and Training")+($AP674="Art, Design")+($AP674="Entertainment and Mass Media")+($AP674="Community and Social Service")+($AP674="Personal Care and Services")+($AP674="Government and Public Administration")+($AP674="Defence/ Protective Service")+($AP674="Sports"))&gt;0,"Arts / Humanities",""))))</f>
        <v/>
      </c>
      <c r="BC674" s="5" t="str">
        <f aca="false">IF($AL674="","",IF((($AL674="Engineering and Technology")+($AL674="Science and Mathematics")+($AL674="Computer Science, IT and Allied Fields")+($AL674="Life Sciences /Medicine and Healthcare")+($AL674="Paramedical")+($AL674="Architecture")+($AL674="Environmental Service")+($AL674="Agriculture, Food Industry and Forestry"))&gt;0,"Science",IF((($AL674="Banking and Finance")+($AL674="Management and Administration")+($AL674="Marketing")+($AL674="Sales")+($AL674="Entrepreneurship")+($AL674="Hospitality and Tourism"))&gt;0,"Commerce",IF((($AL674="Social Sciences and Humanities")+($AL674="Law Studies")+($AL674="Education and Training")+($AL674="Art, Design")+($AL674="Entertainment and Mass Media")+($AL674="Community and Social Service")+($AL674="Personal Care and Services")+($AL674="Government and Public Administration")+($AL674="Defence/ Protective Service")+($AL674="Sports"))&gt;0,"Arts / Humanities",""))))</f>
        <v/>
      </c>
      <c r="BD674" s="5" t="str">
        <f aca="false">IF($B674="","",--(F674&gt;=10)+--(G674&gt;=10)+--(H674&gt;=10)+--(I674&gt;=10)+--(J674&gt;=10)+--(K674&gt;=10)+--(L674&gt;=10)+--(M674&gt;=10)+--(N674&gt;=10)+--(O674&gt;=10))</f>
        <v/>
      </c>
      <c r="BE674" s="5" t="str">
        <f aca="false">IF($B674="","",--(AND(F674&lt;&gt;"",F674&lt;=8))+--(AND(G674&lt;&gt;"",G674&lt;=8))+--(AND(H674&lt;&gt;"",H674&lt;=8))+--(AND(I674&lt;&gt;"",I674&lt;=8))+--(AND(J674&lt;&gt;"",J674&lt;=8))+--(AND(K674&lt;&gt;"",K674&lt;=8))+--(AND(L674&lt;&gt;"",L674&lt;=8))+--(AND(M674&lt;&gt;"",M674&lt;=8))+--(AND(N674&lt;&gt;"",N674&lt;=8))+--(AND(O674&lt;&gt;"",O674&lt;=8)))</f>
        <v/>
      </c>
    </row>
    <row r="675" customFormat="false" ht="15" hidden="false" customHeight="false" outlineLevel="0" collapsed="false">
      <c r="AZ675" s="5" t="str">
        <f aca="false">IF($B675="","",SUMPRODUCT(($AL675:$AO675&lt;&gt;"")*(COUNTIF($AP675:$AX675,$AL675:$AO675)&gt;0)))</f>
        <v/>
      </c>
      <c r="BA675" s="5" t="str">
        <f aca="false">IF($B675="","",IF(AZ675&gt;0,1,0))</f>
        <v/>
      </c>
      <c r="BB675" s="5" t="str">
        <f aca="false">IF($AP675="","",IF((($AP675="Engineering and Technology")+($AP675="Science and Mathematics")+($AP675="Computer Science, IT and Allied Fields")+($AP675="Life Sciences /Medicine and Healthcare")+($AP675="Paramedical")+($AP675="Architecture")+($AP675="Environmental Service")+($AP675="Agriculture, Food Industry and Forestry"))&gt;0,"Science",IF((($AP675="Banking and Finance")+($AP675="Management and Administration")+($AP675="Marketing")+($AP675="Sales")+($AP675="Entrepreneurship")+($AP675="Hospitality and Tourism"))&gt;0,"Commerce",IF((($AP675="Social Sciences and Humanities")+($AP675="Law Studies")+($AP675="Education and Training")+($AP675="Art, Design")+($AP675="Entertainment and Mass Media")+($AP675="Community and Social Service")+($AP675="Personal Care and Services")+($AP675="Government and Public Administration")+($AP675="Defence/ Protective Service")+($AP675="Sports"))&gt;0,"Arts / Humanities",""))))</f>
        <v/>
      </c>
      <c r="BC675" s="5" t="str">
        <f aca="false">IF($AL675="","",IF((($AL675="Engineering and Technology")+($AL675="Science and Mathematics")+($AL675="Computer Science, IT and Allied Fields")+($AL675="Life Sciences /Medicine and Healthcare")+($AL675="Paramedical")+($AL675="Architecture")+($AL675="Environmental Service")+($AL675="Agriculture, Food Industry and Forestry"))&gt;0,"Science",IF((($AL675="Banking and Finance")+($AL675="Management and Administration")+($AL675="Marketing")+($AL675="Sales")+($AL675="Entrepreneurship")+($AL675="Hospitality and Tourism"))&gt;0,"Commerce",IF((($AL675="Social Sciences and Humanities")+($AL675="Law Studies")+($AL675="Education and Training")+($AL675="Art, Design")+($AL675="Entertainment and Mass Media")+($AL675="Community and Social Service")+($AL675="Personal Care and Services")+($AL675="Government and Public Administration")+($AL675="Defence/ Protective Service")+($AL675="Sports"))&gt;0,"Arts / Humanities",""))))</f>
        <v/>
      </c>
      <c r="BD675" s="5" t="str">
        <f aca="false">IF($B675="","",--(F675&gt;=10)+--(G675&gt;=10)+--(H675&gt;=10)+--(I675&gt;=10)+--(J675&gt;=10)+--(K675&gt;=10)+--(L675&gt;=10)+--(M675&gt;=10)+--(N675&gt;=10)+--(O675&gt;=10))</f>
        <v/>
      </c>
      <c r="BE675" s="5" t="str">
        <f aca="false">IF($B675="","",--(AND(F675&lt;&gt;"",F675&lt;=8))+--(AND(G675&lt;&gt;"",G675&lt;=8))+--(AND(H675&lt;&gt;"",H675&lt;=8))+--(AND(I675&lt;&gt;"",I675&lt;=8))+--(AND(J675&lt;&gt;"",J675&lt;=8))+--(AND(K675&lt;&gt;"",K675&lt;=8))+--(AND(L675&lt;&gt;"",L675&lt;=8))+--(AND(M675&lt;&gt;"",M675&lt;=8))+--(AND(N675&lt;&gt;"",N675&lt;=8))+--(AND(O675&lt;&gt;"",O675&lt;=8)))</f>
        <v/>
      </c>
    </row>
    <row r="676" customFormat="false" ht="15" hidden="false" customHeight="false" outlineLevel="0" collapsed="false">
      <c r="AZ676" s="5" t="str">
        <f aca="false">IF($B676="","",SUMPRODUCT(($AL676:$AO676&lt;&gt;"")*(COUNTIF($AP676:$AX676,$AL676:$AO676)&gt;0)))</f>
        <v/>
      </c>
      <c r="BA676" s="5" t="str">
        <f aca="false">IF($B676="","",IF(AZ676&gt;0,1,0))</f>
        <v/>
      </c>
      <c r="BB676" s="5" t="str">
        <f aca="false">IF($AP676="","",IF((($AP676="Engineering and Technology")+($AP676="Science and Mathematics")+($AP676="Computer Science, IT and Allied Fields")+($AP676="Life Sciences /Medicine and Healthcare")+($AP676="Paramedical")+($AP676="Architecture")+($AP676="Environmental Service")+($AP676="Agriculture, Food Industry and Forestry"))&gt;0,"Science",IF((($AP676="Banking and Finance")+($AP676="Management and Administration")+($AP676="Marketing")+($AP676="Sales")+($AP676="Entrepreneurship")+($AP676="Hospitality and Tourism"))&gt;0,"Commerce",IF((($AP676="Social Sciences and Humanities")+($AP676="Law Studies")+($AP676="Education and Training")+($AP676="Art, Design")+($AP676="Entertainment and Mass Media")+($AP676="Community and Social Service")+($AP676="Personal Care and Services")+($AP676="Government and Public Administration")+($AP676="Defence/ Protective Service")+($AP676="Sports"))&gt;0,"Arts / Humanities",""))))</f>
        <v/>
      </c>
      <c r="BC676" s="5" t="str">
        <f aca="false">IF($AL676="","",IF((($AL676="Engineering and Technology")+($AL676="Science and Mathematics")+($AL676="Computer Science, IT and Allied Fields")+($AL676="Life Sciences /Medicine and Healthcare")+($AL676="Paramedical")+($AL676="Architecture")+($AL676="Environmental Service")+($AL676="Agriculture, Food Industry and Forestry"))&gt;0,"Science",IF((($AL676="Banking and Finance")+($AL676="Management and Administration")+($AL676="Marketing")+($AL676="Sales")+($AL676="Entrepreneurship")+($AL676="Hospitality and Tourism"))&gt;0,"Commerce",IF((($AL676="Social Sciences and Humanities")+($AL676="Law Studies")+($AL676="Education and Training")+($AL676="Art, Design")+($AL676="Entertainment and Mass Media")+($AL676="Community and Social Service")+($AL676="Personal Care and Services")+($AL676="Government and Public Administration")+($AL676="Defence/ Protective Service")+($AL676="Sports"))&gt;0,"Arts / Humanities",""))))</f>
        <v/>
      </c>
      <c r="BD676" s="5" t="str">
        <f aca="false">IF($B676="","",--(F676&gt;=10)+--(G676&gt;=10)+--(H676&gt;=10)+--(I676&gt;=10)+--(J676&gt;=10)+--(K676&gt;=10)+--(L676&gt;=10)+--(M676&gt;=10)+--(N676&gt;=10)+--(O676&gt;=10))</f>
        <v/>
      </c>
      <c r="BE676" s="5" t="str">
        <f aca="false">IF($B676="","",--(AND(F676&lt;&gt;"",F676&lt;=8))+--(AND(G676&lt;&gt;"",G676&lt;=8))+--(AND(H676&lt;&gt;"",H676&lt;=8))+--(AND(I676&lt;&gt;"",I676&lt;=8))+--(AND(J676&lt;&gt;"",J676&lt;=8))+--(AND(K676&lt;&gt;"",K676&lt;=8))+--(AND(L676&lt;&gt;"",L676&lt;=8))+--(AND(M676&lt;&gt;"",M676&lt;=8))+--(AND(N676&lt;&gt;"",N676&lt;=8))+--(AND(O676&lt;&gt;"",O676&lt;=8)))</f>
        <v/>
      </c>
    </row>
    <row r="677" customFormat="false" ht="15" hidden="false" customHeight="false" outlineLevel="0" collapsed="false">
      <c r="AZ677" s="5" t="str">
        <f aca="false">IF($B677="","",SUMPRODUCT(($AL677:$AO677&lt;&gt;"")*(COUNTIF($AP677:$AX677,$AL677:$AO677)&gt;0)))</f>
        <v/>
      </c>
      <c r="BA677" s="5" t="str">
        <f aca="false">IF($B677="","",IF(AZ677&gt;0,1,0))</f>
        <v/>
      </c>
      <c r="BB677" s="5" t="str">
        <f aca="false">IF($AP677="","",IF((($AP677="Engineering and Technology")+($AP677="Science and Mathematics")+($AP677="Computer Science, IT and Allied Fields")+($AP677="Life Sciences /Medicine and Healthcare")+($AP677="Paramedical")+($AP677="Architecture")+($AP677="Environmental Service")+($AP677="Agriculture, Food Industry and Forestry"))&gt;0,"Science",IF((($AP677="Banking and Finance")+($AP677="Management and Administration")+($AP677="Marketing")+($AP677="Sales")+($AP677="Entrepreneurship")+($AP677="Hospitality and Tourism"))&gt;0,"Commerce",IF((($AP677="Social Sciences and Humanities")+($AP677="Law Studies")+($AP677="Education and Training")+($AP677="Art, Design")+($AP677="Entertainment and Mass Media")+($AP677="Community and Social Service")+($AP677="Personal Care and Services")+($AP677="Government and Public Administration")+($AP677="Defence/ Protective Service")+($AP677="Sports"))&gt;0,"Arts / Humanities",""))))</f>
        <v/>
      </c>
      <c r="BC677" s="5" t="str">
        <f aca="false">IF($AL677="","",IF((($AL677="Engineering and Technology")+($AL677="Science and Mathematics")+($AL677="Computer Science, IT and Allied Fields")+($AL677="Life Sciences /Medicine and Healthcare")+($AL677="Paramedical")+($AL677="Architecture")+($AL677="Environmental Service")+($AL677="Agriculture, Food Industry and Forestry"))&gt;0,"Science",IF((($AL677="Banking and Finance")+($AL677="Management and Administration")+($AL677="Marketing")+($AL677="Sales")+($AL677="Entrepreneurship")+($AL677="Hospitality and Tourism"))&gt;0,"Commerce",IF((($AL677="Social Sciences and Humanities")+($AL677="Law Studies")+($AL677="Education and Training")+($AL677="Art, Design")+($AL677="Entertainment and Mass Media")+($AL677="Community and Social Service")+($AL677="Personal Care and Services")+($AL677="Government and Public Administration")+($AL677="Defence/ Protective Service")+($AL677="Sports"))&gt;0,"Arts / Humanities",""))))</f>
        <v/>
      </c>
      <c r="BD677" s="5" t="str">
        <f aca="false">IF($B677="","",--(F677&gt;=10)+--(G677&gt;=10)+--(H677&gt;=10)+--(I677&gt;=10)+--(J677&gt;=10)+--(K677&gt;=10)+--(L677&gt;=10)+--(M677&gt;=10)+--(N677&gt;=10)+--(O677&gt;=10))</f>
        <v/>
      </c>
      <c r="BE677" s="5" t="str">
        <f aca="false">IF($B677="","",--(AND(F677&lt;&gt;"",F677&lt;=8))+--(AND(G677&lt;&gt;"",G677&lt;=8))+--(AND(H677&lt;&gt;"",H677&lt;=8))+--(AND(I677&lt;&gt;"",I677&lt;=8))+--(AND(J677&lt;&gt;"",J677&lt;=8))+--(AND(K677&lt;&gt;"",K677&lt;=8))+--(AND(L677&lt;&gt;"",L677&lt;=8))+--(AND(M677&lt;&gt;"",M677&lt;=8))+--(AND(N677&lt;&gt;"",N677&lt;=8))+--(AND(O677&lt;&gt;"",O677&lt;=8)))</f>
        <v/>
      </c>
    </row>
    <row r="678" customFormat="false" ht="15" hidden="false" customHeight="false" outlineLevel="0" collapsed="false">
      <c r="AZ678" s="5" t="str">
        <f aca="false">IF($B678="","",SUMPRODUCT(($AL678:$AO678&lt;&gt;"")*(COUNTIF($AP678:$AX678,$AL678:$AO678)&gt;0)))</f>
        <v/>
      </c>
      <c r="BA678" s="5" t="str">
        <f aca="false">IF($B678="","",IF(AZ678&gt;0,1,0))</f>
        <v/>
      </c>
      <c r="BB678" s="5" t="str">
        <f aca="false">IF($AP678="","",IF((($AP678="Engineering and Technology")+($AP678="Science and Mathematics")+($AP678="Computer Science, IT and Allied Fields")+($AP678="Life Sciences /Medicine and Healthcare")+($AP678="Paramedical")+($AP678="Architecture")+($AP678="Environmental Service")+($AP678="Agriculture, Food Industry and Forestry"))&gt;0,"Science",IF((($AP678="Banking and Finance")+($AP678="Management and Administration")+($AP678="Marketing")+($AP678="Sales")+($AP678="Entrepreneurship")+($AP678="Hospitality and Tourism"))&gt;0,"Commerce",IF((($AP678="Social Sciences and Humanities")+($AP678="Law Studies")+($AP678="Education and Training")+($AP678="Art, Design")+($AP678="Entertainment and Mass Media")+($AP678="Community and Social Service")+($AP678="Personal Care and Services")+($AP678="Government and Public Administration")+($AP678="Defence/ Protective Service")+($AP678="Sports"))&gt;0,"Arts / Humanities",""))))</f>
        <v/>
      </c>
      <c r="BC678" s="5" t="str">
        <f aca="false">IF($AL678="","",IF((($AL678="Engineering and Technology")+($AL678="Science and Mathematics")+($AL678="Computer Science, IT and Allied Fields")+($AL678="Life Sciences /Medicine and Healthcare")+($AL678="Paramedical")+($AL678="Architecture")+($AL678="Environmental Service")+($AL678="Agriculture, Food Industry and Forestry"))&gt;0,"Science",IF((($AL678="Banking and Finance")+($AL678="Management and Administration")+($AL678="Marketing")+($AL678="Sales")+($AL678="Entrepreneurship")+($AL678="Hospitality and Tourism"))&gt;0,"Commerce",IF((($AL678="Social Sciences and Humanities")+($AL678="Law Studies")+($AL678="Education and Training")+($AL678="Art, Design")+($AL678="Entertainment and Mass Media")+($AL678="Community and Social Service")+($AL678="Personal Care and Services")+($AL678="Government and Public Administration")+($AL678="Defence/ Protective Service")+($AL678="Sports"))&gt;0,"Arts / Humanities",""))))</f>
        <v/>
      </c>
      <c r="BD678" s="5" t="str">
        <f aca="false">IF($B678="","",--(F678&gt;=10)+--(G678&gt;=10)+--(H678&gt;=10)+--(I678&gt;=10)+--(J678&gt;=10)+--(K678&gt;=10)+--(L678&gt;=10)+--(M678&gt;=10)+--(N678&gt;=10)+--(O678&gt;=10))</f>
        <v/>
      </c>
      <c r="BE678" s="5" t="str">
        <f aca="false">IF($B678="","",--(AND(F678&lt;&gt;"",F678&lt;=8))+--(AND(G678&lt;&gt;"",G678&lt;=8))+--(AND(H678&lt;&gt;"",H678&lt;=8))+--(AND(I678&lt;&gt;"",I678&lt;=8))+--(AND(J678&lt;&gt;"",J678&lt;=8))+--(AND(K678&lt;&gt;"",K678&lt;=8))+--(AND(L678&lt;&gt;"",L678&lt;=8))+--(AND(M678&lt;&gt;"",M678&lt;=8))+--(AND(N678&lt;&gt;"",N678&lt;=8))+--(AND(O678&lt;&gt;"",O678&lt;=8)))</f>
        <v/>
      </c>
    </row>
    <row r="679" customFormat="false" ht="15" hidden="false" customHeight="false" outlineLevel="0" collapsed="false">
      <c r="AZ679" s="5" t="str">
        <f aca="false">IF($B679="","",SUMPRODUCT(($AL679:$AO679&lt;&gt;"")*(COUNTIF($AP679:$AX679,$AL679:$AO679)&gt;0)))</f>
        <v/>
      </c>
      <c r="BA679" s="5" t="str">
        <f aca="false">IF($B679="","",IF(AZ679&gt;0,1,0))</f>
        <v/>
      </c>
      <c r="BB679" s="5" t="str">
        <f aca="false">IF($AP679="","",IF((($AP679="Engineering and Technology")+($AP679="Science and Mathematics")+($AP679="Computer Science, IT and Allied Fields")+($AP679="Life Sciences /Medicine and Healthcare")+($AP679="Paramedical")+($AP679="Architecture")+($AP679="Environmental Service")+($AP679="Agriculture, Food Industry and Forestry"))&gt;0,"Science",IF((($AP679="Banking and Finance")+($AP679="Management and Administration")+($AP679="Marketing")+($AP679="Sales")+($AP679="Entrepreneurship")+($AP679="Hospitality and Tourism"))&gt;0,"Commerce",IF((($AP679="Social Sciences and Humanities")+($AP679="Law Studies")+($AP679="Education and Training")+($AP679="Art, Design")+($AP679="Entertainment and Mass Media")+($AP679="Community and Social Service")+($AP679="Personal Care and Services")+($AP679="Government and Public Administration")+($AP679="Defence/ Protective Service")+($AP679="Sports"))&gt;0,"Arts / Humanities",""))))</f>
        <v/>
      </c>
      <c r="BC679" s="5" t="str">
        <f aca="false">IF($AL679="","",IF((($AL679="Engineering and Technology")+($AL679="Science and Mathematics")+($AL679="Computer Science, IT and Allied Fields")+($AL679="Life Sciences /Medicine and Healthcare")+($AL679="Paramedical")+($AL679="Architecture")+($AL679="Environmental Service")+($AL679="Agriculture, Food Industry and Forestry"))&gt;0,"Science",IF((($AL679="Banking and Finance")+($AL679="Management and Administration")+($AL679="Marketing")+($AL679="Sales")+($AL679="Entrepreneurship")+($AL679="Hospitality and Tourism"))&gt;0,"Commerce",IF((($AL679="Social Sciences and Humanities")+($AL679="Law Studies")+($AL679="Education and Training")+($AL679="Art, Design")+($AL679="Entertainment and Mass Media")+($AL679="Community and Social Service")+($AL679="Personal Care and Services")+($AL679="Government and Public Administration")+($AL679="Defence/ Protective Service")+($AL679="Sports"))&gt;0,"Arts / Humanities",""))))</f>
        <v/>
      </c>
      <c r="BD679" s="5" t="str">
        <f aca="false">IF($B679="","",--(F679&gt;=10)+--(G679&gt;=10)+--(H679&gt;=10)+--(I679&gt;=10)+--(J679&gt;=10)+--(K679&gt;=10)+--(L679&gt;=10)+--(M679&gt;=10)+--(N679&gt;=10)+--(O679&gt;=10))</f>
        <v/>
      </c>
      <c r="BE679" s="5" t="str">
        <f aca="false">IF($B679="","",--(AND(F679&lt;&gt;"",F679&lt;=8))+--(AND(G679&lt;&gt;"",G679&lt;=8))+--(AND(H679&lt;&gt;"",H679&lt;=8))+--(AND(I679&lt;&gt;"",I679&lt;=8))+--(AND(J679&lt;&gt;"",J679&lt;=8))+--(AND(K679&lt;&gt;"",K679&lt;=8))+--(AND(L679&lt;&gt;"",L679&lt;=8))+--(AND(M679&lt;&gt;"",M679&lt;=8))+--(AND(N679&lt;&gt;"",N679&lt;=8))+--(AND(O679&lt;&gt;"",O679&lt;=8)))</f>
        <v/>
      </c>
    </row>
    <row r="680" customFormat="false" ht="15" hidden="false" customHeight="false" outlineLevel="0" collapsed="false">
      <c r="AZ680" s="5" t="str">
        <f aca="false">IF($B680="","",SUMPRODUCT(($AL680:$AO680&lt;&gt;"")*(COUNTIF($AP680:$AX680,$AL680:$AO680)&gt;0)))</f>
        <v/>
      </c>
      <c r="BA680" s="5" t="str">
        <f aca="false">IF($B680="","",IF(AZ680&gt;0,1,0))</f>
        <v/>
      </c>
      <c r="BB680" s="5" t="str">
        <f aca="false">IF($AP680="","",IF((($AP680="Engineering and Technology")+($AP680="Science and Mathematics")+($AP680="Computer Science, IT and Allied Fields")+($AP680="Life Sciences /Medicine and Healthcare")+($AP680="Paramedical")+($AP680="Architecture")+($AP680="Environmental Service")+($AP680="Agriculture, Food Industry and Forestry"))&gt;0,"Science",IF((($AP680="Banking and Finance")+($AP680="Management and Administration")+($AP680="Marketing")+($AP680="Sales")+($AP680="Entrepreneurship")+($AP680="Hospitality and Tourism"))&gt;0,"Commerce",IF((($AP680="Social Sciences and Humanities")+($AP680="Law Studies")+($AP680="Education and Training")+($AP680="Art, Design")+($AP680="Entertainment and Mass Media")+($AP680="Community and Social Service")+($AP680="Personal Care and Services")+($AP680="Government and Public Administration")+($AP680="Defence/ Protective Service")+($AP680="Sports"))&gt;0,"Arts / Humanities",""))))</f>
        <v/>
      </c>
      <c r="BC680" s="5" t="str">
        <f aca="false">IF($AL680="","",IF((($AL680="Engineering and Technology")+($AL680="Science and Mathematics")+($AL680="Computer Science, IT and Allied Fields")+($AL680="Life Sciences /Medicine and Healthcare")+($AL680="Paramedical")+($AL680="Architecture")+($AL680="Environmental Service")+($AL680="Agriculture, Food Industry and Forestry"))&gt;0,"Science",IF((($AL680="Banking and Finance")+($AL680="Management and Administration")+($AL680="Marketing")+($AL680="Sales")+($AL680="Entrepreneurship")+($AL680="Hospitality and Tourism"))&gt;0,"Commerce",IF((($AL680="Social Sciences and Humanities")+($AL680="Law Studies")+($AL680="Education and Training")+($AL680="Art, Design")+($AL680="Entertainment and Mass Media")+($AL680="Community and Social Service")+($AL680="Personal Care and Services")+($AL680="Government and Public Administration")+($AL680="Defence/ Protective Service")+($AL680="Sports"))&gt;0,"Arts / Humanities",""))))</f>
        <v/>
      </c>
      <c r="BD680" s="5" t="str">
        <f aca="false">IF($B680="","",--(F680&gt;=10)+--(G680&gt;=10)+--(H680&gt;=10)+--(I680&gt;=10)+--(J680&gt;=10)+--(K680&gt;=10)+--(L680&gt;=10)+--(M680&gt;=10)+--(N680&gt;=10)+--(O680&gt;=10))</f>
        <v/>
      </c>
      <c r="BE680" s="5" t="str">
        <f aca="false">IF($B680="","",--(AND(F680&lt;&gt;"",F680&lt;=8))+--(AND(G680&lt;&gt;"",G680&lt;=8))+--(AND(H680&lt;&gt;"",H680&lt;=8))+--(AND(I680&lt;&gt;"",I680&lt;=8))+--(AND(J680&lt;&gt;"",J680&lt;=8))+--(AND(K680&lt;&gt;"",K680&lt;=8))+--(AND(L680&lt;&gt;"",L680&lt;=8))+--(AND(M680&lt;&gt;"",M680&lt;=8))+--(AND(N680&lt;&gt;"",N680&lt;=8))+--(AND(O680&lt;&gt;"",O680&lt;=8)))</f>
        <v/>
      </c>
    </row>
    <row r="681" customFormat="false" ht="15" hidden="false" customHeight="false" outlineLevel="0" collapsed="false">
      <c r="AZ681" s="5" t="str">
        <f aca="false">IF($B681="","",SUMPRODUCT(($AL681:$AO681&lt;&gt;"")*(COUNTIF($AP681:$AX681,$AL681:$AO681)&gt;0)))</f>
        <v/>
      </c>
      <c r="BA681" s="5" t="str">
        <f aca="false">IF($B681="","",IF(AZ681&gt;0,1,0))</f>
        <v/>
      </c>
      <c r="BB681" s="5" t="str">
        <f aca="false">IF($AP681="","",IF((($AP681="Engineering and Technology")+($AP681="Science and Mathematics")+($AP681="Computer Science, IT and Allied Fields")+($AP681="Life Sciences /Medicine and Healthcare")+($AP681="Paramedical")+($AP681="Architecture")+($AP681="Environmental Service")+($AP681="Agriculture, Food Industry and Forestry"))&gt;0,"Science",IF((($AP681="Banking and Finance")+($AP681="Management and Administration")+($AP681="Marketing")+($AP681="Sales")+($AP681="Entrepreneurship")+($AP681="Hospitality and Tourism"))&gt;0,"Commerce",IF((($AP681="Social Sciences and Humanities")+($AP681="Law Studies")+($AP681="Education and Training")+($AP681="Art, Design")+($AP681="Entertainment and Mass Media")+($AP681="Community and Social Service")+($AP681="Personal Care and Services")+($AP681="Government and Public Administration")+($AP681="Defence/ Protective Service")+($AP681="Sports"))&gt;0,"Arts / Humanities",""))))</f>
        <v/>
      </c>
      <c r="BC681" s="5" t="str">
        <f aca="false">IF($AL681="","",IF((($AL681="Engineering and Technology")+($AL681="Science and Mathematics")+($AL681="Computer Science, IT and Allied Fields")+($AL681="Life Sciences /Medicine and Healthcare")+($AL681="Paramedical")+($AL681="Architecture")+($AL681="Environmental Service")+($AL681="Agriculture, Food Industry and Forestry"))&gt;0,"Science",IF((($AL681="Banking and Finance")+($AL681="Management and Administration")+($AL681="Marketing")+($AL681="Sales")+($AL681="Entrepreneurship")+($AL681="Hospitality and Tourism"))&gt;0,"Commerce",IF((($AL681="Social Sciences and Humanities")+($AL681="Law Studies")+($AL681="Education and Training")+($AL681="Art, Design")+($AL681="Entertainment and Mass Media")+($AL681="Community and Social Service")+($AL681="Personal Care and Services")+($AL681="Government and Public Administration")+($AL681="Defence/ Protective Service")+($AL681="Sports"))&gt;0,"Arts / Humanities",""))))</f>
        <v/>
      </c>
      <c r="BD681" s="5" t="str">
        <f aca="false">IF($B681="","",--(F681&gt;=10)+--(G681&gt;=10)+--(H681&gt;=10)+--(I681&gt;=10)+--(J681&gt;=10)+--(K681&gt;=10)+--(L681&gt;=10)+--(M681&gt;=10)+--(N681&gt;=10)+--(O681&gt;=10))</f>
        <v/>
      </c>
      <c r="BE681" s="5" t="str">
        <f aca="false">IF($B681="","",--(AND(F681&lt;&gt;"",F681&lt;=8))+--(AND(G681&lt;&gt;"",G681&lt;=8))+--(AND(H681&lt;&gt;"",H681&lt;=8))+--(AND(I681&lt;&gt;"",I681&lt;=8))+--(AND(J681&lt;&gt;"",J681&lt;=8))+--(AND(K681&lt;&gt;"",K681&lt;=8))+--(AND(L681&lt;&gt;"",L681&lt;=8))+--(AND(M681&lt;&gt;"",M681&lt;=8))+--(AND(N681&lt;&gt;"",N681&lt;=8))+--(AND(O681&lt;&gt;"",O681&lt;=8)))</f>
        <v/>
      </c>
    </row>
    <row r="682" customFormat="false" ht="15" hidden="false" customHeight="false" outlineLevel="0" collapsed="false">
      <c r="AZ682" s="5" t="str">
        <f aca="false">IF($B682="","",SUMPRODUCT(($AL682:$AO682&lt;&gt;"")*(COUNTIF($AP682:$AX682,$AL682:$AO682)&gt;0)))</f>
        <v/>
      </c>
      <c r="BA682" s="5" t="str">
        <f aca="false">IF($B682="","",IF(AZ682&gt;0,1,0))</f>
        <v/>
      </c>
      <c r="BB682" s="5" t="str">
        <f aca="false">IF($AP682="","",IF((($AP682="Engineering and Technology")+($AP682="Science and Mathematics")+($AP682="Computer Science, IT and Allied Fields")+($AP682="Life Sciences /Medicine and Healthcare")+($AP682="Paramedical")+($AP682="Architecture")+($AP682="Environmental Service")+($AP682="Agriculture, Food Industry and Forestry"))&gt;0,"Science",IF((($AP682="Banking and Finance")+($AP682="Management and Administration")+($AP682="Marketing")+($AP682="Sales")+($AP682="Entrepreneurship")+($AP682="Hospitality and Tourism"))&gt;0,"Commerce",IF((($AP682="Social Sciences and Humanities")+($AP682="Law Studies")+($AP682="Education and Training")+($AP682="Art, Design")+($AP682="Entertainment and Mass Media")+($AP682="Community and Social Service")+($AP682="Personal Care and Services")+($AP682="Government and Public Administration")+($AP682="Defence/ Protective Service")+($AP682="Sports"))&gt;0,"Arts / Humanities",""))))</f>
        <v/>
      </c>
      <c r="BC682" s="5" t="str">
        <f aca="false">IF($AL682="","",IF((($AL682="Engineering and Technology")+($AL682="Science and Mathematics")+($AL682="Computer Science, IT and Allied Fields")+($AL682="Life Sciences /Medicine and Healthcare")+($AL682="Paramedical")+($AL682="Architecture")+($AL682="Environmental Service")+($AL682="Agriculture, Food Industry and Forestry"))&gt;0,"Science",IF((($AL682="Banking and Finance")+($AL682="Management and Administration")+($AL682="Marketing")+($AL682="Sales")+($AL682="Entrepreneurship")+($AL682="Hospitality and Tourism"))&gt;0,"Commerce",IF((($AL682="Social Sciences and Humanities")+($AL682="Law Studies")+($AL682="Education and Training")+($AL682="Art, Design")+($AL682="Entertainment and Mass Media")+($AL682="Community and Social Service")+($AL682="Personal Care and Services")+($AL682="Government and Public Administration")+($AL682="Defence/ Protective Service")+($AL682="Sports"))&gt;0,"Arts / Humanities",""))))</f>
        <v/>
      </c>
      <c r="BD682" s="5" t="str">
        <f aca="false">IF($B682="","",--(F682&gt;=10)+--(G682&gt;=10)+--(H682&gt;=10)+--(I682&gt;=10)+--(J682&gt;=10)+--(K682&gt;=10)+--(L682&gt;=10)+--(M682&gt;=10)+--(N682&gt;=10)+--(O682&gt;=10))</f>
        <v/>
      </c>
      <c r="BE682" s="5" t="str">
        <f aca="false">IF($B682="","",--(AND(F682&lt;&gt;"",F682&lt;=8))+--(AND(G682&lt;&gt;"",G682&lt;=8))+--(AND(H682&lt;&gt;"",H682&lt;=8))+--(AND(I682&lt;&gt;"",I682&lt;=8))+--(AND(J682&lt;&gt;"",J682&lt;=8))+--(AND(K682&lt;&gt;"",K682&lt;=8))+--(AND(L682&lt;&gt;"",L682&lt;=8))+--(AND(M682&lt;&gt;"",M682&lt;=8))+--(AND(N682&lt;&gt;"",N682&lt;=8))+--(AND(O682&lt;&gt;"",O682&lt;=8)))</f>
        <v/>
      </c>
    </row>
    <row r="683" customFormat="false" ht="15" hidden="false" customHeight="false" outlineLevel="0" collapsed="false">
      <c r="AZ683" s="5" t="str">
        <f aca="false">IF($B683="","",SUMPRODUCT(($AL683:$AO683&lt;&gt;"")*(COUNTIF($AP683:$AX683,$AL683:$AO683)&gt;0)))</f>
        <v/>
      </c>
      <c r="BA683" s="5" t="str">
        <f aca="false">IF($B683="","",IF(AZ683&gt;0,1,0))</f>
        <v/>
      </c>
      <c r="BB683" s="5" t="str">
        <f aca="false">IF($AP683="","",IF((($AP683="Engineering and Technology")+($AP683="Science and Mathematics")+($AP683="Computer Science, IT and Allied Fields")+($AP683="Life Sciences /Medicine and Healthcare")+($AP683="Paramedical")+($AP683="Architecture")+($AP683="Environmental Service")+($AP683="Agriculture, Food Industry and Forestry"))&gt;0,"Science",IF((($AP683="Banking and Finance")+($AP683="Management and Administration")+($AP683="Marketing")+($AP683="Sales")+($AP683="Entrepreneurship")+($AP683="Hospitality and Tourism"))&gt;0,"Commerce",IF((($AP683="Social Sciences and Humanities")+($AP683="Law Studies")+($AP683="Education and Training")+($AP683="Art, Design")+($AP683="Entertainment and Mass Media")+($AP683="Community and Social Service")+($AP683="Personal Care and Services")+($AP683="Government and Public Administration")+($AP683="Defence/ Protective Service")+($AP683="Sports"))&gt;0,"Arts / Humanities",""))))</f>
        <v/>
      </c>
      <c r="BC683" s="5" t="str">
        <f aca="false">IF($AL683="","",IF((($AL683="Engineering and Technology")+($AL683="Science and Mathematics")+($AL683="Computer Science, IT and Allied Fields")+($AL683="Life Sciences /Medicine and Healthcare")+($AL683="Paramedical")+($AL683="Architecture")+($AL683="Environmental Service")+($AL683="Agriculture, Food Industry and Forestry"))&gt;0,"Science",IF((($AL683="Banking and Finance")+($AL683="Management and Administration")+($AL683="Marketing")+($AL683="Sales")+($AL683="Entrepreneurship")+($AL683="Hospitality and Tourism"))&gt;0,"Commerce",IF((($AL683="Social Sciences and Humanities")+($AL683="Law Studies")+($AL683="Education and Training")+($AL683="Art, Design")+($AL683="Entertainment and Mass Media")+($AL683="Community and Social Service")+($AL683="Personal Care and Services")+($AL683="Government and Public Administration")+($AL683="Defence/ Protective Service")+($AL683="Sports"))&gt;0,"Arts / Humanities",""))))</f>
        <v/>
      </c>
      <c r="BD683" s="5" t="str">
        <f aca="false">IF($B683="","",--(F683&gt;=10)+--(G683&gt;=10)+--(H683&gt;=10)+--(I683&gt;=10)+--(J683&gt;=10)+--(K683&gt;=10)+--(L683&gt;=10)+--(M683&gt;=10)+--(N683&gt;=10)+--(O683&gt;=10))</f>
        <v/>
      </c>
      <c r="BE683" s="5" t="str">
        <f aca="false">IF($B683="","",--(AND(F683&lt;&gt;"",F683&lt;=8))+--(AND(G683&lt;&gt;"",G683&lt;=8))+--(AND(H683&lt;&gt;"",H683&lt;=8))+--(AND(I683&lt;&gt;"",I683&lt;=8))+--(AND(J683&lt;&gt;"",J683&lt;=8))+--(AND(K683&lt;&gt;"",K683&lt;=8))+--(AND(L683&lt;&gt;"",L683&lt;=8))+--(AND(M683&lt;&gt;"",M683&lt;=8))+--(AND(N683&lt;&gt;"",N683&lt;=8))+--(AND(O683&lt;&gt;"",O683&lt;=8)))</f>
        <v/>
      </c>
    </row>
    <row r="684" customFormat="false" ht="15" hidden="false" customHeight="false" outlineLevel="0" collapsed="false">
      <c r="AZ684" s="5" t="str">
        <f aca="false">IF($B684="","",SUMPRODUCT(($AL684:$AO684&lt;&gt;"")*(COUNTIF($AP684:$AX684,$AL684:$AO684)&gt;0)))</f>
        <v/>
      </c>
      <c r="BA684" s="5" t="str">
        <f aca="false">IF($B684="","",IF(AZ684&gt;0,1,0))</f>
        <v/>
      </c>
      <c r="BB684" s="5" t="str">
        <f aca="false">IF($AP684="","",IF((($AP684="Engineering and Technology")+($AP684="Science and Mathematics")+($AP684="Computer Science, IT and Allied Fields")+($AP684="Life Sciences /Medicine and Healthcare")+($AP684="Paramedical")+($AP684="Architecture")+($AP684="Environmental Service")+($AP684="Agriculture, Food Industry and Forestry"))&gt;0,"Science",IF((($AP684="Banking and Finance")+($AP684="Management and Administration")+($AP684="Marketing")+($AP684="Sales")+($AP684="Entrepreneurship")+($AP684="Hospitality and Tourism"))&gt;0,"Commerce",IF((($AP684="Social Sciences and Humanities")+($AP684="Law Studies")+($AP684="Education and Training")+($AP684="Art, Design")+($AP684="Entertainment and Mass Media")+($AP684="Community and Social Service")+($AP684="Personal Care and Services")+($AP684="Government and Public Administration")+($AP684="Defence/ Protective Service")+($AP684="Sports"))&gt;0,"Arts / Humanities",""))))</f>
        <v/>
      </c>
      <c r="BC684" s="5" t="str">
        <f aca="false">IF($AL684="","",IF((($AL684="Engineering and Technology")+($AL684="Science and Mathematics")+($AL684="Computer Science, IT and Allied Fields")+($AL684="Life Sciences /Medicine and Healthcare")+($AL684="Paramedical")+($AL684="Architecture")+($AL684="Environmental Service")+($AL684="Agriculture, Food Industry and Forestry"))&gt;0,"Science",IF((($AL684="Banking and Finance")+($AL684="Management and Administration")+($AL684="Marketing")+($AL684="Sales")+($AL684="Entrepreneurship")+($AL684="Hospitality and Tourism"))&gt;0,"Commerce",IF((($AL684="Social Sciences and Humanities")+($AL684="Law Studies")+($AL684="Education and Training")+($AL684="Art, Design")+($AL684="Entertainment and Mass Media")+($AL684="Community and Social Service")+($AL684="Personal Care and Services")+($AL684="Government and Public Administration")+($AL684="Defence/ Protective Service")+($AL684="Sports"))&gt;0,"Arts / Humanities",""))))</f>
        <v/>
      </c>
      <c r="BD684" s="5" t="str">
        <f aca="false">IF($B684="","",--(F684&gt;=10)+--(G684&gt;=10)+--(H684&gt;=10)+--(I684&gt;=10)+--(J684&gt;=10)+--(K684&gt;=10)+--(L684&gt;=10)+--(M684&gt;=10)+--(N684&gt;=10)+--(O684&gt;=10))</f>
        <v/>
      </c>
      <c r="BE684" s="5" t="str">
        <f aca="false">IF($B684="","",--(AND(F684&lt;&gt;"",F684&lt;=8))+--(AND(G684&lt;&gt;"",G684&lt;=8))+--(AND(H684&lt;&gt;"",H684&lt;=8))+--(AND(I684&lt;&gt;"",I684&lt;=8))+--(AND(J684&lt;&gt;"",J684&lt;=8))+--(AND(K684&lt;&gt;"",K684&lt;=8))+--(AND(L684&lt;&gt;"",L684&lt;=8))+--(AND(M684&lt;&gt;"",M684&lt;=8))+--(AND(N684&lt;&gt;"",N684&lt;=8))+--(AND(O684&lt;&gt;"",O684&lt;=8)))</f>
        <v/>
      </c>
    </row>
    <row r="685" customFormat="false" ht="15" hidden="false" customHeight="false" outlineLevel="0" collapsed="false">
      <c r="AZ685" s="5" t="str">
        <f aca="false">IF($B685="","",SUMPRODUCT(($AL685:$AO685&lt;&gt;"")*(COUNTIF($AP685:$AX685,$AL685:$AO685)&gt;0)))</f>
        <v/>
      </c>
      <c r="BA685" s="5" t="str">
        <f aca="false">IF($B685="","",IF(AZ685&gt;0,1,0))</f>
        <v/>
      </c>
      <c r="BB685" s="5" t="str">
        <f aca="false">IF($AP685="","",IF((($AP685="Engineering and Technology")+($AP685="Science and Mathematics")+($AP685="Computer Science, IT and Allied Fields")+($AP685="Life Sciences /Medicine and Healthcare")+($AP685="Paramedical")+($AP685="Architecture")+($AP685="Environmental Service")+($AP685="Agriculture, Food Industry and Forestry"))&gt;0,"Science",IF((($AP685="Banking and Finance")+($AP685="Management and Administration")+($AP685="Marketing")+($AP685="Sales")+($AP685="Entrepreneurship")+($AP685="Hospitality and Tourism"))&gt;0,"Commerce",IF((($AP685="Social Sciences and Humanities")+($AP685="Law Studies")+($AP685="Education and Training")+($AP685="Art, Design")+($AP685="Entertainment and Mass Media")+($AP685="Community and Social Service")+($AP685="Personal Care and Services")+($AP685="Government and Public Administration")+($AP685="Defence/ Protective Service")+($AP685="Sports"))&gt;0,"Arts / Humanities",""))))</f>
        <v/>
      </c>
      <c r="BC685" s="5" t="str">
        <f aca="false">IF($AL685="","",IF((($AL685="Engineering and Technology")+($AL685="Science and Mathematics")+($AL685="Computer Science, IT and Allied Fields")+($AL685="Life Sciences /Medicine and Healthcare")+($AL685="Paramedical")+($AL685="Architecture")+($AL685="Environmental Service")+($AL685="Agriculture, Food Industry and Forestry"))&gt;0,"Science",IF((($AL685="Banking and Finance")+($AL685="Management and Administration")+($AL685="Marketing")+($AL685="Sales")+($AL685="Entrepreneurship")+($AL685="Hospitality and Tourism"))&gt;0,"Commerce",IF((($AL685="Social Sciences and Humanities")+($AL685="Law Studies")+($AL685="Education and Training")+($AL685="Art, Design")+($AL685="Entertainment and Mass Media")+($AL685="Community and Social Service")+($AL685="Personal Care and Services")+($AL685="Government and Public Administration")+($AL685="Defence/ Protective Service")+($AL685="Sports"))&gt;0,"Arts / Humanities",""))))</f>
        <v/>
      </c>
      <c r="BD685" s="5" t="str">
        <f aca="false">IF($B685="","",--(F685&gt;=10)+--(G685&gt;=10)+--(H685&gt;=10)+--(I685&gt;=10)+--(J685&gt;=10)+--(K685&gt;=10)+--(L685&gt;=10)+--(M685&gt;=10)+--(N685&gt;=10)+--(O685&gt;=10))</f>
        <v/>
      </c>
      <c r="BE685" s="5" t="str">
        <f aca="false">IF($B685="","",--(AND(F685&lt;&gt;"",F685&lt;=8))+--(AND(G685&lt;&gt;"",G685&lt;=8))+--(AND(H685&lt;&gt;"",H685&lt;=8))+--(AND(I685&lt;&gt;"",I685&lt;=8))+--(AND(J685&lt;&gt;"",J685&lt;=8))+--(AND(K685&lt;&gt;"",K685&lt;=8))+--(AND(L685&lt;&gt;"",L685&lt;=8))+--(AND(M685&lt;&gt;"",M685&lt;=8))+--(AND(N685&lt;&gt;"",N685&lt;=8))+--(AND(O685&lt;&gt;"",O685&lt;=8)))</f>
        <v/>
      </c>
    </row>
    <row r="686" customFormat="false" ht="15" hidden="false" customHeight="false" outlineLevel="0" collapsed="false">
      <c r="AZ686" s="5" t="str">
        <f aca="false">IF($B686="","",SUMPRODUCT(($AL686:$AO686&lt;&gt;"")*(COUNTIF($AP686:$AX686,$AL686:$AO686)&gt;0)))</f>
        <v/>
      </c>
      <c r="BA686" s="5" t="str">
        <f aca="false">IF($B686="","",IF(AZ686&gt;0,1,0))</f>
        <v/>
      </c>
      <c r="BB686" s="5" t="str">
        <f aca="false">IF($AP686="","",IF((($AP686="Engineering and Technology")+($AP686="Science and Mathematics")+($AP686="Computer Science, IT and Allied Fields")+($AP686="Life Sciences /Medicine and Healthcare")+($AP686="Paramedical")+($AP686="Architecture")+($AP686="Environmental Service")+($AP686="Agriculture, Food Industry and Forestry"))&gt;0,"Science",IF((($AP686="Banking and Finance")+($AP686="Management and Administration")+($AP686="Marketing")+($AP686="Sales")+($AP686="Entrepreneurship")+($AP686="Hospitality and Tourism"))&gt;0,"Commerce",IF((($AP686="Social Sciences and Humanities")+($AP686="Law Studies")+($AP686="Education and Training")+($AP686="Art, Design")+($AP686="Entertainment and Mass Media")+($AP686="Community and Social Service")+($AP686="Personal Care and Services")+($AP686="Government and Public Administration")+($AP686="Defence/ Protective Service")+($AP686="Sports"))&gt;0,"Arts / Humanities",""))))</f>
        <v/>
      </c>
      <c r="BC686" s="5" t="str">
        <f aca="false">IF($AL686="","",IF((($AL686="Engineering and Technology")+($AL686="Science and Mathematics")+($AL686="Computer Science, IT and Allied Fields")+($AL686="Life Sciences /Medicine and Healthcare")+($AL686="Paramedical")+($AL686="Architecture")+($AL686="Environmental Service")+($AL686="Agriculture, Food Industry and Forestry"))&gt;0,"Science",IF((($AL686="Banking and Finance")+($AL686="Management and Administration")+($AL686="Marketing")+($AL686="Sales")+($AL686="Entrepreneurship")+($AL686="Hospitality and Tourism"))&gt;0,"Commerce",IF((($AL686="Social Sciences and Humanities")+($AL686="Law Studies")+($AL686="Education and Training")+($AL686="Art, Design")+($AL686="Entertainment and Mass Media")+($AL686="Community and Social Service")+($AL686="Personal Care and Services")+($AL686="Government and Public Administration")+($AL686="Defence/ Protective Service")+($AL686="Sports"))&gt;0,"Arts / Humanities",""))))</f>
        <v/>
      </c>
      <c r="BD686" s="5" t="str">
        <f aca="false">IF($B686="","",--(F686&gt;=10)+--(G686&gt;=10)+--(H686&gt;=10)+--(I686&gt;=10)+--(J686&gt;=10)+--(K686&gt;=10)+--(L686&gt;=10)+--(M686&gt;=10)+--(N686&gt;=10)+--(O686&gt;=10))</f>
        <v/>
      </c>
      <c r="BE686" s="5" t="str">
        <f aca="false">IF($B686="","",--(AND(F686&lt;&gt;"",F686&lt;=8))+--(AND(G686&lt;&gt;"",G686&lt;=8))+--(AND(H686&lt;&gt;"",H686&lt;=8))+--(AND(I686&lt;&gt;"",I686&lt;=8))+--(AND(J686&lt;&gt;"",J686&lt;=8))+--(AND(K686&lt;&gt;"",K686&lt;=8))+--(AND(L686&lt;&gt;"",L686&lt;=8))+--(AND(M686&lt;&gt;"",M686&lt;=8))+--(AND(N686&lt;&gt;"",N686&lt;=8))+--(AND(O686&lt;&gt;"",O686&lt;=8)))</f>
        <v/>
      </c>
    </row>
    <row r="687" customFormat="false" ht="15" hidden="false" customHeight="false" outlineLevel="0" collapsed="false">
      <c r="AZ687" s="5" t="str">
        <f aca="false">IF($B687="","",SUMPRODUCT(($AL687:$AO687&lt;&gt;"")*(COUNTIF($AP687:$AX687,$AL687:$AO687)&gt;0)))</f>
        <v/>
      </c>
      <c r="BA687" s="5" t="str">
        <f aca="false">IF($B687="","",IF(AZ687&gt;0,1,0))</f>
        <v/>
      </c>
      <c r="BB687" s="5" t="str">
        <f aca="false">IF($AP687="","",IF((($AP687="Engineering and Technology")+($AP687="Science and Mathematics")+($AP687="Computer Science, IT and Allied Fields")+($AP687="Life Sciences /Medicine and Healthcare")+($AP687="Paramedical")+($AP687="Architecture")+($AP687="Environmental Service")+($AP687="Agriculture, Food Industry and Forestry"))&gt;0,"Science",IF((($AP687="Banking and Finance")+($AP687="Management and Administration")+($AP687="Marketing")+($AP687="Sales")+($AP687="Entrepreneurship")+($AP687="Hospitality and Tourism"))&gt;0,"Commerce",IF((($AP687="Social Sciences and Humanities")+($AP687="Law Studies")+($AP687="Education and Training")+($AP687="Art, Design")+($AP687="Entertainment and Mass Media")+($AP687="Community and Social Service")+($AP687="Personal Care and Services")+($AP687="Government and Public Administration")+($AP687="Defence/ Protective Service")+($AP687="Sports"))&gt;0,"Arts / Humanities",""))))</f>
        <v/>
      </c>
      <c r="BC687" s="5" t="str">
        <f aca="false">IF($AL687="","",IF((($AL687="Engineering and Technology")+($AL687="Science and Mathematics")+($AL687="Computer Science, IT and Allied Fields")+($AL687="Life Sciences /Medicine and Healthcare")+($AL687="Paramedical")+($AL687="Architecture")+($AL687="Environmental Service")+($AL687="Agriculture, Food Industry and Forestry"))&gt;0,"Science",IF((($AL687="Banking and Finance")+($AL687="Management and Administration")+($AL687="Marketing")+($AL687="Sales")+($AL687="Entrepreneurship")+($AL687="Hospitality and Tourism"))&gt;0,"Commerce",IF((($AL687="Social Sciences and Humanities")+($AL687="Law Studies")+($AL687="Education and Training")+($AL687="Art, Design")+($AL687="Entertainment and Mass Media")+($AL687="Community and Social Service")+($AL687="Personal Care and Services")+($AL687="Government and Public Administration")+($AL687="Defence/ Protective Service")+($AL687="Sports"))&gt;0,"Arts / Humanities",""))))</f>
        <v/>
      </c>
      <c r="BD687" s="5" t="str">
        <f aca="false">IF($B687="","",--(F687&gt;=10)+--(G687&gt;=10)+--(H687&gt;=10)+--(I687&gt;=10)+--(J687&gt;=10)+--(K687&gt;=10)+--(L687&gt;=10)+--(M687&gt;=10)+--(N687&gt;=10)+--(O687&gt;=10))</f>
        <v/>
      </c>
      <c r="BE687" s="5" t="str">
        <f aca="false">IF($B687="","",--(AND(F687&lt;&gt;"",F687&lt;=8))+--(AND(G687&lt;&gt;"",G687&lt;=8))+--(AND(H687&lt;&gt;"",H687&lt;=8))+--(AND(I687&lt;&gt;"",I687&lt;=8))+--(AND(J687&lt;&gt;"",J687&lt;=8))+--(AND(K687&lt;&gt;"",K687&lt;=8))+--(AND(L687&lt;&gt;"",L687&lt;=8))+--(AND(M687&lt;&gt;"",M687&lt;=8))+--(AND(N687&lt;&gt;"",N687&lt;=8))+--(AND(O687&lt;&gt;"",O687&lt;=8)))</f>
        <v/>
      </c>
    </row>
    <row r="688" customFormat="false" ht="15" hidden="false" customHeight="false" outlineLevel="0" collapsed="false">
      <c r="AZ688" s="5" t="str">
        <f aca="false">IF($B688="","",SUMPRODUCT(($AL688:$AO688&lt;&gt;"")*(COUNTIF($AP688:$AX688,$AL688:$AO688)&gt;0)))</f>
        <v/>
      </c>
      <c r="BA688" s="5" t="str">
        <f aca="false">IF($B688="","",IF(AZ688&gt;0,1,0))</f>
        <v/>
      </c>
      <c r="BB688" s="5" t="str">
        <f aca="false">IF($AP688="","",IF((($AP688="Engineering and Technology")+($AP688="Science and Mathematics")+($AP688="Computer Science, IT and Allied Fields")+($AP688="Life Sciences /Medicine and Healthcare")+($AP688="Paramedical")+($AP688="Architecture")+($AP688="Environmental Service")+($AP688="Agriculture, Food Industry and Forestry"))&gt;0,"Science",IF((($AP688="Banking and Finance")+($AP688="Management and Administration")+($AP688="Marketing")+($AP688="Sales")+($AP688="Entrepreneurship")+($AP688="Hospitality and Tourism"))&gt;0,"Commerce",IF((($AP688="Social Sciences and Humanities")+($AP688="Law Studies")+($AP688="Education and Training")+($AP688="Art, Design")+($AP688="Entertainment and Mass Media")+($AP688="Community and Social Service")+($AP688="Personal Care and Services")+($AP688="Government and Public Administration")+($AP688="Defence/ Protective Service")+($AP688="Sports"))&gt;0,"Arts / Humanities",""))))</f>
        <v/>
      </c>
      <c r="BC688" s="5" t="str">
        <f aca="false">IF($AL688="","",IF((($AL688="Engineering and Technology")+($AL688="Science and Mathematics")+($AL688="Computer Science, IT and Allied Fields")+($AL688="Life Sciences /Medicine and Healthcare")+($AL688="Paramedical")+($AL688="Architecture")+($AL688="Environmental Service")+($AL688="Agriculture, Food Industry and Forestry"))&gt;0,"Science",IF((($AL688="Banking and Finance")+($AL688="Management and Administration")+($AL688="Marketing")+($AL688="Sales")+($AL688="Entrepreneurship")+($AL688="Hospitality and Tourism"))&gt;0,"Commerce",IF((($AL688="Social Sciences and Humanities")+($AL688="Law Studies")+($AL688="Education and Training")+($AL688="Art, Design")+($AL688="Entertainment and Mass Media")+($AL688="Community and Social Service")+($AL688="Personal Care and Services")+($AL688="Government and Public Administration")+($AL688="Defence/ Protective Service")+($AL688="Sports"))&gt;0,"Arts / Humanities",""))))</f>
        <v/>
      </c>
      <c r="BD688" s="5" t="str">
        <f aca="false">IF($B688="","",--(F688&gt;=10)+--(G688&gt;=10)+--(H688&gt;=10)+--(I688&gt;=10)+--(J688&gt;=10)+--(K688&gt;=10)+--(L688&gt;=10)+--(M688&gt;=10)+--(N688&gt;=10)+--(O688&gt;=10))</f>
        <v/>
      </c>
      <c r="BE688" s="5" t="str">
        <f aca="false">IF($B688="","",--(AND(F688&lt;&gt;"",F688&lt;=8))+--(AND(G688&lt;&gt;"",G688&lt;=8))+--(AND(H688&lt;&gt;"",H688&lt;=8))+--(AND(I688&lt;&gt;"",I688&lt;=8))+--(AND(J688&lt;&gt;"",J688&lt;=8))+--(AND(K688&lt;&gt;"",K688&lt;=8))+--(AND(L688&lt;&gt;"",L688&lt;=8))+--(AND(M688&lt;&gt;"",M688&lt;=8))+--(AND(N688&lt;&gt;"",N688&lt;=8))+--(AND(O688&lt;&gt;"",O688&lt;=8)))</f>
        <v/>
      </c>
    </row>
    <row r="689" customFormat="false" ht="15" hidden="false" customHeight="false" outlineLevel="0" collapsed="false">
      <c r="AZ689" s="5" t="str">
        <f aca="false">IF($B689="","",SUMPRODUCT(($AL689:$AO689&lt;&gt;"")*(COUNTIF($AP689:$AX689,$AL689:$AO689)&gt;0)))</f>
        <v/>
      </c>
      <c r="BA689" s="5" t="str">
        <f aca="false">IF($B689="","",IF(AZ689&gt;0,1,0))</f>
        <v/>
      </c>
      <c r="BB689" s="5" t="str">
        <f aca="false">IF($AP689="","",IF((($AP689="Engineering and Technology")+($AP689="Science and Mathematics")+($AP689="Computer Science, IT and Allied Fields")+($AP689="Life Sciences /Medicine and Healthcare")+($AP689="Paramedical")+($AP689="Architecture")+($AP689="Environmental Service")+($AP689="Agriculture, Food Industry and Forestry"))&gt;0,"Science",IF((($AP689="Banking and Finance")+($AP689="Management and Administration")+($AP689="Marketing")+($AP689="Sales")+($AP689="Entrepreneurship")+($AP689="Hospitality and Tourism"))&gt;0,"Commerce",IF((($AP689="Social Sciences and Humanities")+($AP689="Law Studies")+($AP689="Education and Training")+($AP689="Art, Design")+($AP689="Entertainment and Mass Media")+($AP689="Community and Social Service")+($AP689="Personal Care and Services")+($AP689="Government and Public Administration")+($AP689="Defence/ Protective Service")+($AP689="Sports"))&gt;0,"Arts / Humanities",""))))</f>
        <v/>
      </c>
      <c r="BC689" s="5" t="str">
        <f aca="false">IF($AL689="","",IF((($AL689="Engineering and Technology")+($AL689="Science and Mathematics")+($AL689="Computer Science, IT and Allied Fields")+($AL689="Life Sciences /Medicine and Healthcare")+($AL689="Paramedical")+($AL689="Architecture")+($AL689="Environmental Service")+($AL689="Agriculture, Food Industry and Forestry"))&gt;0,"Science",IF((($AL689="Banking and Finance")+($AL689="Management and Administration")+($AL689="Marketing")+($AL689="Sales")+($AL689="Entrepreneurship")+($AL689="Hospitality and Tourism"))&gt;0,"Commerce",IF((($AL689="Social Sciences and Humanities")+($AL689="Law Studies")+($AL689="Education and Training")+($AL689="Art, Design")+($AL689="Entertainment and Mass Media")+($AL689="Community and Social Service")+($AL689="Personal Care and Services")+($AL689="Government and Public Administration")+($AL689="Defence/ Protective Service")+($AL689="Sports"))&gt;0,"Arts / Humanities",""))))</f>
        <v/>
      </c>
      <c r="BD689" s="5" t="str">
        <f aca="false">IF($B689="","",--(F689&gt;=10)+--(G689&gt;=10)+--(H689&gt;=10)+--(I689&gt;=10)+--(J689&gt;=10)+--(K689&gt;=10)+--(L689&gt;=10)+--(M689&gt;=10)+--(N689&gt;=10)+--(O689&gt;=10))</f>
        <v/>
      </c>
      <c r="BE689" s="5" t="str">
        <f aca="false">IF($B689="","",--(AND(F689&lt;&gt;"",F689&lt;=8))+--(AND(G689&lt;&gt;"",G689&lt;=8))+--(AND(H689&lt;&gt;"",H689&lt;=8))+--(AND(I689&lt;&gt;"",I689&lt;=8))+--(AND(J689&lt;&gt;"",J689&lt;=8))+--(AND(K689&lt;&gt;"",K689&lt;=8))+--(AND(L689&lt;&gt;"",L689&lt;=8))+--(AND(M689&lt;&gt;"",M689&lt;=8))+--(AND(N689&lt;&gt;"",N689&lt;=8))+--(AND(O689&lt;&gt;"",O689&lt;=8)))</f>
        <v/>
      </c>
    </row>
    <row r="690" customFormat="false" ht="15" hidden="false" customHeight="false" outlineLevel="0" collapsed="false">
      <c r="AZ690" s="5" t="str">
        <f aca="false">IF($B690="","",SUMPRODUCT(($AL690:$AO690&lt;&gt;"")*(COUNTIF($AP690:$AX690,$AL690:$AO690)&gt;0)))</f>
        <v/>
      </c>
      <c r="BA690" s="5" t="str">
        <f aca="false">IF($B690="","",IF(AZ690&gt;0,1,0))</f>
        <v/>
      </c>
      <c r="BB690" s="5" t="str">
        <f aca="false">IF($AP690="","",IF((($AP690="Engineering and Technology")+($AP690="Science and Mathematics")+($AP690="Computer Science, IT and Allied Fields")+($AP690="Life Sciences /Medicine and Healthcare")+($AP690="Paramedical")+($AP690="Architecture")+($AP690="Environmental Service")+($AP690="Agriculture, Food Industry and Forestry"))&gt;0,"Science",IF((($AP690="Banking and Finance")+($AP690="Management and Administration")+($AP690="Marketing")+($AP690="Sales")+($AP690="Entrepreneurship")+($AP690="Hospitality and Tourism"))&gt;0,"Commerce",IF((($AP690="Social Sciences and Humanities")+($AP690="Law Studies")+($AP690="Education and Training")+($AP690="Art, Design")+($AP690="Entertainment and Mass Media")+($AP690="Community and Social Service")+($AP690="Personal Care and Services")+($AP690="Government and Public Administration")+($AP690="Defence/ Protective Service")+($AP690="Sports"))&gt;0,"Arts / Humanities",""))))</f>
        <v/>
      </c>
      <c r="BC690" s="5" t="str">
        <f aca="false">IF($AL690="","",IF((($AL690="Engineering and Technology")+($AL690="Science and Mathematics")+($AL690="Computer Science, IT and Allied Fields")+($AL690="Life Sciences /Medicine and Healthcare")+($AL690="Paramedical")+($AL690="Architecture")+($AL690="Environmental Service")+($AL690="Agriculture, Food Industry and Forestry"))&gt;0,"Science",IF((($AL690="Banking and Finance")+($AL690="Management and Administration")+($AL690="Marketing")+($AL690="Sales")+($AL690="Entrepreneurship")+($AL690="Hospitality and Tourism"))&gt;0,"Commerce",IF((($AL690="Social Sciences and Humanities")+($AL690="Law Studies")+($AL690="Education and Training")+($AL690="Art, Design")+($AL690="Entertainment and Mass Media")+($AL690="Community and Social Service")+($AL690="Personal Care and Services")+($AL690="Government and Public Administration")+($AL690="Defence/ Protective Service")+($AL690="Sports"))&gt;0,"Arts / Humanities",""))))</f>
        <v/>
      </c>
      <c r="BD690" s="5" t="str">
        <f aca="false">IF($B690="","",--(F690&gt;=10)+--(G690&gt;=10)+--(H690&gt;=10)+--(I690&gt;=10)+--(J690&gt;=10)+--(K690&gt;=10)+--(L690&gt;=10)+--(M690&gt;=10)+--(N690&gt;=10)+--(O690&gt;=10))</f>
        <v/>
      </c>
      <c r="BE690" s="5" t="str">
        <f aca="false">IF($B690="","",--(AND(F690&lt;&gt;"",F690&lt;=8))+--(AND(G690&lt;&gt;"",G690&lt;=8))+--(AND(H690&lt;&gt;"",H690&lt;=8))+--(AND(I690&lt;&gt;"",I690&lt;=8))+--(AND(J690&lt;&gt;"",J690&lt;=8))+--(AND(K690&lt;&gt;"",K690&lt;=8))+--(AND(L690&lt;&gt;"",L690&lt;=8))+--(AND(M690&lt;&gt;"",M690&lt;=8))+--(AND(N690&lt;&gt;"",N690&lt;=8))+--(AND(O690&lt;&gt;"",O690&lt;=8)))</f>
        <v/>
      </c>
    </row>
    <row r="691" customFormat="false" ht="15" hidden="false" customHeight="false" outlineLevel="0" collapsed="false">
      <c r="AZ691" s="5" t="str">
        <f aca="false">IF($B691="","",SUMPRODUCT(($AL691:$AO691&lt;&gt;"")*(COUNTIF($AP691:$AX691,$AL691:$AO691)&gt;0)))</f>
        <v/>
      </c>
      <c r="BA691" s="5" t="str">
        <f aca="false">IF($B691="","",IF(AZ691&gt;0,1,0))</f>
        <v/>
      </c>
      <c r="BB691" s="5" t="str">
        <f aca="false">IF($AP691="","",IF((($AP691="Engineering and Technology")+($AP691="Science and Mathematics")+($AP691="Computer Science, IT and Allied Fields")+($AP691="Life Sciences /Medicine and Healthcare")+($AP691="Paramedical")+($AP691="Architecture")+($AP691="Environmental Service")+($AP691="Agriculture, Food Industry and Forestry"))&gt;0,"Science",IF((($AP691="Banking and Finance")+($AP691="Management and Administration")+($AP691="Marketing")+($AP691="Sales")+($AP691="Entrepreneurship")+($AP691="Hospitality and Tourism"))&gt;0,"Commerce",IF((($AP691="Social Sciences and Humanities")+($AP691="Law Studies")+($AP691="Education and Training")+($AP691="Art, Design")+($AP691="Entertainment and Mass Media")+($AP691="Community and Social Service")+($AP691="Personal Care and Services")+($AP691="Government and Public Administration")+($AP691="Defence/ Protective Service")+($AP691="Sports"))&gt;0,"Arts / Humanities",""))))</f>
        <v/>
      </c>
      <c r="BC691" s="5" t="str">
        <f aca="false">IF($AL691="","",IF((($AL691="Engineering and Technology")+($AL691="Science and Mathematics")+($AL691="Computer Science, IT and Allied Fields")+($AL691="Life Sciences /Medicine and Healthcare")+($AL691="Paramedical")+($AL691="Architecture")+($AL691="Environmental Service")+($AL691="Agriculture, Food Industry and Forestry"))&gt;0,"Science",IF((($AL691="Banking and Finance")+($AL691="Management and Administration")+($AL691="Marketing")+($AL691="Sales")+($AL691="Entrepreneurship")+($AL691="Hospitality and Tourism"))&gt;0,"Commerce",IF((($AL691="Social Sciences and Humanities")+($AL691="Law Studies")+($AL691="Education and Training")+($AL691="Art, Design")+($AL691="Entertainment and Mass Media")+($AL691="Community and Social Service")+($AL691="Personal Care and Services")+($AL691="Government and Public Administration")+($AL691="Defence/ Protective Service")+($AL691="Sports"))&gt;0,"Arts / Humanities",""))))</f>
        <v/>
      </c>
      <c r="BD691" s="5" t="str">
        <f aca="false">IF($B691="","",--(F691&gt;=10)+--(G691&gt;=10)+--(H691&gt;=10)+--(I691&gt;=10)+--(J691&gt;=10)+--(K691&gt;=10)+--(L691&gt;=10)+--(M691&gt;=10)+--(N691&gt;=10)+--(O691&gt;=10))</f>
        <v/>
      </c>
      <c r="BE691" s="5" t="str">
        <f aca="false">IF($B691="","",--(AND(F691&lt;&gt;"",F691&lt;=8))+--(AND(G691&lt;&gt;"",G691&lt;=8))+--(AND(H691&lt;&gt;"",H691&lt;=8))+--(AND(I691&lt;&gt;"",I691&lt;=8))+--(AND(J691&lt;&gt;"",J691&lt;=8))+--(AND(K691&lt;&gt;"",K691&lt;=8))+--(AND(L691&lt;&gt;"",L691&lt;=8))+--(AND(M691&lt;&gt;"",M691&lt;=8))+--(AND(N691&lt;&gt;"",N691&lt;=8))+--(AND(O691&lt;&gt;"",O691&lt;=8)))</f>
        <v/>
      </c>
    </row>
    <row r="692" customFormat="false" ht="15" hidden="false" customHeight="false" outlineLevel="0" collapsed="false">
      <c r="AZ692" s="5" t="str">
        <f aca="false">IF($B692="","",SUMPRODUCT(($AL692:$AO692&lt;&gt;"")*(COUNTIF($AP692:$AX692,$AL692:$AO692)&gt;0)))</f>
        <v/>
      </c>
      <c r="BA692" s="5" t="str">
        <f aca="false">IF($B692="","",IF(AZ692&gt;0,1,0))</f>
        <v/>
      </c>
      <c r="BB692" s="5" t="str">
        <f aca="false">IF($AP692="","",IF((($AP692="Engineering and Technology")+($AP692="Science and Mathematics")+($AP692="Computer Science, IT and Allied Fields")+($AP692="Life Sciences /Medicine and Healthcare")+($AP692="Paramedical")+($AP692="Architecture")+($AP692="Environmental Service")+($AP692="Agriculture, Food Industry and Forestry"))&gt;0,"Science",IF((($AP692="Banking and Finance")+($AP692="Management and Administration")+($AP692="Marketing")+($AP692="Sales")+($AP692="Entrepreneurship")+($AP692="Hospitality and Tourism"))&gt;0,"Commerce",IF((($AP692="Social Sciences and Humanities")+($AP692="Law Studies")+($AP692="Education and Training")+($AP692="Art, Design")+($AP692="Entertainment and Mass Media")+($AP692="Community and Social Service")+($AP692="Personal Care and Services")+($AP692="Government and Public Administration")+($AP692="Defence/ Protective Service")+($AP692="Sports"))&gt;0,"Arts / Humanities",""))))</f>
        <v/>
      </c>
      <c r="BC692" s="5" t="str">
        <f aca="false">IF($AL692="","",IF((($AL692="Engineering and Technology")+($AL692="Science and Mathematics")+($AL692="Computer Science, IT and Allied Fields")+($AL692="Life Sciences /Medicine and Healthcare")+($AL692="Paramedical")+($AL692="Architecture")+($AL692="Environmental Service")+($AL692="Agriculture, Food Industry and Forestry"))&gt;0,"Science",IF((($AL692="Banking and Finance")+($AL692="Management and Administration")+($AL692="Marketing")+($AL692="Sales")+($AL692="Entrepreneurship")+($AL692="Hospitality and Tourism"))&gt;0,"Commerce",IF((($AL692="Social Sciences and Humanities")+($AL692="Law Studies")+($AL692="Education and Training")+($AL692="Art, Design")+($AL692="Entertainment and Mass Media")+($AL692="Community and Social Service")+($AL692="Personal Care and Services")+($AL692="Government and Public Administration")+($AL692="Defence/ Protective Service")+($AL692="Sports"))&gt;0,"Arts / Humanities",""))))</f>
        <v/>
      </c>
      <c r="BD692" s="5" t="str">
        <f aca="false">IF($B692="","",--(F692&gt;=10)+--(G692&gt;=10)+--(H692&gt;=10)+--(I692&gt;=10)+--(J692&gt;=10)+--(K692&gt;=10)+--(L692&gt;=10)+--(M692&gt;=10)+--(N692&gt;=10)+--(O692&gt;=10))</f>
        <v/>
      </c>
      <c r="BE692" s="5" t="str">
        <f aca="false">IF($B692="","",--(AND(F692&lt;&gt;"",F692&lt;=8))+--(AND(G692&lt;&gt;"",G692&lt;=8))+--(AND(H692&lt;&gt;"",H692&lt;=8))+--(AND(I692&lt;&gt;"",I692&lt;=8))+--(AND(J692&lt;&gt;"",J692&lt;=8))+--(AND(K692&lt;&gt;"",K692&lt;=8))+--(AND(L692&lt;&gt;"",L692&lt;=8))+--(AND(M692&lt;&gt;"",M692&lt;=8))+--(AND(N692&lt;&gt;"",N692&lt;=8))+--(AND(O692&lt;&gt;"",O692&lt;=8)))</f>
        <v/>
      </c>
    </row>
    <row r="693" customFormat="false" ht="15" hidden="false" customHeight="false" outlineLevel="0" collapsed="false">
      <c r="AZ693" s="5" t="str">
        <f aca="false">IF($B693="","",SUMPRODUCT(($AL693:$AO693&lt;&gt;"")*(COUNTIF($AP693:$AX693,$AL693:$AO693)&gt;0)))</f>
        <v/>
      </c>
      <c r="BA693" s="5" t="str">
        <f aca="false">IF($B693="","",IF(AZ693&gt;0,1,0))</f>
        <v/>
      </c>
      <c r="BB693" s="5" t="str">
        <f aca="false">IF($AP693="","",IF((($AP693="Engineering and Technology")+($AP693="Science and Mathematics")+($AP693="Computer Science, IT and Allied Fields")+($AP693="Life Sciences /Medicine and Healthcare")+($AP693="Paramedical")+($AP693="Architecture")+($AP693="Environmental Service")+($AP693="Agriculture, Food Industry and Forestry"))&gt;0,"Science",IF((($AP693="Banking and Finance")+($AP693="Management and Administration")+($AP693="Marketing")+($AP693="Sales")+($AP693="Entrepreneurship")+($AP693="Hospitality and Tourism"))&gt;0,"Commerce",IF((($AP693="Social Sciences and Humanities")+($AP693="Law Studies")+($AP693="Education and Training")+($AP693="Art, Design")+($AP693="Entertainment and Mass Media")+($AP693="Community and Social Service")+($AP693="Personal Care and Services")+($AP693="Government and Public Administration")+($AP693="Defence/ Protective Service")+($AP693="Sports"))&gt;0,"Arts / Humanities",""))))</f>
        <v/>
      </c>
      <c r="BC693" s="5" t="str">
        <f aca="false">IF($AL693="","",IF((($AL693="Engineering and Technology")+($AL693="Science and Mathematics")+($AL693="Computer Science, IT and Allied Fields")+($AL693="Life Sciences /Medicine and Healthcare")+($AL693="Paramedical")+($AL693="Architecture")+($AL693="Environmental Service")+($AL693="Agriculture, Food Industry and Forestry"))&gt;0,"Science",IF((($AL693="Banking and Finance")+($AL693="Management and Administration")+($AL693="Marketing")+($AL693="Sales")+($AL693="Entrepreneurship")+($AL693="Hospitality and Tourism"))&gt;0,"Commerce",IF((($AL693="Social Sciences and Humanities")+($AL693="Law Studies")+($AL693="Education and Training")+($AL693="Art, Design")+($AL693="Entertainment and Mass Media")+($AL693="Community and Social Service")+($AL693="Personal Care and Services")+($AL693="Government and Public Administration")+($AL693="Defence/ Protective Service")+($AL693="Sports"))&gt;0,"Arts / Humanities",""))))</f>
        <v/>
      </c>
      <c r="BD693" s="5" t="str">
        <f aca="false">IF($B693="","",--(F693&gt;=10)+--(G693&gt;=10)+--(H693&gt;=10)+--(I693&gt;=10)+--(J693&gt;=10)+--(K693&gt;=10)+--(L693&gt;=10)+--(M693&gt;=10)+--(N693&gt;=10)+--(O693&gt;=10))</f>
        <v/>
      </c>
      <c r="BE693" s="5" t="str">
        <f aca="false">IF($B693="","",--(AND(F693&lt;&gt;"",F693&lt;=8))+--(AND(G693&lt;&gt;"",G693&lt;=8))+--(AND(H693&lt;&gt;"",H693&lt;=8))+--(AND(I693&lt;&gt;"",I693&lt;=8))+--(AND(J693&lt;&gt;"",J693&lt;=8))+--(AND(K693&lt;&gt;"",K693&lt;=8))+--(AND(L693&lt;&gt;"",L693&lt;=8))+--(AND(M693&lt;&gt;"",M693&lt;=8))+--(AND(N693&lt;&gt;"",N693&lt;=8))+--(AND(O693&lt;&gt;"",O693&lt;=8)))</f>
        <v/>
      </c>
    </row>
    <row r="694" customFormat="false" ht="15" hidden="false" customHeight="false" outlineLevel="0" collapsed="false">
      <c r="AZ694" s="5" t="str">
        <f aca="false">IF($B694="","",SUMPRODUCT(($AL694:$AO694&lt;&gt;"")*(COUNTIF($AP694:$AX694,$AL694:$AO694)&gt;0)))</f>
        <v/>
      </c>
      <c r="BA694" s="5" t="str">
        <f aca="false">IF($B694="","",IF(AZ694&gt;0,1,0))</f>
        <v/>
      </c>
      <c r="BB694" s="5" t="str">
        <f aca="false">IF($AP694="","",IF((($AP694="Engineering and Technology")+($AP694="Science and Mathematics")+($AP694="Computer Science, IT and Allied Fields")+($AP694="Life Sciences /Medicine and Healthcare")+($AP694="Paramedical")+($AP694="Architecture")+($AP694="Environmental Service")+($AP694="Agriculture, Food Industry and Forestry"))&gt;0,"Science",IF((($AP694="Banking and Finance")+($AP694="Management and Administration")+($AP694="Marketing")+($AP694="Sales")+($AP694="Entrepreneurship")+($AP694="Hospitality and Tourism"))&gt;0,"Commerce",IF((($AP694="Social Sciences and Humanities")+($AP694="Law Studies")+($AP694="Education and Training")+($AP694="Art, Design")+($AP694="Entertainment and Mass Media")+($AP694="Community and Social Service")+($AP694="Personal Care and Services")+($AP694="Government and Public Administration")+($AP694="Defence/ Protective Service")+($AP694="Sports"))&gt;0,"Arts / Humanities",""))))</f>
        <v/>
      </c>
      <c r="BC694" s="5" t="str">
        <f aca="false">IF($AL694="","",IF((($AL694="Engineering and Technology")+($AL694="Science and Mathematics")+($AL694="Computer Science, IT and Allied Fields")+($AL694="Life Sciences /Medicine and Healthcare")+($AL694="Paramedical")+($AL694="Architecture")+($AL694="Environmental Service")+($AL694="Agriculture, Food Industry and Forestry"))&gt;0,"Science",IF((($AL694="Banking and Finance")+($AL694="Management and Administration")+($AL694="Marketing")+($AL694="Sales")+($AL694="Entrepreneurship")+($AL694="Hospitality and Tourism"))&gt;0,"Commerce",IF((($AL694="Social Sciences and Humanities")+($AL694="Law Studies")+($AL694="Education and Training")+($AL694="Art, Design")+($AL694="Entertainment and Mass Media")+($AL694="Community and Social Service")+($AL694="Personal Care and Services")+($AL694="Government and Public Administration")+($AL694="Defence/ Protective Service")+($AL694="Sports"))&gt;0,"Arts / Humanities",""))))</f>
        <v/>
      </c>
      <c r="BD694" s="5" t="str">
        <f aca="false">IF($B694="","",--(F694&gt;=10)+--(G694&gt;=10)+--(H694&gt;=10)+--(I694&gt;=10)+--(J694&gt;=10)+--(K694&gt;=10)+--(L694&gt;=10)+--(M694&gt;=10)+--(N694&gt;=10)+--(O694&gt;=10))</f>
        <v/>
      </c>
      <c r="BE694" s="5" t="str">
        <f aca="false">IF($B694="","",--(AND(F694&lt;&gt;"",F694&lt;=8))+--(AND(G694&lt;&gt;"",G694&lt;=8))+--(AND(H694&lt;&gt;"",H694&lt;=8))+--(AND(I694&lt;&gt;"",I694&lt;=8))+--(AND(J694&lt;&gt;"",J694&lt;=8))+--(AND(K694&lt;&gt;"",K694&lt;=8))+--(AND(L694&lt;&gt;"",L694&lt;=8))+--(AND(M694&lt;&gt;"",M694&lt;=8))+--(AND(N694&lt;&gt;"",N694&lt;=8))+--(AND(O694&lt;&gt;"",O694&lt;=8)))</f>
        <v/>
      </c>
    </row>
    <row r="695" customFormat="false" ht="15" hidden="false" customHeight="false" outlineLevel="0" collapsed="false">
      <c r="AZ695" s="5" t="str">
        <f aca="false">IF($B695="","",SUMPRODUCT(($AL695:$AO695&lt;&gt;"")*(COUNTIF($AP695:$AX695,$AL695:$AO695)&gt;0)))</f>
        <v/>
      </c>
      <c r="BA695" s="5" t="str">
        <f aca="false">IF($B695="","",IF(AZ695&gt;0,1,0))</f>
        <v/>
      </c>
      <c r="BB695" s="5" t="str">
        <f aca="false">IF($AP695="","",IF((($AP695="Engineering and Technology")+($AP695="Science and Mathematics")+($AP695="Computer Science, IT and Allied Fields")+($AP695="Life Sciences /Medicine and Healthcare")+($AP695="Paramedical")+($AP695="Architecture")+($AP695="Environmental Service")+($AP695="Agriculture, Food Industry and Forestry"))&gt;0,"Science",IF((($AP695="Banking and Finance")+($AP695="Management and Administration")+($AP695="Marketing")+($AP695="Sales")+($AP695="Entrepreneurship")+($AP695="Hospitality and Tourism"))&gt;0,"Commerce",IF((($AP695="Social Sciences and Humanities")+($AP695="Law Studies")+($AP695="Education and Training")+($AP695="Art, Design")+($AP695="Entertainment and Mass Media")+($AP695="Community and Social Service")+($AP695="Personal Care and Services")+($AP695="Government and Public Administration")+($AP695="Defence/ Protective Service")+($AP695="Sports"))&gt;0,"Arts / Humanities",""))))</f>
        <v/>
      </c>
      <c r="BC695" s="5" t="str">
        <f aca="false">IF($AL695="","",IF((($AL695="Engineering and Technology")+($AL695="Science and Mathematics")+($AL695="Computer Science, IT and Allied Fields")+($AL695="Life Sciences /Medicine and Healthcare")+($AL695="Paramedical")+($AL695="Architecture")+($AL695="Environmental Service")+($AL695="Agriculture, Food Industry and Forestry"))&gt;0,"Science",IF((($AL695="Banking and Finance")+($AL695="Management and Administration")+($AL695="Marketing")+($AL695="Sales")+($AL695="Entrepreneurship")+($AL695="Hospitality and Tourism"))&gt;0,"Commerce",IF((($AL695="Social Sciences and Humanities")+($AL695="Law Studies")+($AL695="Education and Training")+($AL695="Art, Design")+($AL695="Entertainment and Mass Media")+($AL695="Community and Social Service")+($AL695="Personal Care and Services")+($AL695="Government and Public Administration")+($AL695="Defence/ Protective Service")+($AL695="Sports"))&gt;0,"Arts / Humanities",""))))</f>
        <v/>
      </c>
      <c r="BD695" s="5" t="str">
        <f aca="false">IF($B695="","",--(F695&gt;=10)+--(G695&gt;=10)+--(H695&gt;=10)+--(I695&gt;=10)+--(J695&gt;=10)+--(K695&gt;=10)+--(L695&gt;=10)+--(M695&gt;=10)+--(N695&gt;=10)+--(O695&gt;=10))</f>
        <v/>
      </c>
      <c r="BE695" s="5" t="str">
        <f aca="false">IF($B695="","",--(AND(F695&lt;&gt;"",F695&lt;=8))+--(AND(G695&lt;&gt;"",G695&lt;=8))+--(AND(H695&lt;&gt;"",H695&lt;=8))+--(AND(I695&lt;&gt;"",I695&lt;=8))+--(AND(J695&lt;&gt;"",J695&lt;=8))+--(AND(K695&lt;&gt;"",K695&lt;=8))+--(AND(L695&lt;&gt;"",L695&lt;=8))+--(AND(M695&lt;&gt;"",M695&lt;=8))+--(AND(N695&lt;&gt;"",N695&lt;=8))+--(AND(O695&lt;&gt;"",O695&lt;=8)))</f>
        <v/>
      </c>
    </row>
    <row r="696" customFormat="false" ht="15" hidden="false" customHeight="false" outlineLevel="0" collapsed="false">
      <c r="AZ696" s="5" t="str">
        <f aca="false">IF($B696="","",SUMPRODUCT(($AL696:$AO696&lt;&gt;"")*(COUNTIF($AP696:$AX696,$AL696:$AO696)&gt;0)))</f>
        <v/>
      </c>
      <c r="BA696" s="5" t="str">
        <f aca="false">IF($B696="","",IF(AZ696&gt;0,1,0))</f>
        <v/>
      </c>
      <c r="BB696" s="5" t="str">
        <f aca="false">IF($AP696="","",IF((($AP696="Engineering and Technology")+($AP696="Science and Mathematics")+($AP696="Computer Science, IT and Allied Fields")+($AP696="Life Sciences /Medicine and Healthcare")+($AP696="Paramedical")+($AP696="Architecture")+($AP696="Environmental Service")+($AP696="Agriculture, Food Industry and Forestry"))&gt;0,"Science",IF((($AP696="Banking and Finance")+($AP696="Management and Administration")+($AP696="Marketing")+($AP696="Sales")+($AP696="Entrepreneurship")+($AP696="Hospitality and Tourism"))&gt;0,"Commerce",IF((($AP696="Social Sciences and Humanities")+($AP696="Law Studies")+($AP696="Education and Training")+($AP696="Art, Design")+($AP696="Entertainment and Mass Media")+($AP696="Community and Social Service")+($AP696="Personal Care and Services")+($AP696="Government and Public Administration")+($AP696="Defence/ Protective Service")+($AP696="Sports"))&gt;0,"Arts / Humanities",""))))</f>
        <v/>
      </c>
      <c r="BC696" s="5" t="str">
        <f aca="false">IF($AL696="","",IF((($AL696="Engineering and Technology")+($AL696="Science and Mathematics")+($AL696="Computer Science, IT and Allied Fields")+($AL696="Life Sciences /Medicine and Healthcare")+($AL696="Paramedical")+($AL696="Architecture")+($AL696="Environmental Service")+($AL696="Agriculture, Food Industry and Forestry"))&gt;0,"Science",IF((($AL696="Banking and Finance")+($AL696="Management and Administration")+($AL696="Marketing")+($AL696="Sales")+($AL696="Entrepreneurship")+($AL696="Hospitality and Tourism"))&gt;0,"Commerce",IF((($AL696="Social Sciences and Humanities")+($AL696="Law Studies")+($AL696="Education and Training")+($AL696="Art, Design")+($AL696="Entertainment and Mass Media")+($AL696="Community and Social Service")+($AL696="Personal Care and Services")+($AL696="Government and Public Administration")+($AL696="Defence/ Protective Service")+($AL696="Sports"))&gt;0,"Arts / Humanities",""))))</f>
        <v/>
      </c>
      <c r="BD696" s="5" t="str">
        <f aca="false">IF($B696="","",--(F696&gt;=10)+--(G696&gt;=10)+--(H696&gt;=10)+--(I696&gt;=10)+--(J696&gt;=10)+--(K696&gt;=10)+--(L696&gt;=10)+--(M696&gt;=10)+--(N696&gt;=10)+--(O696&gt;=10))</f>
        <v/>
      </c>
      <c r="BE696" s="5" t="str">
        <f aca="false">IF($B696="","",--(AND(F696&lt;&gt;"",F696&lt;=8))+--(AND(G696&lt;&gt;"",G696&lt;=8))+--(AND(H696&lt;&gt;"",H696&lt;=8))+--(AND(I696&lt;&gt;"",I696&lt;=8))+--(AND(J696&lt;&gt;"",J696&lt;=8))+--(AND(K696&lt;&gt;"",K696&lt;=8))+--(AND(L696&lt;&gt;"",L696&lt;=8))+--(AND(M696&lt;&gt;"",M696&lt;=8))+--(AND(N696&lt;&gt;"",N696&lt;=8))+--(AND(O696&lt;&gt;"",O696&lt;=8)))</f>
        <v/>
      </c>
    </row>
    <row r="697" customFormat="false" ht="15" hidden="false" customHeight="false" outlineLevel="0" collapsed="false">
      <c r="AZ697" s="5" t="str">
        <f aca="false">IF($B697="","",SUMPRODUCT(($AL697:$AO697&lt;&gt;"")*(COUNTIF($AP697:$AX697,$AL697:$AO697)&gt;0)))</f>
        <v/>
      </c>
      <c r="BA697" s="5" t="str">
        <f aca="false">IF($B697="","",IF(AZ697&gt;0,1,0))</f>
        <v/>
      </c>
      <c r="BB697" s="5" t="str">
        <f aca="false">IF($AP697="","",IF((($AP697="Engineering and Technology")+($AP697="Science and Mathematics")+($AP697="Computer Science, IT and Allied Fields")+($AP697="Life Sciences /Medicine and Healthcare")+($AP697="Paramedical")+($AP697="Architecture")+($AP697="Environmental Service")+($AP697="Agriculture, Food Industry and Forestry"))&gt;0,"Science",IF((($AP697="Banking and Finance")+($AP697="Management and Administration")+($AP697="Marketing")+($AP697="Sales")+($AP697="Entrepreneurship")+($AP697="Hospitality and Tourism"))&gt;0,"Commerce",IF((($AP697="Social Sciences and Humanities")+($AP697="Law Studies")+($AP697="Education and Training")+($AP697="Art, Design")+($AP697="Entertainment and Mass Media")+($AP697="Community and Social Service")+($AP697="Personal Care and Services")+($AP697="Government and Public Administration")+($AP697="Defence/ Protective Service")+($AP697="Sports"))&gt;0,"Arts / Humanities",""))))</f>
        <v/>
      </c>
      <c r="BC697" s="5" t="str">
        <f aca="false">IF($AL697="","",IF((($AL697="Engineering and Technology")+($AL697="Science and Mathematics")+($AL697="Computer Science, IT and Allied Fields")+($AL697="Life Sciences /Medicine and Healthcare")+($AL697="Paramedical")+($AL697="Architecture")+($AL697="Environmental Service")+($AL697="Agriculture, Food Industry and Forestry"))&gt;0,"Science",IF((($AL697="Banking and Finance")+($AL697="Management and Administration")+($AL697="Marketing")+($AL697="Sales")+($AL697="Entrepreneurship")+($AL697="Hospitality and Tourism"))&gt;0,"Commerce",IF((($AL697="Social Sciences and Humanities")+($AL697="Law Studies")+($AL697="Education and Training")+($AL697="Art, Design")+($AL697="Entertainment and Mass Media")+($AL697="Community and Social Service")+($AL697="Personal Care and Services")+($AL697="Government and Public Administration")+($AL697="Defence/ Protective Service")+($AL697="Sports"))&gt;0,"Arts / Humanities",""))))</f>
        <v/>
      </c>
      <c r="BD697" s="5" t="str">
        <f aca="false">IF($B697="","",--(F697&gt;=10)+--(G697&gt;=10)+--(H697&gt;=10)+--(I697&gt;=10)+--(J697&gt;=10)+--(K697&gt;=10)+--(L697&gt;=10)+--(M697&gt;=10)+--(N697&gt;=10)+--(O697&gt;=10))</f>
        <v/>
      </c>
      <c r="BE697" s="5" t="str">
        <f aca="false">IF($B697="","",--(AND(F697&lt;&gt;"",F697&lt;=8))+--(AND(G697&lt;&gt;"",G697&lt;=8))+--(AND(H697&lt;&gt;"",H697&lt;=8))+--(AND(I697&lt;&gt;"",I697&lt;=8))+--(AND(J697&lt;&gt;"",J697&lt;=8))+--(AND(K697&lt;&gt;"",K697&lt;=8))+--(AND(L697&lt;&gt;"",L697&lt;=8))+--(AND(M697&lt;&gt;"",M697&lt;=8))+--(AND(N697&lt;&gt;"",N697&lt;=8))+--(AND(O697&lt;&gt;"",O697&lt;=8)))</f>
        <v/>
      </c>
    </row>
    <row r="698" customFormat="false" ht="15" hidden="false" customHeight="false" outlineLevel="0" collapsed="false">
      <c r="AZ698" s="5" t="str">
        <f aca="false">IF($B698="","",SUMPRODUCT(($AL698:$AO698&lt;&gt;"")*(COUNTIF($AP698:$AX698,$AL698:$AO698)&gt;0)))</f>
        <v/>
      </c>
      <c r="BA698" s="5" t="str">
        <f aca="false">IF($B698="","",IF(AZ698&gt;0,1,0))</f>
        <v/>
      </c>
      <c r="BB698" s="5" t="str">
        <f aca="false">IF($AP698="","",IF((($AP698="Engineering and Technology")+($AP698="Science and Mathematics")+($AP698="Computer Science, IT and Allied Fields")+($AP698="Life Sciences /Medicine and Healthcare")+($AP698="Paramedical")+($AP698="Architecture")+($AP698="Environmental Service")+($AP698="Agriculture, Food Industry and Forestry"))&gt;0,"Science",IF((($AP698="Banking and Finance")+($AP698="Management and Administration")+($AP698="Marketing")+($AP698="Sales")+($AP698="Entrepreneurship")+($AP698="Hospitality and Tourism"))&gt;0,"Commerce",IF((($AP698="Social Sciences and Humanities")+($AP698="Law Studies")+($AP698="Education and Training")+($AP698="Art, Design")+($AP698="Entertainment and Mass Media")+($AP698="Community and Social Service")+($AP698="Personal Care and Services")+($AP698="Government and Public Administration")+($AP698="Defence/ Protective Service")+($AP698="Sports"))&gt;0,"Arts / Humanities",""))))</f>
        <v/>
      </c>
      <c r="BC698" s="5" t="str">
        <f aca="false">IF($AL698="","",IF((($AL698="Engineering and Technology")+($AL698="Science and Mathematics")+($AL698="Computer Science, IT and Allied Fields")+($AL698="Life Sciences /Medicine and Healthcare")+($AL698="Paramedical")+($AL698="Architecture")+($AL698="Environmental Service")+($AL698="Agriculture, Food Industry and Forestry"))&gt;0,"Science",IF((($AL698="Banking and Finance")+($AL698="Management and Administration")+($AL698="Marketing")+($AL698="Sales")+($AL698="Entrepreneurship")+($AL698="Hospitality and Tourism"))&gt;0,"Commerce",IF((($AL698="Social Sciences and Humanities")+($AL698="Law Studies")+($AL698="Education and Training")+($AL698="Art, Design")+($AL698="Entertainment and Mass Media")+($AL698="Community and Social Service")+($AL698="Personal Care and Services")+($AL698="Government and Public Administration")+($AL698="Defence/ Protective Service")+($AL698="Sports"))&gt;0,"Arts / Humanities",""))))</f>
        <v/>
      </c>
      <c r="BD698" s="5" t="str">
        <f aca="false">IF($B698="","",--(F698&gt;=10)+--(G698&gt;=10)+--(H698&gt;=10)+--(I698&gt;=10)+--(J698&gt;=10)+--(K698&gt;=10)+--(L698&gt;=10)+--(M698&gt;=10)+--(N698&gt;=10)+--(O698&gt;=10))</f>
        <v/>
      </c>
      <c r="BE698" s="5" t="str">
        <f aca="false">IF($B698="","",--(AND(F698&lt;&gt;"",F698&lt;=8))+--(AND(G698&lt;&gt;"",G698&lt;=8))+--(AND(H698&lt;&gt;"",H698&lt;=8))+--(AND(I698&lt;&gt;"",I698&lt;=8))+--(AND(J698&lt;&gt;"",J698&lt;=8))+--(AND(K698&lt;&gt;"",K698&lt;=8))+--(AND(L698&lt;&gt;"",L698&lt;=8))+--(AND(M698&lt;&gt;"",M698&lt;=8))+--(AND(N698&lt;&gt;"",N698&lt;=8))+--(AND(O698&lt;&gt;"",O698&lt;=8)))</f>
        <v/>
      </c>
    </row>
    <row r="699" customFormat="false" ht="15" hidden="false" customHeight="false" outlineLevel="0" collapsed="false">
      <c r="AZ699" s="5" t="str">
        <f aca="false">IF($B699="","",SUMPRODUCT(($AL699:$AO699&lt;&gt;"")*(COUNTIF($AP699:$AX699,$AL699:$AO699)&gt;0)))</f>
        <v/>
      </c>
      <c r="BA699" s="5" t="str">
        <f aca="false">IF($B699="","",IF(AZ699&gt;0,1,0))</f>
        <v/>
      </c>
      <c r="BB699" s="5" t="str">
        <f aca="false">IF($AP699="","",IF((($AP699="Engineering and Technology")+($AP699="Science and Mathematics")+($AP699="Computer Science, IT and Allied Fields")+($AP699="Life Sciences /Medicine and Healthcare")+($AP699="Paramedical")+($AP699="Architecture")+($AP699="Environmental Service")+($AP699="Agriculture, Food Industry and Forestry"))&gt;0,"Science",IF((($AP699="Banking and Finance")+($AP699="Management and Administration")+($AP699="Marketing")+($AP699="Sales")+($AP699="Entrepreneurship")+($AP699="Hospitality and Tourism"))&gt;0,"Commerce",IF((($AP699="Social Sciences and Humanities")+($AP699="Law Studies")+($AP699="Education and Training")+($AP699="Art, Design")+($AP699="Entertainment and Mass Media")+($AP699="Community and Social Service")+($AP699="Personal Care and Services")+($AP699="Government and Public Administration")+($AP699="Defence/ Protective Service")+($AP699="Sports"))&gt;0,"Arts / Humanities",""))))</f>
        <v/>
      </c>
      <c r="BC699" s="5" t="str">
        <f aca="false">IF($AL699="","",IF((($AL699="Engineering and Technology")+($AL699="Science and Mathematics")+($AL699="Computer Science, IT and Allied Fields")+($AL699="Life Sciences /Medicine and Healthcare")+($AL699="Paramedical")+($AL699="Architecture")+($AL699="Environmental Service")+($AL699="Agriculture, Food Industry and Forestry"))&gt;0,"Science",IF((($AL699="Banking and Finance")+($AL699="Management and Administration")+($AL699="Marketing")+($AL699="Sales")+($AL699="Entrepreneurship")+($AL699="Hospitality and Tourism"))&gt;0,"Commerce",IF((($AL699="Social Sciences and Humanities")+($AL699="Law Studies")+($AL699="Education and Training")+($AL699="Art, Design")+($AL699="Entertainment and Mass Media")+($AL699="Community and Social Service")+($AL699="Personal Care and Services")+($AL699="Government and Public Administration")+($AL699="Defence/ Protective Service")+($AL699="Sports"))&gt;0,"Arts / Humanities",""))))</f>
        <v/>
      </c>
      <c r="BD699" s="5" t="str">
        <f aca="false">IF($B699="","",--(F699&gt;=10)+--(G699&gt;=10)+--(H699&gt;=10)+--(I699&gt;=10)+--(J699&gt;=10)+--(K699&gt;=10)+--(L699&gt;=10)+--(M699&gt;=10)+--(N699&gt;=10)+--(O699&gt;=10))</f>
        <v/>
      </c>
      <c r="BE699" s="5" t="str">
        <f aca="false">IF($B699="","",--(AND(F699&lt;&gt;"",F699&lt;=8))+--(AND(G699&lt;&gt;"",G699&lt;=8))+--(AND(H699&lt;&gt;"",H699&lt;=8))+--(AND(I699&lt;&gt;"",I699&lt;=8))+--(AND(J699&lt;&gt;"",J699&lt;=8))+--(AND(K699&lt;&gt;"",K699&lt;=8))+--(AND(L699&lt;&gt;"",L699&lt;=8))+--(AND(M699&lt;&gt;"",M699&lt;=8))+--(AND(N699&lt;&gt;"",N699&lt;=8))+--(AND(O699&lt;&gt;"",O699&lt;=8)))</f>
        <v/>
      </c>
    </row>
    <row r="700" customFormat="false" ht="15" hidden="false" customHeight="false" outlineLevel="0" collapsed="false">
      <c r="AZ700" s="5" t="str">
        <f aca="false">IF($B700="","",SUMPRODUCT(($AL700:$AO700&lt;&gt;"")*(COUNTIF($AP700:$AX700,$AL700:$AO700)&gt;0)))</f>
        <v/>
      </c>
      <c r="BA700" s="5" t="str">
        <f aca="false">IF($B700="","",IF(AZ700&gt;0,1,0))</f>
        <v/>
      </c>
      <c r="BB700" s="5" t="str">
        <f aca="false">IF($AP700="","",IF((($AP700="Engineering and Technology")+($AP700="Science and Mathematics")+($AP700="Computer Science, IT and Allied Fields")+($AP700="Life Sciences /Medicine and Healthcare")+($AP700="Paramedical")+($AP700="Architecture")+($AP700="Environmental Service")+($AP700="Agriculture, Food Industry and Forestry"))&gt;0,"Science",IF((($AP700="Banking and Finance")+($AP700="Management and Administration")+($AP700="Marketing")+($AP700="Sales")+($AP700="Entrepreneurship")+($AP700="Hospitality and Tourism"))&gt;0,"Commerce",IF((($AP700="Social Sciences and Humanities")+($AP700="Law Studies")+($AP700="Education and Training")+($AP700="Art, Design")+($AP700="Entertainment and Mass Media")+($AP700="Community and Social Service")+($AP700="Personal Care and Services")+($AP700="Government and Public Administration")+($AP700="Defence/ Protective Service")+($AP700="Sports"))&gt;0,"Arts / Humanities",""))))</f>
        <v/>
      </c>
      <c r="BC700" s="5" t="str">
        <f aca="false">IF($AL700="","",IF((($AL700="Engineering and Technology")+($AL700="Science and Mathematics")+($AL700="Computer Science, IT and Allied Fields")+($AL700="Life Sciences /Medicine and Healthcare")+($AL700="Paramedical")+($AL700="Architecture")+($AL700="Environmental Service")+($AL700="Agriculture, Food Industry and Forestry"))&gt;0,"Science",IF((($AL700="Banking and Finance")+($AL700="Management and Administration")+($AL700="Marketing")+($AL700="Sales")+($AL700="Entrepreneurship")+($AL700="Hospitality and Tourism"))&gt;0,"Commerce",IF((($AL700="Social Sciences and Humanities")+($AL700="Law Studies")+($AL700="Education and Training")+($AL700="Art, Design")+($AL700="Entertainment and Mass Media")+($AL700="Community and Social Service")+($AL700="Personal Care and Services")+($AL700="Government and Public Administration")+($AL700="Defence/ Protective Service")+($AL700="Sports"))&gt;0,"Arts / Humanities",""))))</f>
        <v/>
      </c>
      <c r="BD700" s="5" t="str">
        <f aca="false">IF($B700="","",--(F700&gt;=10)+--(G700&gt;=10)+--(H700&gt;=10)+--(I700&gt;=10)+--(J700&gt;=10)+--(K700&gt;=10)+--(L700&gt;=10)+--(M700&gt;=10)+--(N700&gt;=10)+--(O700&gt;=10))</f>
        <v/>
      </c>
      <c r="BE700" s="5" t="str">
        <f aca="false">IF($B700="","",--(AND(F700&lt;&gt;"",F700&lt;=8))+--(AND(G700&lt;&gt;"",G700&lt;=8))+--(AND(H700&lt;&gt;"",H700&lt;=8))+--(AND(I700&lt;&gt;"",I700&lt;=8))+--(AND(J700&lt;&gt;"",J700&lt;=8))+--(AND(K700&lt;&gt;"",K700&lt;=8))+--(AND(L700&lt;&gt;"",L700&lt;=8))+--(AND(M700&lt;&gt;"",M700&lt;=8))+--(AND(N700&lt;&gt;"",N700&lt;=8))+--(AND(O700&lt;&gt;"",O700&lt;=8)))</f>
        <v/>
      </c>
    </row>
    <row r="701" customFormat="false" ht="15" hidden="false" customHeight="false" outlineLevel="0" collapsed="false">
      <c r="AZ701" s="5" t="str">
        <f aca="false">IF($B701="","",SUMPRODUCT(($AL701:$AO701&lt;&gt;"")*(COUNTIF($AP701:$AX701,$AL701:$AO701)&gt;0)))</f>
        <v/>
      </c>
      <c r="BA701" s="5" t="str">
        <f aca="false">IF($B701="","",IF(AZ701&gt;0,1,0))</f>
        <v/>
      </c>
      <c r="BB701" s="5" t="str">
        <f aca="false">IF($AP701="","",IF((($AP701="Engineering and Technology")+($AP701="Science and Mathematics")+($AP701="Computer Science, IT and Allied Fields")+($AP701="Life Sciences /Medicine and Healthcare")+($AP701="Paramedical")+($AP701="Architecture")+($AP701="Environmental Service")+($AP701="Agriculture, Food Industry and Forestry"))&gt;0,"Science",IF((($AP701="Banking and Finance")+($AP701="Management and Administration")+($AP701="Marketing")+($AP701="Sales")+($AP701="Entrepreneurship")+($AP701="Hospitality and Tourism"))&gt;0,"Commerce",IF((($AP701="Social Sciences and Humanities")+($AP701="Law Studies")+($AP701="Education and Training")+($AP701="Art, Design")+($AP701="Entertainment and Mass Media")+($AP701="Community and Social Service")+($AP701="Personal Care and Services")+($AP701="Government and Public Administration")+($AP701="Defence/ Protective Service")+($AP701="Sports"))&gt;0,"Arts / Humanities",""))))</f>
        <v/>
      </c>
      <c r="BC701" s="5" t="str">
        <f aca="false">IF($AL701="","",IF((($AL701="Engineering and Technology")+($AL701="Science and Mathematics")+($AL701="Computer Science, IT and Allied Fields")+($AL701="Life Sciences /Medicine and Healthcare")+($AL701="Paramedical")+($AL701="Architecture")+($AL701="Environmental Service")+($AL701="Agriculture, Food Industry and Forestry"))&gt;0,"Science",IF((($AL701="Banking and Finance")+($AL701="Management and Administration")+($AL701="Marketing")+($AL701="Sales")+($AL701="Entrepreneurship")+($AL701="Hospitality and Tourism"))&gt;0,"Commerce",IF((($AL701="Social Sciences and Humanities")+($AL701="Law Studies")+($AL701="Education and Training")+($AL701="Art, Design")+($AL701="Entertainment and Mass Media")+($AL701="Community and Social Service")+($AL701="Personal Care and Services")+($AL701="Government and Public Administration")+($AL701="Defence/ Protective Service")+($AL701="Sports"))&gt;0,"Arts / Humanities",""))))</f>
        <v/>
      </c>
      <c r="BD701" s="5" t="str">
        <f aca="false">IF($B701="","",--(F701&gt;=10)+--(G701&gt;=10)+--(H701&gt;=10)+--(I701&gt;=10)+--(J701&gt;=10)+--(K701&gt;=10)+--(L701&gt;=10)+--(M701&gt;=10)+--(N701&gt;=10)+--(O701&gt;=10))</f>
        <v/>
      </c>
      <c r="BE701" s="5" t="str">
        <f aca="false">IF($B701="","",--(AND(F701&lt;&gt;"",F701&lt;=8))+--(AND(G701&lt;&gt;"",G701&lt;=8))+--(AND(H701&lt;&gt;"",H701&lt;=8))+--(AND(I701&lt;&gt;"",I701&lt;=8))+--(AND(J701&lt;&gt;"",J701&lt;=8))+--(AND(K701&lt;&gt;"",K701&lt;=8))+--(AND(L701&lt;&gt;"",L701&lt;=8))+--(AND(M701&lt;&gt;"",M701&lt;=8))+--(AND(N701&lt;&gt;"",N701&lt;=8))+--(AND(O701&lt;&gt;"",O701&lt;=8)))</f>
        <v/>
      </c>
    </row>
    <row r="702" customFormat="false" ht="15" hidden="false" customHeight="false" outlineLevel="0" collapsed="false">
      <c r="AZ702" s="5" t="str">
        <f aca="false">IF($B702="","",SUMPRODUCT(($AL702:$AO702&lt;&gt;"")*(COUNTIF($AP702:$AX702,$AL702:$AO702)&gt;0)))</f>
        <v/>
      </c>
      <c r="BA702" s="5" t="str">
        <f aca="false">IF($B702="","",IF(AZ702&gt;0,1,0))</f>
        <v/>
      </c>
      <c r="BB702" s="5" t="str">
        <f aca="false">IF($AP702="","",IF((($AP702="Engineering and Technology")+($AP702="Science and Mathematics")+($AP702="Computer Science, IT and Allied Fields")+($AP702="Life Sciences /Medicine and Healthcare")+($AP702="Paramedical")+($AP702="Architecture")+($AP702="Environmental Service")+($AP702="Agriculture, Food Industry and Forestry"))&gt;0,"Science",IF((($AP702="Banking and Finance")+($AP702="Management and Administration")+($AP702="Marketing")+($AP702="Sales")+($AP702="Entrepreneurship")+($AP702="Hospitality and Tourism"))&gt;0,"Commerce",IF((($AP702="Social Sciences and Humanities")+($AP702="Law Studies")+($AP702="Education and Training")+($AP702="Art, Design")+($AP702="Entertainment and Mass Media")+($AP702="Community and Social Service")+($AP702="Personal Care and Services")+($AP702="Government and Public Administration")+($AP702="Defence/ Protective Service")+($AP702="Sports"))&gt;0,"Arts / Humanities",""))))</f>
        <v/>
      </c>
      <c r="BC702" s="5" t="str">
        <f aca="false">IF($AL702="","",IF((($AL702="Engineering and Technology")+($AL702="Science and Mathematics")+($AL702="Computer Science, IT and Allied Fields")+($AL702="Life Sciences /Medicine and Healthcare")+($AL702="Paramedical")+($AL702="Architecture")+($AL702="Environmental Service")+($AL702="Agriculture, Food Industry and Forestry"))&gt;0,"Science",IF((($AL702="Banking and Finance")+($AL702="Management and Administration")+($AL702="Marketing")+($AL702="Sales")+($AL702="Entrepreneurship")+($AL702="Hospitality and Tourism"))&gt;0,"Commerce",IF((($AL702="Social Sciences and Humanities")+($AL702="Law Studies")+($AL702="Education and Training")+($AL702="Art, Design")+($AL702="Entertainment and Mass Media")+($AL702="Community and Social Service")+($AL702="Personal Care and Services")+($AL702="Government and Public Administration")+($AL702="Defence/ Protective Service")+($AL702="Sports"))&gt;0,"Arts / Humanities",""))))</f>
        <v/>
      </c>
      <c r="BD702" s="5" t="str">
        <f aca="false">IF($B702="","",--(F702&gt;=10)+--(G702&gt;=10)+--(H702&gt;=10)+--(I702&gt;=10)+--(J702&gt;=10)+--(K702&gt;=10)+--(L702&gt;=10)+--(M702&gt;=10)+--(N702&gt;=10)+--(O702&gt;=10))</f>
        <v/>
      </c>
      <c r="BE702" s="5" t="str">
        <f aca="false">IF($B702="","",--(AND(F702&lt;&gt;"",F702&lt;=8))+--(AND(G702&lt;&gt;"",G702&lt;=8))+--(AND(H702&lt;&gt;"",H702&lt;=8))+--(AND(I702&lt;&gt;"",I702&lt;=8))+--(AND(J702&lt;&gt;"",J702&lt;=8))+--(AND(K702&lt;&gt;"",K702&lt;=8))+--(AND(L702&lt;&gt;"",L702&lt;=8))+--(AND(M702&lt;&gt;"",M702&lt;=8))+--(AND(N702&lt;&gt;"",N702&lt;=8))+--(AND(O702&lt;&gt;"",O702&lt;=8)))</f>
        <v/>
      </c>
    </row>
    <row r="703" customFormat="false" ht="15" hidden="false" customHeight="false" outlineLevel="0" collapsed="false">
      <c r="AZ703" s="5" t="str">
        <f aca="false">IF($B703="","",SUMPRODUCT(($AL703:$AO703&lt;&gt;"")*(COUNTIF($AP703:$AX703,$AL703:$AO703)&gt;0)))</f>
        <v/>
      </c>
      <c r="BA703" s="5" t="str">
        <f aca="false">IF($B703="","",IF(AZ703&gt;0,1,0))</f>
        <v/>
      </c>
      <c r="BB703" s="5" t="str">
        <f aca="false">IF($AP703="","",IF((($AP703="Engineering and Technology")+($AP703="Science and Mathematics")+($AP703="Computer Science, IT and Allied Fields")+($AP703="Life Sciences /Medicine and Healthcare")+($AP703="Paramedical")+($AP703="Architecture")+($AP703="Environmental Service")+($AP703="Agriculture, Food Industry and Forestry"))&gt;0,"Science",IF((($AP703="Banking and Finance")+($AP703="Management and Administration")+($AP703="Marketing")+($AP703="Sales")+($AP703="Entrepreneurship")+($AP703="Hospitality and Tourism"))&gt;0,"Commerce",IF((($AP703="Social Sciences and Humanities")+($AP703="Law Studies")+($AP703="Education and Training")+($AP703="Art, Design")+($AP703="Entertainment and Mass Media")+($AP703="Community and Social Service")+($AP703="Personal Care and Services")+($AP703="Government and Public Administration")+($AP703="Defence/ Protective Service")+($AP703="Sports"))&gt;0,"Arts / Humanities",""))))</f>
        <v/>
      </c>
      <c r="BC703" s="5" t="str">
        <f aca="false">IF($AL703="","",IF((($AL703="Engineering and Technology")+($AL703="Science and Mathematics")+($AL703="Computer Science, IT and Allied Fields")+($AL703="Life Sciences /Medicine and Healthcare")+($AL703="Paramedical")+($AL703="Architecture")+($AL703="Environmental Service")+($AL703="Agriculture, Food Industry and Forestry"))&gt;0,"Science",IF((($AL703="Banking and Finance")+($AL703="Management and Administration")+($AL703="Marketing")+($AL703="Sales")+($AL703="Entrepreneurship")+($AL703="Hospitality and Tourism"))&gt;0,"Commerce",IF((($AL703="Social Sciences and Humanities")+($AL703="Law Studies")+($AL703="Education and Training")+($AL703="Art, Design")+($AL703="Entertainment and Mass Media")+($AL703="Community and Social Service")+($AL703="Personal Care and Services")+($AL703="Government and Public Administration")+($AL703="Defence/ Protective Service")+($AL703="Sports"))&gt;0,"Arts / Humanities",""))))</f>
        <v/>
      </c>
      <c r="BD703" s="5" t="str">
        <f aca="false">IF($B703="","",--(F703&gt;=10)+--(G703&gt;=10)+--(H703&gt;=10)+--(I703&gt;=10)+--(J703&gt;=10)+--(K703&gt;=10)+--(L703&gt;=10)+--(M703&gt;=10)+--(N703&gt;=10)+--(O703&gt;=10))</f>
        <v/>
      </c>
      <c r="BE703" s="5" t="str">
        <f aca="false">IF($B703="","",--(AND(F703&lt;&gt;"",F703&lt;=8))+--(AND(G703&lt;&gt;"",G703&lt;=8))+--(AND(H703&lt;&gt;"",H703&lt;=8))+--(AND(I703&lt;&gt;"",I703&lt;=8))+--(AND(J703&lt;&gt;"",J703&lt;=8))+--(AND(K703&lt;&gt;"",K703&lt;=8))+--(AND(L703&lt;&gt;"",L703&lt;=8))+--(AND(M703&lt;&gt;"",M703&lt;=8))+--(AND(N703&lt;&gt;"",N703&lt;=8))+--(AND(O703&lt;&gt;"",O703&lt;=8)))</f>
        <v/>
      </c>
    </row>
    <row r="704" customFormat="false" ht="15" hidden="false" customHeight="false" outlineLevel="0" collapsed="false">
      <c r="AZ704" s="5" t="str">
        <f aca="false">IF($B704="","",SUMPRODUCT(($AL704:$AO704&lt;&gt;"")*(COUNTIF($AP704:$AX704,$AL704:$AO704)&gt;0)))</f>
        <v/>
      </c>
      <c r="BA704" s="5" t="str">
        <f aca="false">IF($B704="","",IF(AZ704&gt;0,1,0))</f>
        <v/>
      </c>
      <c r="BB704" s="5" t="str">
        <f aca="false">IF($AP704="","",IF((($AP704="Engineering and Technology")+($AP704="Science and Mathematics")+($AP704="Computer Science, IT and Allied Fields")+($AP704="Life Sciences /Medicine and Healthcare")+($AP704="Paramedical")+($AP704="Architecture")+($AP704="Environmental Service")+($AP704="Agriculture, Food Industry and Forestry"))&gt;0,"Science",IF((($AP704="Banking and Finance")+($AP704="Management and Administration")+($AP704="Marketing")+($AP704="Sales")+($AP704="Entrepreneurship")+($AP704="Hospitality and Tourism"))&gt;0,"Commerce",IF((($AP704="Social Sciences and Humanities")+($AP704="Law Studies")+($AP704="Education and Training")+($AP704="Art, Design")+($AP704="Entertainment and Mass Media")+($AP704="Community and Social Service")+($AP704="Personal Care and Services")+($AP704="Government and Public Administration")+($AP704="Defence/ Protective Service")+($AP704="Sports"))&gt;0,"Arts / Humanities",""))))</f>
        <v/>
      </c>
      <c r="BC704" s="5" t="str">
        <f aca="false">IF($AL704="","",IF((($AL704="Engineering and Technology")+($AL704="Science and Mathematics")+($AL704="Computer Science, IT and Allied Fields")+($AL704="Life Sciences /Medicine and Healthcare")+($AL704="Paramedical")+($AL704="Architecture")+($AL704="Environmental Service")+($AL704="Agriculture, Food Industry and Forestry"))&gt;0,"Science",IF((($AL704="Banking and Finance")+($AL704="Management and Administration")+($AL704="Marketing")+($AL704="Sales")+($AL704="Entrepreneurship")+($AL704="Hospitality and Tourism"))&gt;0,"Commerce",IF((($AL704="Social Sciences and Humanities")+($AL704="Law Studies")+($AL704="Education and Training")+($AL704="Art, Design")+($AL704="Entertainment and Mass Media")+($AL704="Community and Social Service")+($AL704="Personal Care and Services")+($AL704="Government and Public Administration")+($AL704="Defence/ Protective Service")+($AL704="Sports"))&gt;0,"Arts / Humanities",""))))</f>
        <v/>
      </c>
      <c r="BD704" s="5" t="str">
        <f aca="false">IF($B704="","",--(F704&gt;=10)+--(G704&gt;=10)+--(H704&gt;=10)+--(I704&gt;=10)+--(J704&gt;=10)+--(K704&gt;=10)+--(L704&gt;=10)+--(M704&gt;=10)+--(N704&gt;=10)+--(O704&gt;=10))</f>
        <v/>
      </c>
      <c r="BE704" s="5" t="str">
        <f aca="false">IF($B704="","",--(AND(F704&lt;&gt;"",F704&lt;=8))+--(AND(G704&lt;&gt;"",G704&lt;=8))+--(AND(H704&lt;&gt;"",H704&lt;=8))+--(AND(I704&lt;&gt;"",I704&lt;=8))+--(AND(J704&lt;&gt;"",J704&lt;=8))+--(AND(K704&lt;&gt;"",K704&lt;=8))+--(AND(L704&lt;&gt;"",L704&lt;=8))+--(AND(M704&lt;&gt;"",M704&lt;=8))+--(AND(N704&lt;&gt;"",N704&lt;=8))+--(AND(O704&lt;&gt;"",O704&lt;=8)))</f>
        <v/>
      </c>
    </row>
    <row r="705" customFormat="false" ht="15" hidden="false" customHeight="false" outlineLevel="0" collapsed="false">
      <c r="AZ705" s="5" t="str">
        <f aca="false">IF($B705="","",SUMPRODUCT(($AL705:$AO705&lt;&gt;"")*(COUNTIF($AP705:$AX705,$AL705:$AO705)&gt;0)))</f>
        <v/>
      </c>
      <c r="BA705" s="5" t="str">
        <f aca="false">IF($B705="","",IF(AZ705&gt;0,1,0))</f>
        <v/>
      </c>
      <c r="BB705" s="5" t="str">
        <f aca="false">IF($AP705="","",IF((($AP705="Engineering and Technology")+($AP705="Science and Mathematics")+($AP705="Computer Science, IT and Allied Fields")+($AP705="Life Sciences /Medicine and Healthcare")+($AP705="Paramedical")+($AP705="Architecture")+($AP705="Environmental Service")+($AP705="Agriculture, Food Industry and Forestry"))&gt;0,"Science",IF((($AP705="Banking and Finance")+($AP705="Management and Administration")+($AP705="Marketing")+($AP705="Sales")+($AP705="Entrepreneurship")+($AP705="Hospitality and Tourism"))&gt;0,"Commerce",IF((($AP705="Social Sciences and Humanities")+($AP705="Law Studies")+($AP705="Education and Training")+($AP705="Art, Design")+($AP705="Entertainment and Mass Media")+($AP705="Community and Social Service")+($AP705="Personal Care and Services")+($AP705="Government and Public Administration")+($AP705="Defence/ Protective Service")+($AP705="Sports"))&gt;0,"Arts / Humanities",""))))</f>
        <v/>
      </c>
      <c r="BC705" s="5" t="str">
        <f aca="false">IF($AL705="","",IF((($AL705="Engineering and Technology")+($AL705="Science and Mathematics")+($AL705="Computer Science, IT and Allied Fields")+($AL705="Life Sciences /Medicine and Healthcare")+($AL705="Paramedical")+($AL705="Architecture")+($AL705="Environmental Service")+($AL705="Agriculture, Food Industry and Forestry"))&gt;0,"Science",IF((($AL705="Banking and Finance")+($AL705="Management and Administration")+($AL705="Marketing")+($AL705="Sales")+($AL705="Entrepreneurship")+($AL705="Hospitality and Tourism"))&gt;0,"Commerce",IF((($AL705="Social Sciences and Humanities")+($AL705="Law Studies")+($AL705="Education and Training")+($AL705="Art, Design")+($AL705="Entertainment and Mass Media")+($AL705="Community and Social Service")+($AL705="Personal Care and Services")+($AL705="Government and Public Administration")+($AL705="Defence/ Protective Service")+($AL705="Sports"))&gt;0,"Arts / Humanities",""))))</f>
        <v/>
      </c>
      <c r="BD705" s="5" t="str">
        <f aca="false">IF($B705="","",--(F705&gt;=10)+--(G705&gt;=10)+--(H705&gt;=10)+--(I705&gt;=10)+--(J705&gt;=10)+--(K705&gt;=10)+--(L705&gt;=10)+--(M705&gt;=10)+--(N705&gt;=10)+--(O705&gt;=10))</f>
        <v/>
      </c>
      <c r="BE705" s="5" t="str">
        <f aca="false">IF($B705="","",--(AND(F705&lt;&gt;"",F705&lt;=8))+--(AND(G705&lt;&gt;"",G705&lt;=8))+--(AND(H705&lt;&gt;"",H705&lt;=8))+--(AND(I705&lt;&gt;"",I705&lt;=8))+--(AND(J705&lt;&gt;"",J705&lt;=8))+--(AND(K705&lt;&gt;"",K705&lt;=8))+--(AND(L705&lt;&gt;"",L705&lt;=8))+--(AND(M705&lt;&gt;"",M705&lt;=8))+--(AND(N705&lt;&gt;"",N705&lt;=8))+--(AND(O705&lt;&gt;"",O705&lt;=8)))</f>
        <v/>
      </c>
    </row>
    <row r="706" customFormat="false" ht="15" hidden="false" customHeight="false" outlineLevel="0" collapsed="false">
      <c r="AZ706" s="5" t="str">
        <f aca="false">IF($B706="","",SUMPRODUCT(($AL706:$AO706&lt;&gt;"")*(COUNTIF($AP706:$AX706,$AL706:$AO706)&gt;0)))</f>
        <v/>
      </c>
      <c r="BA706" s="5" t="str">
        <f aca="false">IF($B706="","",IF(AZ706&gt;0,1,0))</f>
        <v/>
      </c>
      <c r="BB706" s="5" t="str">
        <f aca="false">IF($AP706="","",IF((($AP706="Engineering and Technology")+($AP706="Science and Mathematics")+($AP706="Computer Science, IT and Allied Fields")+($AP706="Life Sciences /Medicine and Healthcare")+($AP706="Paramedical")+($AP706="Architecture")+($AP706="Environmental Service")+($AP706="Agriculture, Food Industry and Forestry"))&gt;0,"Science",IF((($AP706="Banking and Finance")+($AP706="Management and Administration")+($AP706="Marketing")+($AP706="Sales")+($AP706="Entrepreneurship")+($AP706="Hospitality and Tourism"))&gt;0,"Commerce",IF((($AP706="Social Sciences and Humanities")+($AP706="Law Studies")+($AP706="Education and Training")+($AP706="Art, Design")+($AP706="Entertainment and Mass Media")+($AP706="Community and Social Service")+($AP706="Personal Care and Services")+($AP706="Government and Public Administration")+($AP706="Defence/ Protective Service")+($AP706="Sports"))&gt;0,"Arts / Humanities",""))))</f>
        <v/>
      </c>
      <c r="BC706" s="5" t="str">
        <f aca="false">IF($AL706="","",IF((($AL706="Engineering and Technology")+($AL706="Science and Mathematics")+($AL706="Computer Science, IT and Allied Fields")+($AL706="Life Sciences /Medicine and Healthcare")+($AL706="Paramedical")+($AL706="Architecture")+($AL706="Environmental Service")+($AL706="Agriculture, Food Industry and Forestry"))&gt;0,"Science",IF((($AL706="Banking and Finance")+($AL706="Management and Administration")+($AL706="Marketing")+($AL706="Sales")+($AL706="Entrepreneurship")+($AL706="Hospitality and Tourism"))&gt;0,"Commerce",IF((($AL706="Social Sciences and Humanities")+($AL706="Law Studies")+($AL706="Education and Training")+($AL706="Art, Design")+($AL706="Entertainment and Mass Media")+($AL706="Community and Social Service")+($AL706="Personal Care and Services")+($AL706="Government and Public Administration")+($AL706="Defence/ Protective Service")+($AL706="Sports"))&gt;0,"Arts / Humanities",""))))</f>
        <v/>
      </c>
      <c r="BD706" s="5" t="str">
        <f aca="false">IF($B706="","",--(F706&gt;=10)+--(G706&gt;=10)+--(H706&gt;=10)+--(I706&gt;=10)+--(J706&gt;=10)+--(K706&gt;=10)+--(L706&gt;=10)+--(M706&gt;=10)+--(N706&gt;=10)+--(O706&gt;=10))</f>
        <v/>
      </c>
      <c r="BE706" s="5" t="str">
        <f aca="false">IF($B706="","",--(AND(F706&lt;&gt;"",F706&lt;=8))+--(AND(G706&lt;&gt;"",G706&lt;=8))+--(AND(H706&lt;&gt;"",H706&lt;=8))+--(AND(I706&lt;&gt;"",I706&lt;=8))+--(AND(J706&lt;&gt;"",J706&lt;=8))+--(AND(K706&lt;&gt;"",K706&lt;=8))+--(AND(L706&lt;&gt;"",L706&lt;=8))+--(AND(M706&lt;&gt;"",M706&lt;=8))+--(AND(N706&lt;&gt;"",N706&lt;=8))+--(AND(O706&lt;&gt;"",O706&lt;=8)))</f>
        <v/>
      </c>
    </row>
    <row r="707" customFormat="false" ht="15" hidden="false" customHeight="false" outlineLevel="0" collapsed="false">
      <c r="AZ707" s="5" t="str">
        <f aca="false">IF($B707="","",SUMPRODUCT(($AL707:$AO707&lt;&gt;"")*(COUNTIF($AP707:$AX707,$AL707:$AO707)&gt;0)))</f>
        <v/>
      </c>
      <c r="BA707" s="5" t="str">
        <f aca="false">IF($B707="","",IF(AZ707&gt;0,1,0))</f>
        <v/>
      </c>
      <c r="BB707" s="5" t="str">
        <f aca="false">IF($AP707="","",IF((($AP707="Engineering and Technology")+($AP707="Science and Mathematics")+($AP707="Computer Science, IT and Allied Fields")+($AP707="Life Sciences /Medicine and Healthcare")+($AP707="Paramedical")+($AP707="Architecture")+($AP707="Environmental Service")+($AP707="Agriculture, Food Industry and Forestry"))&gt;0,"Science",IF((($AP707="Banking and Finance")+($AP707="Management and Administration")+($AP707="Marketing")+($AP707="Sales")+($AP707="Entrepreneurship")+($AP707="Hospitality and Tourism"))&gt;0,"Commerce",IF((($AP707="Social Sciences and Humanities")+($AP707="Law Studies")+($AP707="Education and Training")+($AP707="Art, Design")+($AP707="Entertainment and Mass Media")+($AP707="Community and Social Service")+($AP707="Personal Care and Services")+($AP707="Government and Public Administration")+($AP707="Defence/ Protective Service")+($AP707="Sports"))&gt;0,"Arts / Humanities",""))))</f>
        <v/>
      </c>
      <c r="BC707" s="5" t="str">
        <f aca="false">IF($AL707="","",IF((($AL707="Engineering and Technology")+($AL707="Science and Mathematics")+($AL707="Computer Science, IT and Allied Fields")+($AL707="Life Sciences /Medicine and Healthcare")+($AL707="Paramedical")+($AL707="Architecture")+($AL707="Environmental Service")+($AL707="Agriculture, Food Industry and Forestry"))&gt;0,"Science",IF((($AL707="Banking and Finance")+($AL707="Management and Administration")+($AL707="Marketing")+($AL707="Sales")+($AL707="Entrepreneurship")+($AL707="Hospitality and Tourism"))&gt;0,"Commerce",IF((($AL707="Social Sciences and Humanities")+($AL707="Law Studies")+($AL707="Education and Training")+($AL707="Art, Design")+($AL707="Entertainment and Mass Media")+($AL707="Community and Social Service")+($AL707="Personal Care and Services")+($AL707="Government and Public Administration")+($AL707="Defence/ Protective Service")+($AL707="Sports"))&gt;0,"Arts / Humanities",""))))</f>
        <v/>
      </c>
      <c r="BD707" s="5" t="str">
        <f aca="false">IF($B707="","",--(F707&gt;=10)+--(G707&gt;=10)+--(H707&gt;=10)+--(I707&gt;=10)+--(J707&gt;=10)+--(K707&gt;=10)+--(L707&gt;=10)+--(M707&gt;=10)+--(N707&gt;=10)+--(O707&gt;=10))</f>
        <v/>
      </c>
      <c r="BE707" s="5" t="str">
        <f aca="false">IF($B707="","",--(AND(F707&lt;&gt;"",F707&lt;=8))+--(AND(G707&lt;&gt;"",G707&lt;=8))+--(AND(H707&lt;&gt;"",H707&lt;=8))+--(AND(I707&lt;&gt;"",I707&lt;=8))+--(AND(J707&lt;&gt;"",J707&lt;=8))+--(AND(K707&lt;&gt;"",K707&lt;=8))+--(AND(L707&lt;&gt;"",L707&lt;=8))+--(AND(M707&lt;&gt;"",M707&lt;=8))+--(AND(N707&lt;&gt;"",N707&lt;=8))+--(AND(O707&lt;&gt;"",O707&lt;=8)))</f>
        <v/>
      </c>
    </row>
    <row r="708" customFormat="false" ht="15" hidden="false" customHeight="false" outlineLevel="0" collapsed="false">
      <c r="AZ708" s="5" t="str">
        <f aca="false">IF($B708="","",SUMPRODUCT(($AL708:$AO708&lt;&gt;"")*(COUNTIF($AP708:$AX708,$AL708:$AO708)&gt;0)))</f>
        <v/>
      </c>
      <c r="BA708" s="5" t="str">
        <f aca="false">IF($B708="","",IF(AZ708&gt;0,1,0))</f>
        <v/>
      </c>
      <c r="BB708" s="5" t="str">
        <f aca="false">IF($AP708="","",IF((($AP708="Engineering and Technology")+($AP708="Science and Mathematics")+($AP708="Computer Science, IT and Allied Fields")+($AP708="Life Sciences /Medicine and Healthcare")+($AP708="Paramedical")+($AP708="Architecture")+($AP708="Environmental Service")+($AP708="Agriculture, Food Industry and Forestry"))&gt;0,"Science",IF((($AP708="Banking and Finance")+($AP708="Management and Administration")+($AP708="Marketing")+($AP708="Sales")+($AP708="Entrepreneurship")+($AP708="Hospitality and Tourism"))&gt;0,"Commerce",IF((($AP708="Social Sciences and Humanities")+($AP708="Law Studies")+($AP708="Education and Training")+($AP708="Art, Design")+($AP708="Entertainment and Mass Media")+($AP708="Community and Social Service")+($AP708="Personal Care and Services")+($AP708="Government and Public Administration")+($AP708="Defence/ Protective Service")+($AP708="Sports"))&gt;0,"Arts / Humanities",""))))</f>
        <v/>
      </c>
      <c r="BC708" s="5" t="str">
        <f aca="false">IF($AL708="","",IF((($AL708="Engineering and Technology")+($AL708="Science and Mathematics")+($AL708="Computer Science, IT and Allied Fields")+($AL708="Life Sciences /Medicine and Healthcare")+($AL708="Paramedical")+($AL708="Architecture")+($AL708="Environmental Service")+($AL708="Agriculture, Food Industry and Forestry"))&gt;0,"Science",IF((($AL708="Banking and Finance")+($AL708="Management and Administration")+($AL708="Marketing")+($AL708="Sales")+($AL708="Entrepreneurship")+($AL708="Hospitality and Tourism"))&gt;0,"Commerce",IF((($AL708="Social Sciences and Humanities")+($AL708="Law Studies")+($AL708="Education and Training")+($AL708="Art, Design")+($AL708="Entertainment and Mass Media")+($AL708="Community and Social Service")+($AL708="Personal Care and Services")+($AL708="Government and Public Administration")+($AL708="Defence/ Protective Service")+($AL708="Sports"))&gt;0,"Arts / Humanities",""))))</f>
        <v/>
      </c>
      <c r="BD708" s="5" t="str">
        <f aca="false">IF($B708="","",--(F708&gt;=10)+--(G708&gt;=10)+--(H708&gt;=10)+--(I708&gt;=10)+--(J708&gt;=10)+--(K708&gt;=10)+--(L708&gt;=10)+--(M708&gt;=10)+--(N708&gt;=10)+--(O708&gt;=10))</f>
        <v/>
      </c>
      <c r="BE708" s="5" t="str">
        <f aca="false">IF($B708="","",--(AND(F708&lt;&gt;"",F708&lt;=8))+--(AND(G708&lt;&gt;"",G708&lt;=8))+--(AND(H708&lt;&gt;"",H708&lt;=8))+--(AND(I708&lt;&gt;"",I708&lt;=8))+--(AND(J708&lt;&gt;"",J708&lt;=8))+--(AND(K708&lt;&gt;"",K708&lt;=8))+--(AND(L708&lt;&gt;"",L708&lt;=8))+--(AND(M708&lt;&gt;"",M708&lt;=8))+--(AND(N708&lt;&gt;"",N708&lt;=8))+--(AND(O708&lt;&gt;"",O708&lt;=8)))</f>
        <v/>
      </c>
    </row>
    <row r="709" customFormat="false" ht="15" hidden="false" customHeight="false" outlineLevel="0" collapsed="false">
      <c r="AZ709" s="5" t="str">
        <f aca="false">IF($B709="","",SUMPRODUCT(($AL709:$AO709&lt;&gt;"")*(COUNTIF($AP709:$AX709,$AL709:$AO709)&gt;0)))</f>
        <v/>
      </c>
      <c r="BA709" s="5" t="str">
        <f aca="false">IF($B709="","",IF(AZ709&gt;0,1,0))</f>
        <v/>
      </c>
      <c r="BB709" s="5" t="str">
        <f aca="false">IF($AP709="","",IF((($AP709="Engineering and Technology")+($AP709="Science and Mathematics")+($AP709="Computer Science, IT and Allied Fields")+($AP709="Life Sciences /Medicine and Healthcare")+($AP709="Paramedical")+($AP709="Architecture")+($AP709="Environmental Service")+($AP709="Agriculture, Food Industry and Forestry"))&gt;0,"Science",IF((($AP709="Banking and Finance")+($AP709="Management and Administration")+($AP709="Marketing")+($AP709="Sales")+($AP709="Entrepreneurship")+($AP709="Hospitality and Tourism"))&gt;0,"Commerce",IF((($AP709="Social Sciences and Humanities")+($AP709="Law Studies")+($AP709="Education and Training")+($AP709="Art, Design")+($AP709="Entertainment and Mass Media")+($AP709="Community and Social Service")+($AP709="Personal Care and Services")+($AP709="Government and Public Administration")+($AP709="Defence/ Protective Service")+($AP709="Sports"))&gt;0,"Arts / Humanities",""))))</f>
        <v/>
      </c>
      <c r="BC709" s="5" t="str">
        <f aca="false">IF($AL709="","",IF((($AL709="Engineering and Technology")+($AL709="Science and Mathematics")+($AL709="Computer Science, IT and Allied Fields")+($AL709="Life Sciences /Medicine and Healthcare")+($AL709="Paramedical")+($AL709="Architecture")+($AL709="Environmental Service")+($AL709="Agriculture, Food Industry and Forestry"))&gt;0,"Science",IF((($AL709="Banking and Finance")+($AL709="Management and Administration")+($AL709="Marketing")+($AL709="Sales")+($AL709="Entrepreneurship")+($AL709="Hospitality and Tourism"))&gt;0,"Commerce",IF((($AL709="Social Sciences and Humanities")+($AL709="Law Studies")+($AL709="Education and Training")+($AL709="Art, Design")+($AL709="Entertainment and Mass Media")+($AL709="Community and Social Service")+($AL709="Personal Care and Services")+($AL709="Government and Public Administration")+($AL709="Defence/ Protective Service")+($AL709="Sports"))&gt;0,"Arts / Humanities",""))))</f>
        <v/>
      </c>
      <c r="BD709" s="5" t="str">
        <f aca="false">IF($B709="","",--(F709&gt;=10)+--(G709&gt;=10)+--(H709&gt;=10)+--(I709&gt;=10)+--(J709&gt;=10)+--(K709&gt;=10)+--(L709&gt;=10)+--(M709&gt;=10)+--(N709&gt;=10)+--(O709&gt;=10))</f>
        <v/>
      </c>
      <c r="BE709" s="5" t="str">
        <f aca="false">IF($B709="","",--(AND(F709&lt;&gt;"",F709&lt;=8))+--(AND(G709&lt;&gt;"",G709&lt;=8))+--(AND(H709&lt;&gt;"",H709&lt;=8))+--(AND(I709&lt;&gt;"",I709&lt;=8))+--(AND(J709&lt;&gt;"",J709&lt;=8))+--(AND(K709&lt;&gt;"",K709&lt;=8))+--(AND(L709&lt;&gt;"",L709&lt;=8))+--(AND(M709&lt;&gt;"",M709&lt;=8))+--(AND(N709&lt;&gt;"",N709&lt;=8))+--(AND(O709&lt;&gt;"",O709&lt;=8)))</f>
        <v/>
      </c>
    </row>
    <row r="710" customFormat="false" ht="15" hidden="false" customHeight="false" outlineLevel="0" collapsed="false">
      <c r="AZ710" s="5" t="str">
        <f aca="false">IF($B710="","",SUMPRODUCT(($AL710:$AO710&lt;&gt;"")*(COUNTIF($AP710:$AX710,$AL710:$AO710)&gt;0)))</f>
        <v/>
      </c>
      <c r="BA710" s="5" t="str">
        <f aca="false">IF($B710="","",IF(AZ710&gt;0,1,0))</f>
        <v/>
      </c>
      <c r="BB710" s="5" t="str">
        <f aca="false">IF($AP710="","",IF((($AP710="Engineering and Technology")+($AP710="Science and Mathematics")+($AP710="Computer Science, IT and Allied Fields")+($AP710="Life Sciences /Medicine and Healthcare")+($AP710="Paramedical")+($AP710="Architecture")+($AP710="Environmental Service")+($AP710="Agriculture, Food Industry and Forestry"))&gt;0,"Science",IF((($AP710="Banking and Finance")+($AP710="Management and Administration")+($AP710="Marketing")+($AP710="Sales")+($AP710="Entrepreneurship")+($AP710="Hospitality and Tourism"))&gt;0,"Commerce",IF((($AP710="Social Sciences and Humanities")+($AP710="Law Studies")+($AP710="Education and Training")+($AP710="Art, Design")+($AP710="Entertainment and Mass Media")+($AP710="Community and Social Service")+($AP710="Personal Care and Services")+($AP710="Government and Public Administration")+($AP710="Defence/ Protective Service")+($AP710="Sports"))&gt;0,"Arts / Humanities",""))))</f>
        <v/>
      </c>
      <c r="BC710" s="5" t="str">
        <f aca="false">IF($AL710="","",IF((($AL710="Engineering and Technology")+($AL710="Science and Mathematics")+($AL710="Computer Science, IT and Allied Fields")+($AL710="Life Sciences /Medicine and Healthcare")+($AL710="Paramedical")+($AL710="Architecture")+($AL710="Environmental Service")+($AL710="Agriculture, Food Industry and Forestry"))&gt;0,"Science",IF((($AL710="Banking and Finance")+($AL710="Management and Administration")+($AL710="Marketing")+($AL710="Sales")+($AL710="Entrepreneurship")+($AL710="Hospitality and Tourism"))&gt;0,"Commerce",IF((($AL710="Social Sciences and Humanities")+($AL710="Law Studies")+($AL710="Education and Training")+($AL710="Art, Design")+($AL710="Entertainment and Mass Media")+($AL710="Community and Social Service")+($AL710="Personal Care and Services")+($AL710="Government and Public Administration")+($AL710="Defence/ Protective Service")+($AL710="Sports"))&gt;0,"Arts / Humanities",""))))</f>
        <v/>
      </c>
      <c r="BD710" s="5" t="str">
        <f aca="false">IF($B710="","",--(F710&gt;=10)+--(G710&gt;=10)+--(H710&gt;=10)+--(I710&gt;=10)+--(J710&gt;=10)+--(K710&gt;=10)+--(L710&gt;=10)+--(M710&gt;=10)+--(N710&gt;=10)+--(O710&gt;=10))</f>
        <v/>
      </c>
      <c r="BE710" s="5" t="str">
        <f aca="false">IF($B710="","",--(AND(F710&lt;&gt;"",F710&lt;=8))+--(AND(G710&lt;&gt;"",G710&lt;=8))+--(AND(H710&lt;&gt;"",H710&lt;=8))+--(AND(I710&lt;&gt;"",I710&lt;=8))+--(AND(J710&lt;&gt;"",J710&lt;=8))+--(AND(K710&lt;&gt;"",K710&lt;=8))+--(AND(L710&lt;&gt;"",L710&lt;=8))+--(AND(M710&lt;&gt;"",M710&lt;=8))+--(AND(N710&lt;&gt;"",N710&lt;=8))+--(AND(O710&lt;&gt;"",O710&lt;=8)))</f>
        <v/>
      </c>
    </row>
    <row r="711" customFormat="false" ht="15" hidden="false" customHeight="false" outlineLevel="0" collapsed="false">
      <c r="AZ711" s="5" t="str">
        <f aca="false">IF($B711="","",SUMPRODUCT(($AL711:$AO711&lt;&gt;"")*(COUNTIF($AP711:$AX711,$AL711:$AO711)&gt;0)))</f>
        <v/>
      </c>
      <c r="BA711" s="5" t="str">
        <f aca="false">IF($B711="","",IF(AZ711&gt;0,1,0))</f>
        <v/>
      </c>
      <c r="BB711" s="5" t="str">
        <f aca="false">IF($AP711="","",IF((($AP711="Engineering and Technology")+($AP711="Science and Mathematics")+($AP711="Computer Science, IT and Allied Fields")+($AP711="Life Sciences /Medicine and Healthcare")+($AP711="Paramedical")+($AP711="Architecture")+($AP711="Environmental Service")+($AP711="Agriculture, Food Industry and Forestry"))&gt;0,"Science",IF((($AP711="Banking and Finance")+($AP711="Management and Administration")+($AP711="Marketing")+($AP711="Sales")+($AP711="Entrepreneurship")+($AP711="Hospitality and Tourism"))&gt;0,"Commerce",IF((($AP711="Social Sciences and Humanities")+($AP711="Law Studies")+($AP711="Education and Training")+($AP711="Art, Design")+($AP711="Entertainment and Mass Media")+($AP711="Community and Social Service")+($AP711="Personal Care and Services")+($AP711="Government and Public Administration")+($AP711="Defence/ Protective Service")+($AP711="Sports"))&gt;0,"Arts / Humanities",""))))</f>
        <v/>
      </c>
      <c r="BC711" s="5" t="str">
        <f aca="false">IF($AL711="","",IF((($AL711="Engineering and Technology")+($AL711="Science and Mathematics")+($AL711="Computer Science, IT and Allied Fields")+($AL711="Life Sciences /Medicine and Healthcare")+($AL711="Paramedical")+($AL711="Architecture")+($AL711="Environmental Service")+($AL711="Agriculture, Food Industry and Forestry"))&gt;0,"Science",IF((($AL711="Banking and Finance")+($AL711="Management and Administration")+($AL711="Marketing")+($AL711="Sales")+($AL711="Entrepreneurship")+($AL711="Hospitality and Tourism"))&gt;0,"Commerce",IF((($AL711="Social Sciences and Humanities")+($AL711="Law Studies")+($AL711="Education and Training")+($AL711="Art, Design")+($AL711="Entertainment and Mass Media")+($AL711="Community and Social Service")+($AL711="Personal Care and Services")+($AL711="Government and Public Administration")+($AL711="Defence/ Protective Service")+($AL711="Sports"))&gt;0,"Arts / Humanities",""))))</f>
        <v/>
      </c>
      <c r="BD711" s="5" t="str">
        <f aca="false">IF($B711="","",--(F711&gt;=10)+--(G711&gt;=10)+--(H711&gt;=10)+--(I711&gt;=10)+--(J711&gt;=10)+--(K711&gt;=10)+--(L711&gt;=10)+--(M711&gt;=10)+--(N711&gt;=10)+--(O711&gt;=10))</f>
        <v/>
      </c>
      <c r="BE711" s="5" t="str">
        <f aca="false">IF($B711="","",--(AND(F711&lt;&gt;"",F711&lt;=8))+--(AND(G711&lt;&gt;"",G711&lt;=8))+--(AND(H711&lt;&gt;"",H711&lt;=8))+--(AND(I711&lt;&gt;"",I711&lt;=8))+--(AND(J711&lt;&gt;"",J711&lt;=8))+--(AND(K711&lt;&gt;"",K711&lt;=8))+--(AND(L711&lt;&gt;"",L711&lt;=8))+--(AND(M711&lt;&gt;"",M711&lt;=8))+--(AND(N711&lt;&gt;"",N711&lt;=8))+--(AND(O711&lt;&gt;"",O711&lt;=8)))</f>
        <v/>
      </c>
    </row>
    <row r="712" customFormat="false" ht="15" hidden="false" customHeight="false" outlineLevel="0" collapsed="false">
      <c r="AZ712" s="5" t="str">
        <f aca="false">IF($B712="","",SUMPRODUCT(($AL712:$AO712&lt;&gt;"")*(COUNTIF($AP712:$AX712,$AL712:$AO712)&gt;0)))</f>
        <v/>
      </c>
      <c r="BA712" s="5" t="str">
        <f aca="false">IF($B712="","",IF(AZ712&gt;0,1,0))</f>
        <v/>
      </c>
      <c r="BB712" s="5" t="str">
        <f aca="false">IF($AP712="","",IF((($AP712="Engineering and Technology")+($AP712="Science and Mathematics")+($AP712="Computer Science, IT and Allied Fields")+($AP712="Life Sciences /Medicine and Healthcare")+($AP712="Paramedical")+($AP712="Architecture")+($AP712="Environmental Service")+($AP712="Agriculture, Food Industry and Forestry"))&gt;0,"Science",IF((($AP712="Banking and Finance")+($AP712="Management and Administration")+($AP712="Marketing")+($AP712="Sales")+($AP712="Entrepreneurship")+($AP712="Hospitality and Tourism"))&gt;0,"Commerce",IF((($AP712="Social Sciences and Humanities")+($AP712="Law Studies")+($AP712="Education and Training")+($AP712="Art, Design")+($AP712="Entertainment and Mass Media")+($AP712="Community and Social Service")+($AP712="Personal Care and Services")+($AP712="Government and Public Administration")+($AP712="Defence/ Protective Service")+($AP712="Sports"))&gt;0,"Arts / Humanities",""))))</f>
        <v/>
      </c>
      <c r="BC712" s="5" t="str">
        <f aca="false">IF($AL712="","",IF((($AL712="Engineering and Technology")+($AL712="Science and Mathematics")+($AL712="Computer Science, IT and Allied Fields")+($AL712="Life Sciences /Medicine and Healthcare")+($AL712="Paramedical")+($AL712="Architecture")+($AL712="Environmental Service")+($AL712="Agriculture, Food Industry and Forestry"))&gt;0,"Science",IF((($AL712="Banking and Finance")+($AL712="Management and Administration")+($AL712="Marketing")+($AL712="Sales")+($AL712="Entrepreneurship")+($AL712="Hospitality and Tourism"))&gt;0,"Commerce",IF((($AL712="Social Sciences and Humanities")+($AL712="Law Studies")+($AL712="Education and Training")+($AL712="Art, Design")+($AL712="Entertainment and Mass Media")+($AL712="Community and Social Service")+($AL712="Personal Care and Services")+($AL712="Government and Public Administration")+($AL712="Defence/ Protective Service")+($AL712="Sports"))&gt;0,"Arts / Humanities",""))))</f>
        <v/>
      </c>
      <c r="BD712" s="5" t="str">
        <f aca="false">IF($B712="","",--(F712&gt;=10)+--(G712&gt;=10)+--(H712&gt;=10)+--(I712&gt;=10)+--(J712&gt;=10)+--(K712&gt;=10)+--(L712&gt;=10)+--(M712&gt;=10)+--(N712&gt;=10)+--(O712&gt;=10))</f>
        <v/>
      </c>
      <c r="BE712" s="5" t="str">
        <f aca="false">IF($B712="","",--(AND(F712&lt;&gt;"",F712&lt;=8))+--(AND(G712&lt;&gt;"",G712&lt;=8))+--(AND(H712&lt;&gt;"",H712&lt;=8))+--(AND(I712&lt;&gt;"",I712&lt;=8))+--(AND(J712&lt;&gt;"",J712&lt;=8))+--(AND(K712&lt;&gt;"",K712&lt;=8))+--(AND(L712&lt;&gt;"",L712&lt;=8))+--(AND(M712&lt;&gt;"",M712&lt;=8))+--(AND(N712&lt;&gt;"",N712&lt;=8))+--(AND(O712&lt;&gt;"",O712&lt;=8)))</f>
        <v/>
      </c>
    </row>
    <row r="713" customFormat="false" ht="15" hidden="false" customHeight="false" outlineLevel="0" collapsed="false">
      <c r="AZ713" s="5" t="str">
        <f aca="false">IF($B713="","",SUMPRODUCT(($AL713:$AO713&lt;&gt;"")*(COUNTIF($AP713:$AX713,$AL713:$AO713)&gt;0)))</f>
        <v/>
      </c>
      <c r="BA713" s="5" t="str">
        <f aca="false">IF($B713="","",IF(AZ713&gt;0,1,0))</f>
        <v/>
      </c>
      <c r="BB713" s="5" t="str">
        <f aca="false">IF($AP713="","",IF((($AP713="Engineering and Technology")+($AP713="Science and Mathematics")+($AP713="Computer Science, IT and Allied Fields")+($AP713="Life Sciences /Medicine and Healthcare")+($AP713="Paramedical")+($AP713="Architecture")+($AP713="Environmental Service")+($AP713="Agriculture, Food Industry and Forestry"))&gt;0,"Science",IF((($AP713="Banking and Finance")+($AP713="Management and Administration")+($AP713="Marketing")+($AP713="Sales")+($AP713="Entrepreneurship")+($AP713="Hospitality and Tourism"))&gt;0,"Commerce",IF((($AP713="Social Sciences and Humanities")+($AP713="Law Studies")+($AP713="Education and Training")+($AP713="Art, Design")+($AP713="Entertainment and Mass Media")+($AP713="Community and Social Service")+($AP713="Personal Care and Services")+($AP713="Government and Public Administration")+($AP713="Defence/ Protective Service")+($AP713="Sports"))&gt;0,"Arts / Humanities",""))))</f>
        <v/>
      </c>
      <c r="BC713" s="5" t="str">
        <f aca="false">IF($AL713="","",IF((($AL713="Engineering and Technology")+($AL713="Science and Mathematics")+($AL713="Computer Science, IT and Allied Fields")+($AL713="Life Sciences /Medicine and Healthcare")+($AL713="Paramedical")+($AL713="Architecture")+($AL713="Environmental Service")+($AL713="Agriculture, Food Industry and Forestry"))&gt;0,"Science",IF((($AL713="Banking and Finance")+($AL713="Management and Administration")+($AL713="Marketing")+($AL713="Sales")+($AL713="Entrepreneurship")+($AL713="Hospitality and Tourism"))&gt;0,"Commerce",IF((($AL713="Social Sciences and Humanities")+($AL713="Law Studies")+($AL713="Education and Training")+($AL713="Art, Design")+($AL713="Entertainment and Mass Media")+($AL713="Community and Social Service")+($AL713="Personal Care and Services")+($AL713="Government and Public Administration")+($AL713="Defence/ Protective Service")+($AL713="Sports"))&gt;0,"Arts / Humanities",""))))</f>
        <v/>
      </c>
      <c r="BD713" s="5" t="str">
        <f aca="false">IF($B713="","",--(F713&gt;=10)+--(G713&gt;=10)+--(H713&gt;=10)+--(I713&gt;=10)+--(J713&gt;=10)+--(K713&gt;=10)+--(L713&gt;=10)+--(M713&gt;=10)+--(N713&gt;=10)+--(O713&gt;=10))</f>
        <v/>
      </c>
      <c r="BE713" s="5" t="str">
        <f aca="false">IF($B713="","",--(AND(F713&lt;&gt;"",F713&lt;=8))+--(AND(G713&lt;&gt;"",G713&lt;=8))+--(AND(H713&lt;&gt;"",H713&lt;=8))+--(AND(I713&lt;&gt;"",I713&lt;=8))+--(AND(J713&lt;&gt;"",J713&lt;=8))+--(AND(K713&lt;&gt;"",K713&lt;=8))+--(AND(L713&lt;&gt;"",L713&lt;=8))+--(AND(M713&lt;&gt;"",M713&lt;=8))+--(AND(N713&lt;&gt;"",N713&lt;=8))+--(AND(O713&lt;&gt;"",O713&lt;=8)))</f>
        <v/>
      </c>
    </row>
    <row r="714" customFormat="false" ht="15" hidden="false" customHeight="false" outlineLevel="0" collapsed="false">
      <c r="AZ714" s="5" t="str">
        <f aca="false">IF($B714="","",SUMPRODUCT(($AL714:$AO714&lt;&gt;"")*(COUNTIF($AP714:$AX714,$AL714:$AO714)&gt;0)))</f>
        <v/>
      </c>
      <c r="BA714" s="5" t="str">
        <f aca="false">IF($B714="","",IF(AZ714&gt;0,1,0))</f>
        <v/>
      </c>
      <c r="BB714" s="5" t="str">
        <f aca="false">IF($AP714="","",IF((($AP714="Engineering and Technology")+($AP714="Science and Mathematics")+($AP714="Computer Science, IT and Allied Fields")+($AP714="Life Sciences /Medicine and Healthcare")+($AP714="Paramedical")+($AP714="Architecture")+($AP714="Environmental Service")+($AP714="Agriculture, Food Industry and Forestry"))&gt;0,"Science",IF((($AP714="Banking and Finance")+($AP714="Management and Administration")+($AP714="Marketing")+($AP714="Sales")+($AP714="Entrepreneurship")+($AP714="Hospitality and Tourism"))&gt;0,"Commerce",IF((($AP714="Social Sciences and Humanities")+($AP714="Law Studies")+($AP714="Education and Training")+($AP714="Art, Design")+($AP714="Entertainment and Mass Media")+($AP714="Community and Social Service")+($AP714="Personal Care and Services")+($AP714="Government and Public Administration")+($AP714="Defence/ Protective Service")+($AP714="Sports"))&gt;0,"Arts / Humanities",""))))</f>
        <v/>
      </c>
      <c r="BC714" s="5" t="str">
        <f aca="false">IF($AL714="","",IF((($AL714="Engineering and Technology")+($AL714="Science and Mathematics")+($AL714="Computer Science, IT and Allied Fields")+($AL714="Life Sciences /Medicine and Healthcare")+($AL714="Paramedical")+($AL714="Architecture")+($AL714="Environmental Service")+($AL714="Agriculture, Food Industry and Forestry"))&gt;0,"Science",IF((($AL714="Banking and Finance")+($AL714="Management and Administration")+($AL714="Marketing")+($AL714="Sales")+($AL714="Entrepreneurship")+($AL714="Hospitality and Tourism"))&gt;0,"Commerce",IF((($AL714="Social Sciences and Humanities")+($AL714="Law Studies")+($AL714="Education and Training")+($AL714="Art, Design")+($AL714="Entertainment and Mass Media")+($AL714="Community and Social Service")+($AL714="Personal Care and Services")+($AL714="Government and Public Administration")+($AL714="Defence/ Protective Service")+($AL714="Sports"))&gt;0,"Arts / Humanities",""))))</f>
        <v/>
      </c>
      <c r="BD714" s="5" t="str">
        <f aca="false">IF($B714="","",--(F714&gt;=10)+--(G714&gt;=10)+--(H714&gt;=10)+--(I714&gt;=10)+--(J714&gt;=10)+--(K714&gt;=10)+--(L714&gt;=10)+--(M714&gt;=10)+--(N714&gt;=10)+--(O714&gt;=10))</f>
        <v/>
      </c>
      <c r="BE714" s="5" t="str">
        <f aca="false">IF($B714="","",--(AND(F714&lt;&gt;"",F714&lt;=8))+--(AND(G714&lt;&gt;"",G714&lt;=8))+--(AND(H714&lt;&gt;"",H714&lt;=8))+--(AND(I714&lt;&gt;"",I714&lt;=8))+--(AND(J714&lt;&gt;"",J714&lt;=8))+--(AND(K714&lt;&gt;"",K714&lt;=8))+--(AND(L714&lt;&gt;"",L714&lt;=8))+--(AND(M714&lt;&gt;"",M714&lt;=8))+--(AND(N714&lt;&gt;"",N714&lt;=8))+--(AND(O714&lt;&gt;"",O714&lt;=8)))</f>
        <v/>
      </c>
    </row>
    <row r="715" customFormat="false" ht="15" hidden="false" customHeight="false" outlineLevel="0" collapsed="false">
      <c r="AZ715" s="5" t="str">
        <f aca="false">IF($B715="","",SUMPRODUCT(($AL715:$AO715&lt;&gt;"")*(COUNTIF($AP715:$AX715,$AL715:$AO715)&gt;0)))</f>
        <v/>
      </c>
      <c r="BA715" s="5" t="str">
        <f aca="false">IF($B715="","",IF(AZ715&gt;0,1,0))</f>
        <v/>
      </c>
      <c r="BB715" s="5" t="str">
        <f aca="false">IF($AP715="","",IF((($AP715="Engineering and Technology")+($AP715="Science and Mathematics")+($AP715="Computer Science, IT and Allied Fields")+($AP715="Life Sciences /Medicine and Healthcare")+($AP715="Paramedical")+($AP715="Architecture")+($AP715="Environmental Service")+($AP715="Agriculture, Food Industry and Forestry"))&gt;0,"Science",IF((($AP715="Banking and Finance")+($AP715="Management and Administration")+($AP715="Marketing")+($AP715="Sales")+($AP715="Entrepreneurship")+($AP715="Hospitality and Tourism"))&gt;0,"Commerce",IF((($AP715="Social Sciences and Humanities")+($AP715="Law Studies")+($AP715="Education and Training")+($AP715="Art, Design")+($AP715="Entertainment and Mass Media")+($AP715="Community and Social Service")+($AP715="Personal Care and Services")+($AP715="Government and Public Administration")+($AP715="Defence/ Protective Service")+($AP715="Sports"))&gt;0,"Arts / Humanities",""))))</f>
        <v/>
      </c>
      <c r="BC715" s="5" t="str">
        <f aca="false">IF($AL715="","",IF((($AL715="Engineering and Technology")+($AL715="Science and Mathematics")+($AL715="Computer Science, IT and Allied Fields")+($AL715="Life Sciences /Medicine and Healthcare")+($AL715="Paramedical")+($AL715="Architecture")+($AL715="Environmental Service")+($AL715="Agriculture, Food Industry and Forestry"))&gt;0,"Science",IF((($AL715="Banking and Finance")+($AL715="Management and Administration")+($AL715="Marketing")+($AL715="Sales")+($AL715="Entrepreneurship")+($AL715="Hospitality and Tourism"))&gt;0,"Commerce",IF((($AL715="Social Sciences and Humanities")+($AL715="Law Studies")+($AL715="Education and Training")+($AL715="Art, Design")+($AL715="Entertainment and Mass Media")+($AL715="Community and Social Service")+($AL715="Personal Care and Services")+($AL715="Government and Public Administration")+($AL715="Defence/ Protective Service")+($AL715="Sports"))&gt;0,"Arts / Humanities",""))))</f>
        <v/>
      </c>
      <c r="BD715" s="5" t="str">
        <f aca="false">IF($B715="","",--(F715&gt;=10)+--(G715&gt;=10)+--(H715&gt;=10)+--(I715&gt;=10)+--(J715&gt;=10)+--(K715&gt;=10)+--(L715&gt;=10)+--(M715&gt;=10)+--(N715&gt;=10)+--(O715&gt;=10))</f>
        <v/>
      </c>
      <c r="BE715" s="5" t="str">
        <f aca="false">IF($B715="","",--(AND(F715&lt;&gt;"",F715&lt;=8))+--(AND(G715&lt;&gt;"",G715&lt;=8))+--(AND(H715&lt;&gt;"",H715&lt;=8))+--(AND(I715&lt;&gt;"",I715&lt;=8))+--(AND(J715&lt;&gt;"",J715&lt;=8))+--(AND(K715&lt;&gt;"",K715&lt;=8))+--(AND(L715&lt;&gt;"",L715&lt;=8))+--(AND(M715&lt;&gt;"",M715&lt;=8))+--(AND(N715&lt;&gt;"",N715&lt;=8))+--(AND(O715&lt;&gt;"",O715&lt;=8)))</f>
        <v/>
      </c>
    </row>
    <row r="716" customFormat="false" ht="15" hidden="false" customHeight="false" outlineLevel="0" collapsed="false">
      <c r="AZ716" s="5" t="str">
        <f aca="false">IF($B716="","",SUMPRODUCT(($AL716:$AO716&lt;&gt;"")*(COUNTIF($AP716:$AX716,$AL716:$AO716)&gt;0)))</f>
        <v/>
      </c>
      <c r="BA716" s="5" t="str">
        <f aca="false">IF($B716="","",IF(AZ716&gt;0,1,0))</f>
        <v/>
      </c>
      <c r="BB716" s="5" t="str">
        <f aca="false">IF($AP716="","",IF((($AP716="Engineering and Technology")+($AP716="Science and Mathematics")+($AP716="Computer Science, IT and Allied Fields")+($AP716="Life Sciences /Medicine and Healthcare")+($AP716="Paramedical")+($AP716="Architecture")+($AP716="Environmental Service")+($AP716="Agriculture, Food Industry and Forestry"))&gt;0,"Science",IF((($AP716="Banking and Finance")+($AP716="Management and Administration")+($AP716="Marketing")+($AP716="Sales")+($AP716="Entrepreneurship")+($AP716="Hospitality and Tourism"))&gt;0,"Commerce",IF((($AP716="Social Sciences and Humanities")+($AP716="Law Studies")+($AP716="Education and Training")+($AP716="Art, Design")+($AP716="Entertainment and Mass Media")+($AP716="Community and Social Service")+($AP716="Personal Care and Services")+($AP716="Government and Public Administration")+($AP716="Defence/ Protective Service")+($AP716="Sports"))&gt;0,"Arts / Humanities",""))))</f>
        <v/>
      </c>
      <c r="BC716" s="5" t="str">
        <f aca="false">IF($AL716="","",IF((($AL716="Engineering and Technology")+($AL716="Science and Mathematics")+($AL716="Computer Science, IT and Allied Fields")+($AL716="Life Sciences /Medicine and Healthcare")+($AL716="Paramedical")+($AL716="Architecture")+($AL716="Environmental Service")+($AL716="Agriculture, Food Industry and Forestry"))&gt;0,"Science",IF((($AL716="Banking and Finance")+($AL716="Management and Administration")+($AL716="Marketing")+($AL716="Sales")+($AL716="Entrepreneurship")+($AL716="Hospitality and Tourism"))&gt;0,"Commerce",IF((($AL716="Social Sciences and Humanities")+($AL716="Law Studies")+($AL716="Education and Training")+($AL716="Art, Design")+($AL716="Entertainment and Mass Media")+($AL716="Community and Social Service")+($AL716="Personal Care and Services")+($AL716="Government and Public Administration")+($AL716="Defence/ Protective Service")+($AL716="Sports"))&gt;0,"Arts / Humanities",""))))</f>
        <v/>
      </c>
      <c r="BD716" s="5" t="str">
        <f aca="false">IF($B716="","",--(F716&gt;=10)+--(G716&gt;=10)+--(H716&gt;=10)+--(I716&gt;=10)+--(J716&gt;=10)+--(K716&gt;=10)+--(L716&gt;=10)+--(M716&gt;=10)+--(N716&gt;=10)+--(O716&gt;=10))</f>
        <v/>
      </c>
      <c r="BE716" s="5" t="str">
        <f aca="false">IF($B716="","",--(AND(F716&lt;&gt;"",F716&lt;=8))+--(AND(G716&lt;&gt;"",G716&lt;=8))+--(AND(H716&lt;&gt;"",H716&lt;=8))+--(AND(I716&lt;&gt;"",I716&lt;=8))+--(AND(J716&lt;&gt;"",J716&lt;=8))+--(AND(K716&lt;&gt;"",K716&lt;=8))+--(AND(L716&lt;&gt;"",L716&lt;=8))+--(AND(M716&lt;&gt;"",M716&lt;=8))+--(AND(N716&lt;&gt;"",N716&lt;=8))+--(AND(O716&lt;&gt;"",O716&lt;=8)))</f>
        <v/>
      </c>
    </row>
    <row r="717" customFormat="false" ht="15" hidden="false" customHeight="false" outlineLevel="0" collapsed="false">
      <c r="AZ717" s="5" t="str">
        <f aca="false">IF($B717="","",SUMPRODUCT(($AL717:$AO717&lt;&gt;"")*(COUNTIF($AP717:$AX717,$AL717:$AO717)&gt;0)))</f>
        <v/>
      </c>
      <c r="BA717" s="5" t="str">
        <f aca="false">IF($B717="","",IF(AZ717&gt;0,1,0))</f>
        <v/>
      </c>
      <c r="BB717" s="5" t="str">
        <f aca="false">IF($AP717="","",IF((($AP717="Engineering and Technology")+($AP717="Science and Mathematics")+($AP717="Computer Science, IT and Allied Fields")+($AP717="Life Sciences /Medicine and Healthcare")+($AP717="Paramedical")+($AP717="Architecture")+($AP717="Environmental Service")+($AP717="Agriculture, Food Industry and Forestry"))&gt;0,"Science",IF((($AP717="Banking and Finance")+($AP717="Management and Administration")+($AP717="Marketing")+($AP717="Sales")+($AP717="Entrepreneurship")+($AP717="Hospitality and Tourism"))&gt;0,"Commerce",IF((($AP717="Social Sciences and Humanities")+($AP717="Law Studies")+($AP717="Education and Training")+($AP717="Art, Design")+($AP717="Entertainment and Mass Media")+($AP717="Community and Social Service")+($AP717="Personal Care and Services")+($AP717="Government and Public Administration")+($AP717="Defence/ Protective Service")+($AP717="Sports"))&gt;0,"Arts / Humanities",""))))</f>
        <v/>
      </c>
      <c r="BC717" s="5" t="str">
        <f aca="false">IF($AL717="","",IF((($AL717="Engineering and Technology")+($AL717="Science and Mathematics")+($AL717="Computer Science, IT and Allied Fields")+($AL717="Life Sciences /Medicine and Healthcare")+($AL717="Paramedical")+($AL717="Architecture")+($AL717="Environmental Service")+($AL717="Agriculture, Food Industry and Forestry"))&gt;0,"Science",IF((($AL717="Banking and Finance")+($AL717="Management and Administration")+($AL717="Marketing")+($AL717="Sales")+($AL717="Entrepreneurship")+($AL717="Hospitality and Tourism"))&gt;0,"Commerce",IF((($AL717="Social Sciences and Humanities")+($AL717="Law Studies")+($AL717="Education and Training")+($AL717="Art, Design")+($AL717="Entertainment and Mass Media")+($AL717="Community and Social Service")+($AL717="Personal Care and Services")+($AL717="Government and Public Administration")+($AL717="Defence/ Protective Service")+($AL717="Sports"))&gt;0,"Arts / Humanities",""))))</f>
        <v/>
      </c>
      <c r="BD717" s="5" t="str">
        <f aca="false">IF($B717="","",--(F717&gt;=10)+--(G717&gt;=10)+--(H717&gt;=10)+--(I717&gt;=10)+--(J717&gt;=10)+--(K717&gt;=10)+--(L717&gt;=10)+--(M717&gt;=10)+--(N717&gt;=10)+--(O717&gt;=10))</f>
        <v/>
      </c>
      <c r="BE717" s="5" t="str">
        <f aca="false">IF($B717="","",--(AND(F717&lt;&gt;"",F717&lt;=8))+--(AND(G717&lt;&gt;"",G717&lt;=8))+--(AND(H717&lt;&gt;"",H717&lt;=8))+--(AND(I717&lt;&gt;"",I717&lt;=8))+--(AND(J717&lt;&gt;"",J717&lt;=8))+--(AND(K717&lt;&gt;"",K717&lt;=8))+--(AND(L717&lt;&gt;"",L717&lt;=8))+--(AND(M717&lt;&gt;"",M717&lt;=8))+--(AND(N717&lt;&gt;"",N717&lt;=8))+--(AND(O717&lt;&gt;"",O717&lt;=8)))</f>
        <v/>
      </c>
    </row>
    <row r="718" customFormat="false" ht="15" hidden="false" customHeight="false" outlineLevel="0" collapsed="false">
      <c r="AZ718" s="5" t="str">
        <f aca="false">IF($B718="","",SUMPRODUCT(($AL718:$AO718&lt;&gt;"")*(COUNTIF($AP718:$AX718,$AL718:$AO718)&gt;0)))</f>
        <v/>
      </c>
      <c r="BA718" s="5" t="str">
        <f aca="false">IF($B718="","",IF(AZ718&gt;0,1,0))</f>
        <v/>
      </c>
      <c r="BB718" s="5" t="str">
        <f aca="false">IF($AP718="","",IF((($AP718="Engineering and Technology")+($AP718="Science and Mathematics")+($AP718="Computer Science, IT and Allied Fields")+($AP718="Life Sciences /Medicine and Healthcare")+($AP718="Paramedical")+($AP718="Architecture")+($AP718="Environmental Service")+($AP718="Agriculture, Food Industry and Forestry"))&gt;0,"Science",IF((($AP718="Banking and Finance")+($AP718="Management and Administration")+($AP718="Marketing")+($AP718="Sales")+($AP718="Entrepreneurship")+($AP718="Hospitality and Tourism"))&gt;0,"Commerce",IF((($AP718="Social Sciences and Humanities")+($AP718="Law Studies")+($AP718="Education and Training")+($AP718="Art, Design")+($AP718="Entertainment and Mass Media")+($AP718="Community and Social Service")+($AP718="Personal Care and Services")+($AP718="Government and Public Administration")+($AP718="Defence/ Protective Service")+($AP718="Sports"))&gt;0,"Arts / Humanities",""))))</f>
        <v/>
      </c>
      <c r="BC718" s="5" t="str">
        <f aca="false">IF($AL718="","",IF((($AL718="Engineering and Technology")+($AL718="Science and Mathematics")+($AL718="Computer Science, IT and Allied Fields")+($AL718="Life Sciences /Medicine and Healthcare")+($AL718="Paramedical")+($AL718="Architecture")+($AL718="Environmental Service")+($AL718="Agriculture, Food Industry and Forestry"))&gt;0,"Science",IF((($AL718="Banking and Finance")+($AL718="Management and Administration")+($AL718="Marketing")+($AL718="Sales")+($AL718="Entrepreneurship")+($AL718="Hospitality and Tourism"))&gt;0,"Commerce",IF((($AL718="Social Sciences and Humanities")+($AL718="Law Studies")+($AL718="Education and Training")+($AL718="Art, Design")+($AL718="Entertainment and Mass Media")+($AL718="Community and Social Service")+($AL718="Personal Care and Services")+($AL718="Government and Public Administration")+($AL718="Defence/ Protective Service")+($AL718="Sports"))&gt;0,"Arts / Humanities",""))))</f>
        <v/>
      </c>
      <c r="BD718" s="5" t="str">
        <f aca="false">IF($B718="","",--(F718&gt;=10)+--(G718&gt;=10)+--(H718&gt;=10)+--(I718&gt;=10)+--(J718&gt;=10)+--(K718&gt;=10)+--(L718&gt;=10)+--(M718&gt;=10)+--(N718&gt;=10)+--(O718&gt;=10))</f>
        <v/>
      </c>
      <c r="BE718" s="5" t="str">
        <f aca="false">IF($B718="","",--(AND(F718&lt;&gt;"",F718&lt;=8))+--(AND(G718&lt;&gt;"",G718&lt;=8))+--(AND(H718&lt;&gt;"",H718&lt;=8))+--(AND(I718&lt;&gt;"",I718&lt;=8))+--(AND(J718&lt;&gt;"",J718&lt;=8))+--(AND(K718&lt;&gt;"",K718&lt;=8))+--(AND(L718&lt;&gt;"",L718&lt;=8))+--(AND(M718&lt;&gt;"",M718&lt;=8))+--(AND(N718&lt;&gt;"",N718&lt;=8))+--(AND(O718&lt;&gt;"",O718&lt;=8)))</f>
        <v/>
      </c>
    </row>
    <row r="719" customFormat="false" ht="15" hidden="false" customHeight="false" outlineLevel="0" collapsed="false">
      <c r="AZ719" s="5" t="str">
        <f aca="false">IF($B719="","",SUMPRODUCT(($AL719:$AO719&lt;&gt;"")*(COUNTIF($AP719:$AX719,$AL719:$AO719)&gt;0)))</f>
        <v/>
      </c>
      <c r="BA719" s="5" t="str">
        <f aca="false">IF($B719="","",IF(AZ719&gt;0,1,0))</f>
        <v/>
      </c>
      <c r="BB719" s="5" t="str">
        <f aca="false">IF($AP719="","",IF((($AP719="Engineering and Technology")+($AP719="Science and Mathematics")+($AP719="Computer Science, IT and Allied Fields")+($AP719="Life Sciences /Medicine and Healthcare")+($AP719="Paramedical")+($AP719="Architecture")+($AP719="Environmental Service")+($AP719="Agriculture, Food Industry and Forestry"))&gt;0,"Science",IF((($AP719="Banking and Finance")+($AP719="Management and Administration")+($AP719="Marketing")+($AP719="Sales")+($AP719="Entrepreneurship")+($AP719="Hospitality and Tourism"))&gt;0,"Commerce",IF((($AP719="Social Sciences and Humanities")+($AP719="Law Studies")+($AP719="Education and Training")+($AP719="Art, Design")+($AP719="Entertainment and Mass Media")+($AP719="Community and Social Service")+($AP719="Personal Care and Services")+($AP719="Government and Public Administration")+($AP719="Defence/ Protective Service")+($AP719="Sports"))&gt;0,"Arts / Humanities",""))))</f>
        <v/>
      </c>
      <c r="BC719" s="5" t="str">
        <f aca="false">IF($AL719="","",IF((($AL719="Engineering and Technology")+($AL719="Science and Mathematics")+($AL719="Computer Science, IT and Allied Fields")+($AL719="Life Sciences /Medicine and Healthcare")+($AL719="Paramedical")+($AL719="Architecture")+($AL719="Environmental Service")+($AL719="Agriculture, Food Industry and Forestry"))&gt;0,"Science",IF((($AL719="Banking and Finance")+($AL719="Management and Administration")+($AL719="Marketing")+($AL719="Sales")+($AL719="Entrepreneurship")+($AL719="Hospitality and Tourism"))&gt;0,"Commerce",IF((($AL719="Social Sciences and Humanities")+($AL719="Law Studies")+($AL719="Education and Training")+($AL719="Art, Design")+($AL719="Entertainment and Mass Media")+($AL719="Community and Social Service")+($AL719="Personal Care and Services")+($AL719="Government and Public Administration")+($AL719="Defence/ Protective Service")+($AL719="Sports"))&gt;0,"Arts / Humanities",""))))</f>
        <v/>
      </c>
      <c r="BD719" s="5" t="str">
        <f aca="false">IF($B719="","",--(F719&gt;=10)+--(G719&gt;=10)+--(H719&gt;=10)+--(I719&gt;=10)+--(J719&gt;=10)+--(K719&gt;=10)+--(L719&gt;=10)+--(M719&gt;=10)+--(N719&gt;=10)+--(O719&gt;=10))</f>
        <v/>
      </c>
      <c r="BE719" s="5" t="str">
        <f aca="false">IF($B719="","",--(AND(F719&lt;&gt;"",F719&lt;=8))+--(AND(G719&lt;&gt;"",G719&lt;=8))+--(AND(H719&lt;&gt;"",H719&lt;=8))+--(AND(I719&lt;&gt;"",I719&lt;=8))+--(AND(J719&lt;&gt;"",J719&lt;=8))+--(AND(K719&lt;&gt;"",K719&lt;=8))+--(AND(L719&lt;&gt;"",L719&lt;=8))+--(AND(M719&lt;&gt;"",M719&lt;=8))+--(AND(N719&lt;&gt;"",N719&lt;=8))+--(AND(O719&lt;&gt;"",O719&lt;=8)))</f>
        <v/>
      </c>
    </row>
    <row r="720" customFormat="false" ht="15" hidden="false" customHeight="false" outlineLevel="0" collapsed="false">
      <c r="AZ720" s="5" t="str">
        <f aca="false">IF($B720="","",SUMPRODUCT(($AL720:$AO720&lt;&gt;"")*(COUNTIF($AP720:$AX720,$AL720:$AO720)&gt;0)))</f>
        <v/>
      </c>
      <c r="BA720" s="5" t="str">
        <f aca="false">IF($B720="","",IF(AZ720&gt;0,1,0))</f>
        <v/>
      </c>
      <c r="BB720" s="5" t="str">
        <f aca="false">IF($AP720="","",IF((($AP720="Engineering and Technology")+($AP720="Science and Mathematics")+($AP720="Computer Science, IT and Allied Fields")+($AP720="Life Sciences /Medicine and Healthcare")+($AP720="Paramedical")+($AP720="Architecture")+($AP720="Environmental Service")+($AP720="Agriculture, Food Industry and Forestry"))&gt;0,"Science",IF((($AP720="Banking and Finance")+($AP720="Management and Administration")+($AP720="Marketing")+($AP720="Sales")+($AP720="Entrepreneurship")+($AP720="Hospitality and Tourism"))&gt;0,"Commerce",IF((($AP720="Social Sciences and Humanities")+($AP720="Law Studies")+($AP720="Education and Training")+($AP720="Art, Design")+($AP720="Entertainment and Mass Media")+($AP720="Community and Social Service")+($AP720="Personal Care and Services")+($AP720="Government and Public Administration")+($AP720="Defence/ Protective Service")+($AP720="Sports"))&gt;0,"Arts / Humanities",""))))</f>
        <v/>
      </c>
      <c r="BC720" s="5" t="str">
        <f aca="false">IF($AL720="","",IF((($AL720="Engineering and Technology")+($AL720="Science and Mathematics")+($AL720="Computer Science, IT and Allied Fields")+($AL720="Life Sciences /Medicine and Healthcare")+($AL720="Paramedical")+($AL720="Architecture")+($AL720="Environmental Service")+($AL720="Agriculture, Food Industry and Forestry"))&gt;0,"Science",IF((($AL720="Banking and Finance")+($AL720="Management and Administration")+($AL720="Marketing")+($AL720="Sales")+($AL720="Entrepreneurship")+($AL720="Hospitality and Tourism"))&gt;0,"Commerce",IF((($AL720="Social Sciences and Humanities")+($AL720="Law Studies")+($AL720="Education and Training")+($AL720="Art, Design")+($AL720="Entertainment and Mass Media")+($AL720="Community and Social Service")+($AL720="Personal Care and Services")+($AL720="Government and Public Administration")+($AL720="Defence/ Protective Service")+($AL720="Sports"))&gt;0,"Arts / Humanities",""))))</f>
        <v/>
      </c>
      <c r="BD720" s="5" t="str">
        <f aca="false">IF($B720="","",--(F720&gt;=10)+--(G720&gt;=10)+--(H720&gt;=10)+--(I720&gt;=10)+--(J720&gt;=10)+--(K720&gt;=10)+--(L720&gt;=10)+--(M720&gt;=10)+--(N720&gt;=10)+--(O720&gt;=10))</f>
        <v/>
      </c>
      <c r="BE720" s="5" t="str">
        <f aca="false">IF($B720="","",--(AND(F720&lt;&gt;"",F720&lt;=8))+--(AND(G720&lt;&gt;"",G720&lt;=8))+--(AND(H720&lt;&gt;"",H720&lt;=8))+--(AND(I720&lt;&gt;"",I720&lt;=8))+--(AND(J720&lt;&gt;"",J720&lt;=8))+--(AND(K720&lt;&gt;"",K720&lt;=8))+--(AND(L720&lt;&gt;"",L720&lt;=8))+--(AND(M720&lt;&gt;"",M720&lt;=8))+--(AND(N720&lt;&gt;"",N720&lt;=8))+--(AND(O720&lt;&gt;"",O720&lt;=8)))</f>
        <v/>
      </c>
    </row>
    <row r="721" customFormat="false" ht="15" hidden="false" customHeight="false" outlineLevel="0" collapsed="false">
      <c r="AZ721" s="5" t="str">
        <f aca="false">IF($B721="","",SUMPRODUCT(($AL721:$AO721&lt;&gt;"")*(COUNTIF($AP721:$AX721,$AL721:$AO721)&gt;0)))</f>
        <v/>
      </c>
      <c r="BA721" s="5" t="str">
        <f aca="false">IF($B721="","",IF(AZ721&gt;0,1,0))</f>
        <v/>
      </c>
      <c r="BB721" s="5" t="str">
        <f aca="false">IF($AP721="","",IF((($AP721="Engineering and Technology")+($AP721="Science and Mathematics")+($AP721="Computer Science, IT and Allied Fields")+($AP721="Life Sciences /Medicine and Healthcare")+($AP721="Paramedical")+($AP721="Architecture")+($AP721="Environmental Service")+($AP721="Agriculture, Food Industry and Forestry"))&gt;0,"Science",IF((($AP721="Banking and Finance")+($AP721="Management and Administration")+($AP721="Marketing")+($AP721="Sales")+($AP721="Entrepreneurship")+($AP721="Hospitality and Tourism"))&gt;0,"Commerce",IF((($AP721="Social Sciences and Humanities")+($AP721="Law Studies")+($AP721="Education and Training")+($AP721="Art, Design")+($AP721="Entertainment and Mass Media")+($AP721="Community and Social Service")+($AP721="Personal Care and Services")+($AP721="Government and Public Administration")+($AP721="Defence/ Protective Service")+($AP721="Sports"))&gt;0,"Arts / Humanities",""))))</f>
        <v/>
      </c>
      <c r="BC721" s="5" t="str">
        <f aca="false">IF($AL721="","",IF((($AL721="Engineering and Technology")+($AL721="Science and Mathematics")+($AL721="Computer Science, IT and Allied Fields")+($AL721="Life Sciences /Medicine and Healthcare")+($AL721="Paramedical")+($AL721="Architecture")+($AL721="Environmental Service")+($AL721="Agriculture, Food Industry and Forestry"))&gt;0,"Science",IF((($AL721="Banking and Finance")+($AL721="Management and Administration")+($AL721="Marketing")+($AL721="Sales")+($AL721="Entrepreneurship")+($AL721="Hospitality and Tourism"))&gt;0,"Commerce",IF((($AL721="Social Sciences and Humanities")+($AL721="Law Studies")+($AL721="Education and Training")+($AL721="Art, Design")+($AL721="Entertainment and Mass Media")+($AL721="Community and Social Service")+($AL721="Personal Care and Services")+($AL721="Government and Public Administration")+($AL721="Defence/ Protective Service")+($AL721="Sports"))&gt;0,"Arts / Humanities",""))))</f>
        <v/>
      </c>
      <c r="BD721" s="5" t="str">
        <f aca="false">IF($B721="","",--(F721&gt;=10)+--(G721&gt;=10)+--(H721&gt;=10)+--(I721&gt;=10)+--(J721&gt;=10)+--(K721&gt;=10)+--(L721&gt;=10)+--(M721&gt;=10)+--(N721&gt;=10)+--(O721&gt;=10))</f>
        <v/>
      </c>
      <c r="BE721" s="5" t="str">
        <f aca="false">IF($B721="","",--(AND(F721&lt;&gt;"",F721&lt;=8))+--(AND(G721&lt;&gt;"",G721&lt;=8))+--(AND(H721&lt;&gt;"",H721&lt;=8))+--(AND(I721&lt;&gt;"",I721&lt;=8))+--(AND(J721&lt;&gt;"",J721&lt;=8))+--(AND(K721&lt;&gt;"",K721&lt;=8))+--(AND(L721&lt;&gt;"",L721&lt;=8))+--(AND(M721&lt;&gt;"",M721&lt;=8))+--(AND(N721&lt;&gt;"",N721&lt;=8))+--(AND(O721&lt;&gt;"",O721&lt;=8)))</f>
        <v/>
      </c>
    </row>
    <row r="722" customFormat="false" ht="15" hidden="false" customHeight="false" outlineLevel="0" collapsed="false">
      <c r="AZ722" s="5" t="str">
        <f aca="false">IF($B722="","",SUMPRODUCT(($AL722:$AO722&lt;&gt;"")*(COUNTIF($AP722:$AX722,$AL722:$AO722)&gt;0)))</f>
        <v/>
      </c>
      <c r="BA722" s="5" t="str">
        <f aca="false">IF($B722="","",IF(AZ722&gt;0,1,0))</f>
        <v/>
      </c>
      <c r="BB722" s="5" t="str">
        <f aca="false">IF($AP722="","",IF((($AP722="Engineering and Technology")+($AP722="Science and Mathematics")+($AP722="Computer Science, IT and Allied Fields")+($AP722="Life Sciences /Medicine and Healthcare")+($AP722="Paramedical")+($AP722="Architecture")+($AP722="Environmental Service")+($AP722="Agriculture, Food Industry and Forestry"))&gt;0,"Science",IF((($AP722="Banking and Finance")+($AP722="Management and Administration")+($AP722="Marketing")+($AP722="Sales")+($AP722="Entrepreneurship")+($AP722="Hospitality and Tourism"))&gt;0,"Commerce",IF((($AP722="Social Sciences and Humanities")+($AP722="Law Studies")+($AP722="Education and Training")+($AP722="Art, Design")+($AP722="Entertainment and Mass Media")+($AP722="Community and Social Service")+($AP722="Personal Care and Services")+($AP722="Government and Public Administration")+($AP722="Defence/ Protective Service")+($AP722="Sports"))&gt;0,"Arts / Humanities",""))))</f>
        <v/>
      </c>
      <c r="BC722" s="5" t="str">
        <f aca="false">IF($AL722="","",IF((($AL722="Engineering and Technology")+($AL722="Science and Mathematics")+($AL722="Computer Science, IT and Allied Fields")+($AL722="Life Sciences /Medicine and Healthcare")+($AL722="Paramedical")+($AL722="Architecture")+($AL722="Environmental Service")+($AL722="Agriculture, Food Industry and Forestry"))&gt;0,"Science",IF((($AL722="Banking and Finance")+($AL722="Management and Administration")+($AL722="Marketing")+($AL722="Sales")+($AL722="Entrepreneurship")+($AL722="Hospitality and Tourism"))&gt;0,"Commerce",IF((($AL722="Social Sciences and Humanities")+($AL722="Law Studies")+($AL722="Education and Training")+($AL722="Art, Design")+($AL722="Entertainment and Mass Media")+($AL722="Community and Social Service")+($AL722="Personal Care and Services")+($AL722="Government and Public Administration")+($AL722="Defence/ Protective Service")+($AL722="Sports"))&gt;0,"Arts / Humanities",""))))</f>
        <v/>
      </c>
      <c r="BD722" s="5" t="str">
        <f aca="false">IF($B722="","",--(F722&gt;=10)+--(G722&gt;=10)+--(H722&gt;=10)+--(I722&gt;=10)+--(J722&gt;=10)+--(K722&gt;=10)+--(L722&gt;=10)+--(M722&gt;=10)+--(N722&gt;=10)+--(O722&gt;=10))</f>
        <v/>
      </c>
      <c r="BE722" s="5" t="str">
        <f aca="false">IF($B722="","",--(AND(F722&lt;&gt;"",F722&lt;=8))+--(AND(G722&lt;&gt;"",G722&lt;=8))+--(AND(H722&lt;&gt;"",H722&lt;=8))+--(AND(I722&lt;&gt;"",I722&lt;=8))+--(AND(J722&lt;&gt;"",J722&lt;=8))+--(AND(K722&lt;&gt;"",K722&lt;=8))+--(AND(L722&lt;&gt;"",L722&lt;=8))+--(AND(M722&lt;&gt;"",M722&lt;=8))+--(AND(N722&lt;&gt;"",N722&lt;=8))+--(AND(O722&lt;&gt;"",O722&lt;=8)))</f>
        <v/>
      </c>
    </row>
    <row r="723" customFormat="false" ht="15" hidden="false" customHeight="false" outlineLevel="0" collapsed="false">
      <c r="AZ723" s="5" t="str">
        <f aca="false">IF($B723="","",SUMPRODUCT(($AL723:$AO723&lt;&gt;"")*(COUNTIF($AP723:$AX723,$AL723:$AO723)&gt;0)))</f>
        <v/>
      </c>
      <c r="BA723" s="5" t="str">
        <f aca="false">IF($B723="","",IF(AZ723&gt;0,1,0))</f>
        <v/>
      </c>
      <c r="BB723" s="5" t="str">
        <f aca="false">IF($AP723="","",IF((($AP723="Engineering and Technology")+($AP723="Science and Mathematics")+($AP723="Computer Science, IT and Allied Fields")+($AP723="Life Sciences /Medicine and Healthcare")+($AP723="Paramedical")+($AP723="Architecture")+($AP723="Environmental Service")+($AP723="Agriculture, Food Industry and Forestry"))&gt;0,"Science",IF((($AP723="Banking and Finance")+($AP723="Management and Administration")+($AP723="Marketing")+($AP723="Sales")+($AP723="Entrepreneurship")+($AP723="Hospitality and Tourism"))&gt;0,"Commerce",IF((($AP723="Social Sciences and Humanities")+($AP723="Law Studies")+($AP723="Education and Training")+($AP723="Art, Design")+($AP723="Entertainment and Mass Media")+($AP723="Community and Social Service")+($AP723="Personal Care and Services")+($AP723="Government and Public Administration")+($AP723="Defence/ Protective Service")+($AP723="Sports"))&gt;0,"Arts / Humanities",""))))</f>
        <v/>
      </c>
      <c r="BC723" s="5" t="str">
        <f aca="false">IF($AL723="","",IF((($AL723="Engineering and Technology")+($AL723="Science and Mathematics")+($AL723="Computer Science, IT and Allied Fields")+($AL723="Life Sciences /Medicine and Healthcare")+($AL723="Paramedical")+($AL723="Architecture")+($AL723="Environmental Service")+($AL723="Agriculture, Food Industry and Forestry"))&gt;0,"Science",IF((($AL723="Banking and Finance")+($AL723="Management and Administration")+($AL723="Marketing")+($AL723="Sales")+($AL723="Entrepreneurship")+($AL723="Hospitality and Tourism"))&gt;0,"Commerce",IF((($AL723="Social Sciences and Humanities")+($AL723="Law Studies")+($AL723="Education and Training")+($AL723="Art, Design")+($AL723="Entertainment and Mass Media")+($AL723="Community and Social Service")+($AL723="Personal Care and Services")+($AL723="Government and Public Administration")+($AL723="Defence/ Protective Service")+($AL723="Sports"))&gt;0,"Arts / Humanities",""))))</f>
        <v/>
      </c>
      <c r="BD723" s="5" t="str">
        <f aca="false">IF($B723="","",--(F723&gt;=10)+--(G723&gt;=10)+--(H723&gt;=10)+--(I723&gt;=10)+--(J723&gt;=10)+--(K723&gt;=10)+--(L723&gt;=10)+--(M723&gt;=10)+--(N723&gt;=10)+--(O723&gt;=10))</f>
        <v/>
      </c>
      <c r="BE723" s="5" t="str">
        <f aca="false">IF($B723="","",--(AND(F723&lt;&gt;"",F723&lt;=8))+--(AND(G723&lt;&gt;"",G723&lt;=8))+--(AND(H723&lt;&gt;"",H723&lt;=8))+--(AND(I723&lt;&gt;"",I723&lt;=8))+--(AND(J723&lt;&gt;"",J723&lt;=8))+--(AND(K723&lt;&gt;"",K723&lt;=8))+--(AND(L723&lt;&gt;"",L723&lt;=8))+--(AND(M723&lt;&gt;"",M723&lt;=8))+--(AND(N723&lt;&gt;"",N723&lt;=8))+--(AND(O723&lt;&gt;"",O723&lt;=8)))</f>
        <v/>
      </c>
    </row>
    <row r="724" customFormat="false" ht="15" hidden="false" customHeight="false" outlineLevel="0" collapsed="false">
      <c r="AZ724" s="5" t="str">
        <f aca="false">IF($B724="","",SUMPRODUCT(($AL724:$AO724&lt;&gt;"")*(COUNTIF($AP724:$AX724,$AL724:$AO724)&gt;0)))</f>
        <v/>
      </c>
      <c r="BA724" s="5" t="str">
        <f aca="false">IF($B724="","",IF(AZ724&gt;0,1,0))</f>
        <v/>
      </c>
      <c r="BB724" s="5" t="str">
        <f aca="false">IF($AP724="","",IF((($AP724="Engineering and Technology")+($AP724="Science and Mathematics")+($AP724="Computer Science, IT and Allied Fields")+($AP724="Life Sciences /Medicine and Healthcare")+($AP724="Paramedical")+($AP724="Architecture")+($AP724="Environmental Service")+($AP724="Agriculture, Food Industry and Forestry"))&gt;0,"Science",IF((($AP724="Banking and Finance")+($AP724="Management and Administration")+($AP724="Marketing")+($AP724="Sales")+($AP724="Entrepreneurship")+($AP724="Hospitality and Tourism"))&gt;0,"Commerce",IF((($AP724="Social Sciences and Humanities")+($AP724="Law Studies")+($AP724="Education and Training")+($AP724="Art, Design")+($AP724="Entertainment and Mass Media")+($AP724="Community and Social Service")+($AP724="Personal Care and Services")+($AP724="Government and Public Administration")+($AP724="Defence/ Protective Service")+($AP724="Sports"))&gt;0,"Arts / Humanities",""))))</f>
        <v/>
      </c>
      <c r="BC724" s="5" t="str">
        <f aca="false">IF($AL724="","",IF((($AL724="Engineering and Technology")+($AL724="Science and Mathematics")+($AL724="Computer Science, IT and Allied Fields")+($AL724="Life Sciences /Medicine and Healthcare")+($AL724="Paramedical")+($AL724="Architecture")+($AL724="Environmental Service")+($AL724="Agriculture, Food Industry and Forestry"))&gt;0,"Science",IF((($AL724="Banking and Finance")+($AL724="Management and Administration")+($AL724="Marketing")+($AL724="Sales")+($AL724="Entrepreneurship")+($AL724="Hospitality and Tourism"))&gt;0,"Commerce",IF((($AL724="Social Sciences and Humanities")+($AL724="Law Studies")+($AL724="Education and Training")+($AL724="Art, Design")+($AL724="Entertainment and Mass Media")+($AL724="Community and Social Service")+($AL724="Personal Care and Services")+($AL724="Government and Public Administration")+($AL724="Defence/ Protective Service")+($AL724="Sports"))&gt;0,"Arts / Humanities",""))))</f>
        <v/>
      </c>
      <c r="BD724" s="5" t="str">
        <f aca="false">IF($B724="","",--(F724&gt;=10)+--(G724&gt;=10)+--(H724&gt;=10)+--(I724&gt;=10)+--(J724&gt;=10)+--(K724&gt;=10)+--(L724&gt;=10)+--(M724&gt;=10)+--(N724&gt;=10)+--(O724&gt;=10))</f>
        <v/>
      </c>
      <c r="BE724" s="5" t="str">
        <f aca="false">IF($B724="","",--(AND(F724&lt;&gt;"",F724&lt;=8))+--(AND(G724&lt;&gt;"",G724&lt;=8))+--(AND(H724&lt;&gt;"",H724&lt;=8))+--(AND(I724&lt;&gt;"",I724&lt;=8))+--(AND(J724&lt;&gt;"",J724&lt;=8))+--(AND(K724&lt;&gt;"",K724&lt;=8))+--(AND(L724&lt;&gt;"",L724&lt;=8))+--(AND(M724&lt;&gt;"",M724&lt;=8))+--(AND(N724&lt;&gt;"",N724&lt;=8))+--(AND(O724&lt;&gt;"",O724&lt;=8)))</f>
        <v/>
      </c>
    </row>
    <row r="725" customFormat="false" ht="15" hidden="false" customHeight="false" outlineLevel="0" collapsed="false">
      <c r="AZ725" s="5" t="str">
        <f aca="false">IF($B725="","",SUMPRODUCT(($AL725:$AO725&lt;&gt;"")*(COUNTIF($AP725:$AX725,$AL725:$AO725)&gt;0)))</f>
        <v/>
      </c>
      <c r="BA725" s="5" t="str">
        <f aca="false">IF($B725="","",IF(AZ725&gt;0,1,0))</f>
        <v/>
      </c>
      <c r="BB725" s="5" t="str">
        <f aca="false">IF($AP725="","",IF((($AP725="Engineering and Technology")+($AP725="Science and Mathematics")+($AP725="Computer Science, IT and Allied Fields")+($AP725="Life Sciences /Medicine and Healthcare")+($AP725="Paramedical")+($AP725="Architecture")+($AP725="Environmental Service")+($AP725="Agriculture, Food Industry and Forestry"))&gt;0,"Science",IF((($AP725="Banking and Finance")+($AP725="Management and Administration")+($AP725="Marketing")+($AP725="Sales")+($AP725="Entrepreneurship")+($AP725="Hospitality and Tourism"))&gt;0,"Commerce",IF((($AP725="Social Sciences and Humanities")+($AP725="Law Studies")+($AP725="Education and Training")+($AP725="Art, Design")+($AP725="Entertainment and Mass Media")+($AP725="Community and Social Service")+($AP725="Personal Care and Services")+($AP725="Government and Public Administration")+($AP725="Defence/ Protective Service")+($AP725="Sports"))&gt;0,"Arts / Humanities",""))))</f>
        <v/>
      </c>
      <c r="BC725" s="5" t="str">
        <f aca="false">IF($AL725="","",IF((($AL725="Engineering and Technology")+($AL725="Science and Mathematics")+($AL725="Computer Science, IT and Allied Fields")+($AL725="Life Sciences /Medicine and Healthcare")+($AL725="Paramedical")+($AL725="Architecture")+($AL725="Environmental Service")+($AL725="Agriculture, Food Industry and Forestry"))&gt;0,"Science",IF((($AL725="Banking and Finance")+($AL725="Management and Administration")+($AL725="Marketing")+($AL725="Sales")+($AL725="Entrepreneurship")+($AL725="Hospitality and Tourism"))&gt;0,"Commerce",IF((($AL725="Social Sciences and Humanities")+($AL725="Law Studies")+($AL725="Education and Training")+($AL725="Art, Design")+($AL725="Entertainment and Mass Media")+($AL725="Community and Social Service")+($AL725="Personal Care and Services")+($AL725="Government and Public Administration")+($AL725="Defence/ Protective Service")+($AL725="Sports"))&gt;0,"Arts / Humanities",""))))</f>
        <v/>
      </c>
      <c r="BD725" s="5" t="str">
        <f aca="false">IF($B725="","",--(F725&gt;=10)+--(G725&gt;=10)+--(H725&gt;=10)+--(I725&gt;=10)+--(J725&gt;=10)+--(K725&gt;=10)+--(L725&gt;=10)+--(M725&gt;=10)+--(N725&gt;=10)+--(O725&gt;=10))</f>
        <v/>
      </c>
      <c r="BE725" s="5" t="str">
        <f aca="false">IF($B725="","",--(AND(F725&lt;&gt;"",F725&lt;=8))+--(AND(G725&lt;&gt;"",G725&lt;=8))+--(AND(H725&lt;&gt;"",H725&lt;=8))+--(AND(I725&lt;&gt;"",I725&lt;=8))+--(AND(J725&lt;&gt;"",J725&lt;=8))+--(AND(K725&lt;&gt;"",K725&lt;=8))+--(AND(L725&lt;&gt;"",L725&lt;=8))+--(AND(M725&lt;&gt;"",M725&lt;=8))+--(AND(N725&lt;&gt;"",N725&lt;=8))+--(AND(O725&lt;&gt;"",O725&lt;=8)))</f>
        <v/>
      </c>
    </row>
    <row r="726" customFormat="false" ht="15" hidden="false" customHeight="false" outlineLevel="0" collapsed="false">
      <c r="AZ726" s="5" t="str">
        <f aca="false">IF($B726="","",SUMPRODUCT(($AL726:$AO726&lt;&gt;"")*(COUNTIF($AP726:$AX726,$AL726:$AO726)&gt;0)))</f>
        <v/>
      </c>
      <c r="BA726" s="5" t="str">
        <f aca="false">IF($B726="","",IF(AZ726&gt;0,1,0))</f>
        <v/>
      </c>
      <c r="BB726" s="5" t="str">
        <f aca="false">IF($AP726="","",IF((($AP726="Engineering and Technology")+($AP726="Science and Mathematics")+($AP726="Computer Science, IT and Allied Fields")+($AP726="Life Sciences /Medicine and Healthcare")+($AP726="Paramedical")+($AP726="Architecture")+($AP726="Environmental Service")+($AP726="Agriculture, Food Industry and Forestry"))&gt;0,"Science",IF((($AP726="Banking and Finance")+($AP726="Management and Administration")+($AP726="Marketing")+($AP726="Sales")+($AP726="Entrepreneurship")+($AP726="Hospitality and Tourism"))&gt;0,"Commerce",IF((($AP726="Social Sciences and Humanities")+($AP726="Law Studies")+($AP726="Education and Training")+($AP726="Art, Design")+($AP726="Entertainment and Mass Media")+($AP726="Community and Social Service")+($AP726="Personal Care and Services")+($AP726="Government and Public Administration")+($AP726="Defence/ Protective Service")+($AP726="Sports"))&gt;0,"Arts / Humanities",""))))</f>
        <v/>
      </c>
      <c r="BC726" s="5" t="str">
        <f aca="false">IF($AL726="","",IF((($AL726="Engineering and Technology")+($AL726="Science and Mathematics")+($AL726="Computer Science, IT and Allied Fields")+($AL726="Life Sciences /Medicine and Healthcare")+($AL726="Paramedical")+($AL726="Architecture")+($AL726="Environmental Service")+($AL726="Agriculture, Food Industry and Forestry"))&gt;0,"Science",IF((($AL726="Banking and Finance")+($AL726="Management and Administration")+($AL726="Marketing")+($AL726="Sales")+($AL726="Entrepreneurship")+($AL726="Hospitality and Tourism"))&gt;0,"Commerce",IF((($AL726="Social Sciences and Humanities")+($AL726="Law Studies")+($AL726="Education and Training")+($AL726="Art, Design")+($AL726="Entertainment and Mass Media")+($AL726="Community and Social Service")+($AL726="Personal Care and Services")+($AL726="Government and Public Administration")+($AL726="Defence/ Protective Service")+($AL726="Sports"))&gt;0,"Arts / Humanities",""))))</f>
        <v/>
      </c>
      <c r="BD726" s="5" t="str">
        <f aca="false">IF($B726="","",--(F726&gt;=10)+--(G726&gt;=10)+--(H726&gt;=10)+--(I726&gt;=10)+--(J726&gt;=10)+--(K726&gt;=10)+--(L726&gt;=10)+--(M726&gt;=10)+--(N726&gt;=10)+--(O726&gt;=10))</f>
        <v/>
      </c>
      <c r="BE726" s="5" t="str">
        <f aca="false">IF($B726="","",--(AND(F726&lt;&gt;"",F726&lt;=8))+--(AND(G726&lt;&gt;"",G726&lt;=8))+--(AND(H726&lt;&gt;"",H726&lt;=8))+--(AND(I726&lt;&gt;"",I726&lt;=8))+--(AND(J726&lt;&gt;"",J726&lt;=8))+--(AND(K726&lt;&gt;"",K726&lt;=8))+--(AND(L726&lt;&gt;"",L726&lt;=8))+--(AND(M726&lt;&gt;"",M726&lt;=8))+--(AND(N726&lt;&gt;"",N726&lt;=8))+--(AND(O726&lt;&gt;"",O726&lt;=8)))</f>
        <v/>
      </c>
    </row>
    <row r="727" customFormat="false" ht="15" hidden="false" customHeight="false" outlineLevel="0" collapsed="false">
      <c r="AZ727" s="5" t="str">
        <f aca="false">IF($B727="","",SUMPRODUCT(($AL727:$AO727&lt;&gt;"")*(COUNTIF($AP727:$AX727,$AL727:$AO727)&gt;0)))</f>
        <v/>
      </c>
      <c r="BA727" s="5" t="str">
        <f aca="false">IF($B727="","",IF(AZ727&gt;0,1,0))</f>
        <v/>
      </c>
      <c r="BB727" s="5" t="str">
        <f aca="false">IF($AP727="","",IF((($AP727="Engineering and Technology")+($AP727="Science and Mathematics")+($AP727="Computer Science, IT and Allied Fields")+($AP727="Life Sciences /Medicine and Healthcare")+($AP727="Paramedical")+($AP727="Architecture")+($AP727="Environmental Service")+($AP727="Agriculture, Food Industry and Forestry"))&gt;0,"Science",IF((($AP727="Banking and Finance")+($AP727="Management and Administration")+($AP727="Marketing")+($AP727="Sales")+($AP727="Entrepreneurship")+($AP727="Hospitality and Tourism"))&gt;0,"Commerce",IF((($AP727="Social Sciences and Humanities")+($AP727="Law Studies")+($AP727="Education and Training")+($AP727="Art, Design")+($AP727="Entertainment and Mass Media")+($AP727="Community and Social Service")+($AP727="Personal Care and Services")+($AP727="Government and Public Administration")+($AP727="Defence/ Protective Service")+($AP727="Sports"))&gt;0,"Arts / Humanities",""))))</f>
        <v/>
      </c>
      <c r="BC727" s="5" t="str">
        <f aca="false">IF($AL727="","",IF((($AL727="Engineering and Technology")+($AL727="Science and Mathematics")+($AL727="Computer Science, IT and Allied Fields")+($AL727="Life Sciences /Medicine and Healthcare")+($AL727="Paramedical")+($AL727="Architecture")+($AL727="Environmental Service")+($AL727="Agriculture, Food Industry and Forestry"))&gt;0,"Science",IF((($AL727="Banking and Finance")+($AL727="Management and Administration")+($AL727="Marketing")+($AL727="Sales")+($AL727="Entrepreneurship")+($AL727="Hospitality and Tourism"))&gt;0,"Commerce",IF((($AL727="Social Sciences and Humanities")+($AL727="Law Studies")+($AL727="Education and Training")+($AL727="Art, Design")+($AL727="Entertainment and Mass Media")+($AL727="Community and Social Service")+($AL727="Personal Care and Services")+($AL727="Government and Public Administration")+($AL727="Defence/ Protective Service")+($AL727="Sports"))&gt;0,"Arts / Humanities",""))))</f>
        <v/>
      </c>
      <c r="BD727" s="5" t="str">
        <f aca="false">IF($B727="","",--(F727&gt;=10)+--(G727&gt;=10)+--(H727&gt;=10)+--(I727&gt;=10)+--(J727&gt;=10)+--(K727&gt;=10)+--(L727&gt;=10)+--(M727&gt;=10)+--(N727&gt;=10)+--(O727&gt;=10))</f>
        <v/>
      </c>
      <c r="BE727" s="5" t="str">
        <f aca="false">IF($B727="","",--(AND(F727&lt;&gt;"",F727&lt;=8))+--(AND(G727&lt;&gt;"",G727&lt;=8))+--(AND(H727&lt;&gt;"",H727&lt;=8))+--(AND(I727&lt;&gt;"",I727&lt;=8))+--(AND(J727&lt;&gt;"",J727&lt;=8))+--(AND(K727&lt;&gt;"",K727&lt;=8))+--(AND(L727&lt;&gt;"",L727&lt;=8))+--(AND(M727&lt;&gt;"",M727&lt;=8))+--(AND(N727&lt;&gt;"",N727&lt;=8))+--(AND(O727&lt;&gt;"",O727&lt;=8)))</f>
        <v/>
      </c>
    </row>
    <row r="728" customFormat="false" ht="15" hidden="false" customHeight="false" outlineLevel="0" collapsed="false">
      <c r="AZ728" s="5" t="str">
        <f aca="false">IF($B728="","",SUMPRODUCT(($AL728:$AO728&lt;&gt;"")*(COUNTIF($AP728:$AX728,$AL728:$AO728)&gt;0)))</f>
        <v/>
      </c>
      <c r="BA728" s="5" t="str">
        <f aca="false">IF($B728="","",IF(AZ728&gt;0,1,0))</f>
        <v/>
      </c>
      <c r="BB728" s="5" t="str">
        <f aca="false">IF($AP728="","",IF((($AP728="Engineering and Technology")+($AP728="Science and Mathematics")+($AP728="Computer Science, IT and Allied Fields")+($AP728="Life Sciences /Medicine and Healthcare")+($AP728="Paramedical")+($AP728="Architecture")+($AP728="Environmental Service")+($AP728="Agriculture, Food Industry and Forestry"))&gt;0,"Science",IF((($AP728="Banking and Finance")+($AP728="Management and Administration")+($AP728="Marketing")+($AP728="Sales")+($AP728="Entrepreneurship")+($AP728="Hospitality and Tourism"))&gt;0,"Commerce",IF((($AP728="Social Sciences and Humanities")+($AP728="Law Studies")+($AP728="Education and Training")+($AP728="Art, Design")+($AP728="Entertainment and Mass Media")+($AP728="Community and Social Service")+($AP728="Personal Care and Services")+($AP728="Government and Public Administration")+($AP728="Defence/ Protective Service")+($AP728="Sports"))&gt;0,"Arts / Humanities",""))))</f>
        <v/>
      </c>
      <c r="BC728" s="5" t="str">
        <f aca="false">IF($AL728="","",IF((($AL728="Engineering and Technology")+($AL728="Science and Mathematics")+($AL728="Computer Science, IT and Allied Fields")+($AL728="Life Sciences /Medicine and Healthcare")+($AL728="Paramedical")+($AL728="Architecture")+($AL728="Environmental Service")+($AL728="Agriculture, Food Industry and Forestry"))&gt;0,"Science",IF((($AL728="Banking and Finance")+($AL728="Management and Administration")+($AL728="Marketing")+($AL728="Sales")+($AL728="Entrepreneurship")+($AL728="Hospitality and Tourism"))&gt;0,"Commerce",IF((($AL728="Social Sciences and Humanities")+($AL728="Law Studies")+($AL728="Education and Training")+($AL728="Art, Design")+($AL728="Entertainment and Mass Media")+($AL728="Community and Social Service")+($AL728="Personal Care and Services")+($AL728="Government and Public Administration")+($AL728="Defence/ Protective Service")+($AL728="Sports"))&gt;0,"Arts / Humanities",""))))</f>
        <v/>
      </c>
      <c r="BD728" s="5" t="str">
        <f aca="false">IF($B728="","",--(F728&gt;=10)+--(G728&gt;=10)+--(H728&gt;=10)+--(I728&gt;=10)+--(J728&gt;=10)+--(K728&gt;=10)+--(L728&gt;=10)+--(M728&gt;=10)+--(N728&gt;=10)+--(O728&gt;=10))</f>
        <v/>
      </c>
      <c r="BE728" s="5" t="str">
        <f aca="false">IF($B728="","",--(AND(F728&lt;&gt;"",F728&lt;=8))+--(AND(G728&lt;&gt;"",G728&lt;=8))+--(AND(H728&lt;&gt;"",H728&lt;=8))+--(AND(I728&lt;&gt;"",I728&lt;=8))+--(AND(J728&lt;&gt;"",J728&lt;=8))+--(AND(K728&lt;&gt;"",K728&lt;=8))+--(AND(L728&lt;&gt;"",L728&lt;=8))+--(AND(M728&lt;&gt;"",M728&lt;=8))+--(AND(N728&lt;&gt;"",N728&lt;=8))+--(AND(O728&lt;&gt;"",O728&lt;=8)))</f>
        <v/>
      </c>
    </row>
    <row r="729" customFormat="false" ht="15" hidden="false" customHeight="false" outlineLevel="0" collapsed="false">
      <c r="AZ729" s="5" t="str">
        <f aca="false">IF($B729="","",SUMPRODUCT(($AL729:$AO729&lt;&gt;"")*(COUNTIF($AP729:$AX729,$AL729:$AO729)&gt;0)))</f>
        <v/>
      </c>
      <c r="BA729" s="5" t="str">
        <f aca="false">IF($B729="","",IF(AZ729&gt;0,1,0))</f>
        <v/>
      </c>
      <c r="BB729" s="5" t="str">
        <f aca="false">IF($AP729="","",IF((($AP729="Engineering and Technology")+($AP729="Science and Mathematics")+($AP729="Computer Science, IT and Allied Fields")+($AP729="Life Sciences /Medicine and Healthcare")+($AP729="Paramedical")+($AP729="Architecture")+($AP729="Environmental Service")+($AP729="Agriculture, Food Industry and Forestry"))&gt;0,"Science",IF((($AP729="Banking and Finance")+($AP729="Management and Administration")+($AP729="Marketing")+($AP729="Sales")+($AP729="Entrepreneurship")+($AP729="Hospitality and Tourism"))&gt;0,"Commerce",IF((($AP729="Social Sciences and Humanities")+($AP729="Law Studies")+($AP729="Education and Training")+($AP729="Art, Design")+($AP729="Entertainment and Mass Media")+($AP729="Community and Social Service")+($AP729="Personal Care and Services")+($AP729="Government and Public Administration")+($AP729="Defence/ Protective Service")+($AP729="Sports"))&gt;0,"Arts / Humanities",""))))</f>
        <v/>
      </c>
      <c r="BC729" s="5" t="str">
        <f aca="false">IF($AL729="","",IF((($AL729="Engineering and Technology")+($AL729="Science and Mathematics")+($AL729="Computer Science, IT and Allied Fields")+($AL729="Life Sciences /Medicine and Healthcare")+($AL729="Paramedical")+($AL729="Architecture")+($AL729="Environmental Service")+($AL729="Agriculture, Food Industry and Forestry"))&gt;0,"Science",IF((($AL729="Banking and Finance")+($AL729="Management and Administration")+($AL729="Marketing")+($AL729="Sales")+($AL729="Entrepreneurship")+($AL729="Hospitality and Tourism"))&gt;0,"Commerce",IF((($AL729="Social Sciences and Humanities")+($AL729="Law Studies")+($AL729="Education and Training")+($AL729="Art, Design")+($AL729="Entertainment and Mass Media")+($AL729="Community and Social Service")+($AL729="Personal Care and Services")+($AL729="Government and Public Administration")+($AL729="Defence/ Protective Service")+($AL729="Sports"))&gt;0,"Arts / Humanities",""))))</f>
        <v/>
      </c>
      <c r="BD729" s="5" t="str">
        <f aca="false">IF($B729="","",--(F729&gt;=10)+--(G729&gt;=10)+--(H729&gt;=10)+--(I729&gt;=10)+--(J729&gt;=10)+--(K729&gt;=10)+--(L729&gt;=10)+--(M729&gt;=10)+--(N729&gt;=10)+--(O729&gt;=10))</f>
        <v/>
      </c>
      <c r="BE729" s="5" t="str">
        <f aca="false">IF($B729="","",--(AND(F729&lt;&gt;"",F729&lt;=8))+--(AND(G729&lt;&gt;"",G729&lt;=8))+--(AND(H729&lt;&gt;"",H729&lt;=8))+--(AND(I729&lt;&gt;"",I729&lt;=8))+--(AND(J729&lt;&gt;"",J729&lt;=8))+--(AND(K729&lt;&gt;"",K729&lt;=8))+--(AND(L729&lt;&gt;"",L729&lt;=8))+--(AND(M729&lt;&gt;"",M729&lt;=8))+--(AND(N729&lt;&gt;"",N729&lt;=8))+--(AND(O729&lt;&gt;"",O729&lt;=8)))</f>
        <v/>
      </c>
    </row>
    <row r="730" customFormat="false" ht="15" hidden="false" customHeight="false" outlineLevel="0" collapsed="false">
      <c r="AZ730" s="5" t="str">
        <f aca="false">IF($B730="","",SUMPRODUCT(($AL730:$AO730&lt;&gt;"")*(COUNTIF($AP730:$AX730,$AL730:$AO730)&gt;0)))</f>
        <v/>
      </c>
      <c r="BA730" s="5" t="str">
        <f aca="false">IF($B730="","",IF(AZ730&gt;0,1,0))</f>
        <v/>
      </c>
      <c r="BB730" s="5" t="str">
        <f aca="false">IF($AP730="","",IF((($AP730="Engineering and Technology")+($AP730="Science and Mathematics")+($AP730="Computer Science, IT and Allied Fields")+($AP730="Life Sciences /Medicine and Healthcare")+($AP730="Paramedical")+($AP730="Architecture")+($AP730="Environmental Service")+($AP730="Agriculture, Food Industry and Forestry"))&gt;0,"Science",IF((($AP730="Banking and Finance")+($AP730="Management and Administration")+($AP730="Marketing")+($AP730="Sales")+($AP730="Entrepreneurship")+($AP730="Hospitality and Tourism"))&gt;0,"Commerce",IF((($AP730="Social Sciences and Humanities")+($AP730="Law Studies")+($AP730="Education and Training")+($AP730="Art, Design")+($AP730="Entertainment and Mass Media")+($AP730="Community and Social Service")+($AP730="Personal Care and Services")+($AP730="Government and Public Administration")+($AP730="Defence/ Protective Service")+($AP730="Sports"))&gt;0,"Arts / Humanities",""))))</f>
        <v/>
      </c>
      <c r="BC730" s="5" t="str">
        <f aca="false">IF($AL730="","",IF((($AL730="Engineering and Technology")+($AL730="Science and Mathematics")+($AL730="Computer Science, IT and Allied Fields")+($AL730="Life Sciences /Medicine and Healthcare")+($AL730="Paramedical")+($AL730="Architecture")+($AL730="Environmental Service")+($AL730="Agriculture, Food Industry and Forestry"))&gt;0,"Science",IF((($AL730="Banking and Finance")+($AL730="Management and Administration")+($AL730="Marketing")+($AL730="Sales")+($AL730="Entrepreneurship")+($AL730="Hospitality and Tourism"))&gt;0,"Commerce",IF((($AL730="Social Sciences and Humanities")+($AL730="Law Studies")+($AL730="Education and Training")+($AL730="Art, Design")+($AL730="Entertainment and Mass Media")+($AL730="Community and Social Service")+($AL730="Personal Care and Services")+($AL730="Government and Public Administration")+($AL730="Defence/ Protective Service")+($AL730="Sports"))&gt;0,"Arts / Humanities",""))))</f>
        <v/>
      </c>
      <c r="BD730" s="5" t="str">
        <f aca="false">IF($B730="","",--(F730&gt;=10)+--(G730&gt;=10)+--(H730&gt;=10)+--(I730&gt;=10)+--(J730&gt;=10)+--(K730&gt;=10)+--(L730&gt;=10)+--(M730&gt;=10)+--(N730&gt;=10)+--(O730&gt;=10))</f>
        <v/>
      </c>
      <c r="BE730" s="5" t="str">
        <f aca="false">IF($B730="","",--(AND(F730&lt;&gt;"",F730&lt;=8))+--(AND(G730&lt;&gt;"",G730&lt;=8))+--(AND(H730&lt;&gt;"",H730&lt;=8))+--(AND(I730&lt;&gt;"",I730&lt;=8))+--(AND(J730&lt;&gt;"",J730&lt;=8))+--(AND(K730&lt;&gt;"",K730&lt;=8))+--(AND(L730&lt;&gt;"",L730&lt;=8))+--(AND(M730&lt;&gt;"",M730&lt;=8))+--(AND(N730&lt;&gt;"",N730&lt;=8))+--(AND(O730&lt;&gt;"",O730&lt;=8)))</f>
        <v/>
      </c>
    </row>
    <row r="731" customFormat="false" ht="15" hidden="false" customHeight="false" outlineLevel="0" collapsed="false">
      <c r="AZ731" s="5" t="str">
        <f aca="false">IF($B731="","",SUMPRODUCT(($AL731:$AO731&lt;&gt;"")*(COUNTIF($AP731:$AX731,$AL731:$AO731)&gt;0)))</f>
        <v/>
      </c>
      <c r="BA731" s="5" t="str">
        <f aca="false">IF($B731="","",IF(AZ731&gt;0,1,0))</f>
        <v/>
      </c>
      <c r="BB731" s="5" t="str">
        <f aca="false">IF($AP731="","",IF((($AP731="Engineering and Technology")+($AP731="Science and Mathematics")+($AP731="Computer Science, IT and Allied Fields")+($AP731="Life Sciences /Medicine and Healthcare")+($AP731="Paramedical")+($AP731="Architecture")+($AP731="Environmental Service")+($AP731="Agriculture, Food Industry and Forestry"))&gt;0,"Science",IF((($AP731="Banking and Finance")+($AP731="Management and Administration")+($AP731="Marketing")+($AP731="Sales")+($AP731="Entrepreneurship")+($AP731="Hospitality and Tourism"))&gt;0,"Commerce",IF((($AP731="Social Sciences and Humanities")+($AP731="Law Studies")+($AP731="Education and Training")+($AP731="Art, Design")+($AP731="Entertainment and Mass Media")+($AP731="Community and Social Service")+($AP731="Personal Care and Services")+($AP731="Government and Public Administration")+($AP731="Defence/ Protective Service")+($AP731="Sports"))&gt;0,"Arts / Humanities",""))))</f>
        <v/>
      </c>
      <c r="BC731" s="5" t="str">
        <f aca="false">IF($AL731="","",IF((($AL731="Engineering and Technology")+($AL731="Science and Mathematics")+($AL731="Computer Science, IT and Allied Fields")+($AL731="Life Sciences /Medicine and Healthcare")+($AL731="Paramedical")+($AL731="Architecture")+($AL731="Environmental Service")+($AL731="Agriculture, Food Industry and Forestry"))&gt;0,"Science",IF((($AL731="Banking and Finance")+($AL731="Management and Administration")+($AL731="Marketing")+($AL731="Sales")+($AL731="Entrepreneurship")+($AL731="Hospitality and Tourism"))&gt;0,"Commerce",IF((($AL731="Social Sciences and Humanities")+($AL731="Law Studies")+($AL731="Education and Training")+($AL731="Art, Design")+($AL731="Entertainment and Mass Media")+($AL731="Community and Social Service")+($AL731="Personal Care and Services")+($AL731="Government and Public Administration")+($AL731="Defence/ Protective Service")+($AL731="Sports"))&gt;0,"Arts / Humanities",""))))</f>
        <v/>
      </c>
      <c r="BD731" s="5" t="str">
        <f aca="false">IF($B731="","",--(F731&gt;=10)+--(G731&gt;=10)+--(H731&gt;=10)+--(I731&gt;=10)+--(J731&gt;=10)+--(K731&gt;=10)+--(L731&gt;=10)+--(M731&gt;=10)+--(N731&gt;=10)+--(O731&gt;=10))</f>
        <v/>
      </c>
      <c r="BE731" s="5" t="str">
        <f aca="false">IF($B731="","",--(AND(F731&lt;&gt;"",F731&lt;=8))+--(AND(G731&lt;&gt;"",G731&lt;=8))+--(AND(H731&lt;&gt;"",H731&lt;=8))+--(AND(I731&lt;&gt;"",I731&lt;=8))+--(AND(J731&lt;&gt;"",J731&lt;=8))+--(AND(K731&lt;&gt;"",K731&lt;=8))+--(AND(L731&lt;&gt;"",L731&lt;=8))+--(AND(M731&lt;&gt;"",M731&lt;=8))+--(AND(N731&lt;&gt;"",N731&lt;=8))+--(AND(O731&lt;&gt;"",O731&lt;=8)))</f>
        <v/>
      </c>
    </row>
    <row r="732" customFormat="false" ht="15" hidden="false" customHeight="false" outlineLevel="0" collapsed="false">
      <c r="AZ732" s="5" t="str">
        <f aca="false">IF($B732="","",SUMPRODUCT(($AL732:$AO732&lt;&gt;"")*(COUNTIF($AP732:$AX732,$AL732:$AO732)&gt;0)))</f>
        <v/>
      </c>
      <c r="BA732" s="5" t="str">
        <f aca="false">IF($B732="","",IF(AZ732&gt;0,1,0))</f>
        <v/>
      </c>
      <c r="BB732" s="5" t="str">
        <f aca="false">IF($AP732="","",IF((($AP732="Engineering and Technology")+($AP732="Science and Mathematics")+($AP732="Computer Science, IT and Allied Fields")+($AP732="Life Sciences /Medicine and Healthcare")+($AP732="Paramedical")+($AP732="Architecture")+($AP732="Environmental Service")+($AP732="Agriculture, Food Industry and Forestry"))&gt;0,"Science",IF((($AP732="Banking and Finance")+($AP732="Management and Administration")+($AP732="Marketing")+($AP732="Sales")+($AP732="Entrepreneurship")+($AP732="Hospitality and Tourism"))&gt;0,"Commerce",IF((($AP732="Social Sciences and Humanities")+($AP732="Law Studies")+($AP732="Education and Training")+($AP732="Art, Design")+($AP732="Entertainment and Mass Media")+($AP732="Community and Social Service")+($AP732="Personal Care and Services")+($AP732="Government and Public Administration")+($AP732="Defence/ Protective Service")+($AP732="Sports"))&gt;0,"Arts / Humanities",""))))</f>
        <v/>
      </c>
      <c r="BC732" s="5" t="str">
        <f aca="false">IF($AL732="","",IF((($AL732="Engineering and Technology")+($AL732="Science and Mathematics")+($AL732="Computer Science, IT and Allied Fields")+($AL732="Life Sciences /Medicine and Healthcare")+($AL732="Paramedical")+($AL732="Architecture")+($AL732="Environmental Service")+($AL732="Agriculture, Food Industry and Forestry"))&gt;0,"Science",IF((($AL732="Banking and Finance")+($AL732="Management and Administration")+($AL732="Marketing")+($AL732="Sales")+($AL732="Entrepreneurship")+($AL732="Hospitality and Tourism"))&gt;0,"Commerce",IF((($AL732="Social Sciences and Humanities")+($AL732="Law Studies")+($AL732="Education and Training")+($AL732="Art, Design")+($AL732="Entertainment and Mass Media")+($AL732="Community and Social Service")+($AL732="Personal Care and Services")+($AL732="Government and Public Administration")+($AL732="Defence/ Protective Service")+($AL732="Sports"))&gt;0,"Arts / Humanities",""))))</f>
        <v/>
      </c>
      <c r="BD732" s="5" t="str">
        <f aca="false">IF($B732="","",--(F732&gt;=10)+--(G732&gt;=10)+--(H732&gt;=10)+--(I732&gt;=10)+--(J732&gt;=10)+--(K732&gt;=10)+--(L732&gt;=10)+--(M732&gt;=10)+--(N732&gt;=10)+--(O732&gt;=10))</f>
        <v/>
      </c>
      <c r="BE732" s="5" t="str">
        <f aca="false">IF($B732="","",--(AND(F732&lt;&gt;"",F732&lt;=8))+--(AND(G732&lt;&gt;"",G732&lt;=8))+--(AND(H732&lt;&gt;"",H732&lt;=8))+--(AND(I732&lt;&gt;"",I732&lt;=8))+--(AND(J732&lt;&gt;"",J732&lt;=8))+--(AND(K732&lt;&gt;"",K732&lt;=8))+--(AND(L732&lt;&gt;"",L732&lt;=8))+--(AND(M732&lt;&gt;"",M732&lt;=8))+--(AND(N732&lt;&gt;"",N732&lt;=8))+--(AND(O732&lt;&gt;"",O732&lt;=8)))</f>
        <v/>
      </c>
    </row>
    <row r="733" customFormat="false" ht="15" hidden="false" customHeight="false" outlineLevel="0" collapsed="false">
      <c r="AZ733" s="5" t="str">
        <f aca="false">IF($B733="","",SUMPRODUCT(($AL733:$AO733&lt;&gt;"")*(COUNTIF($AP733:$AX733,$AL733:$AO733)&gt;0)))</f>
        <v/>
      </c>
      <c r="BA733" s="5" t="str">
        <f aca="false">IF($B733="","",IF(AZ733&gt;0,1,0))</f>
        <v/>
      </c>
      <c r="BB733" s="5" t="str">
        <f aca="false">IF($AP733="","",IF((($AP733="Engineering and Technology")+($AP733="Science and Mathematics")+($AP733="Computer Science, IT and Allied Fields")+($AP733="Life Sciences /Medicine and Healthcare")+($AP733="Paramedical")+($AP733="Architecture")+($AP733="Environmental Service")+($AP733="Agriculture, Food Industry and Forestry"))&gt;0,"Science",IF((($AP733="Banking and Finance")+($AP733="Management and Administration")+($AP733="Marketing")+($AP733="Sales")+($AP733="Entrepreneurship")+($AP733="Hospitality and Tourism"))&gt;0,"Commerce",IF((($AP733="Social Sciences and Humanities")+($AP733="Law Studies")+($AP733="Education and Training")+($AP733="Art, Design")+($AP733="Entertainment and Mass Media")+($AP733="Community and Social Service")+($AP733="Personal Care and Services")+($AP733="Government and Public Administration")+($AP733="Defence/ Protective Service")+($AP733="Sports"))&gt;0,"Arts / Humanities",""))))</f>
        <v/>
      </c>
      <c r="BC733" s="5" t="str">
        <f aca="false">IF($AL733="","",IF((($AL733="Engineering and Technology")+($AL733="Science and Mathematics")+($AL733="Computer Science, IT and Allied Fields")+($AL733="Life Sciences /Medicine and Healthcare")+($AL733="Paramedical")+($AL733="Architecture")+($AL733="Environmental Service")+($AL733="Agriculture, Food Industry and Forestry"))&gt;0,"Science",IF((($AL733="Banking and Finance")+($AL733="Management and Administration")+($AL733="Marketing")+($AL733="Sales")+($AL733="Entrepreneurship")+($AL733="Hospitality and Tourism"))&gt;0,"Commerce",IF((($AL733="Social Sciences and Humanities")+($AL733="Law Studies")+($AL733="Education and Training")+($AL733="Art, Design")+($AL733="Entertainment and Mass Media")+($AL733="Community and Social Service")+($AL733="Personal Care and Services")+($AL733="Government and Public Administration")+($AL733="Defence/ Protective Service")+($AL733="Sports"))&gt;0,"Arts / Humanities",""))))</f>
        <v/>
      </c>
      <c r="BD733" s="5" t="str">
        <f aca="false">IF($B733="","",--(F733&gt;=10)+--(G733&gt;=10)+--(H733&gt;=10)+--(I733&gt;=10)+--(J733&gt;=10)+--(K733&gt;=10)+--(L733&gt;=10)+--(M733&gt;=10)+--(N733&gt;=10)+--(O733&gt;=10))</f>
        <v/>
      </c>
      <c r="BE733" s="5" t="str">
        <f aca="false">IF($B733="","",--(AND(F733&lt;&gt;"",F733&lt;=8))+--(AND(G733&lt;&gt;"",G733&lt;=8))+--(AND(H733&lt;&gt;"",H733&lt;=8))+--(AND(I733&lt;&gt;"",I733&lt;=8))+--(AND(J733&lt;&gt;"",J733&lt;=8))+--(AND(K733&lt;&gt;"",K733&lt;=8))+--(AND(L733&lt;&gt;"",L733&lt;=8))+--(AND(M733&lt;&gt;"",M733&lt;=8))+--(AND(N733&lt;&gt;"",N733&lt;=8))+--(AND(O733&lt;&gt;"",O733&lt;=8)))</f>
        <v/>
      </c>
    </row>
    <row r="734" customFormat="false" ht="15" hidden="false" customHeight="false" outlineLevel="0" collapsed="false">
      <c r="AZ734" s="5" t="str">
        <f aca="false">IF($B734="","",SUMPRODUCT(($AL734:$AO734&lt;&gt;"")*(COUNTIF($AP734:$AX734,$AL734:$AO734)&gt;0)))</f>
        <v/>
      </c>
      <c r="BA734" s="5" t="str">
        <f aca="false">IF($B734="","",IF(AZ734&gt;0,1,0))</f>
        <v/>
      </c>
      <c r="BB734" s="5" t="str">
        <f aca="false">IF($AP734="","",IF((($AP734="Engineering and Technology")+($AP734="Science and Mathematics")+($AP734="Computer Science, IT and Allied Fields")+($AP734="Life Sciences /Medicine and Healthcare")+($AP734="Paramedical")+($AP734="Architecture")+($AP734="Environmental Service")+($AP734="Agriculture, Food Industry and Forestry"))&gt;0,"Science",IF((($AP734="Banking and Finance")+($AP734="Management and Administration")+($AP734="Marketing")+($AP734="Sales")+($AP734="Entrepreneurship")+($AP734="Hospitality and Tourism"))&gt;0,"Commerce",IF((($AP734="Social Sciences and Humanities")+($AP734="Law Studies")+($AP734="Education and Training")+($AP734="Art, Design")+($AP734="Entertainment and Mass Media")+($AP734="Community and Social Service")+($AP734="Personal Care and Services")+($AP734="Government and Public Administration")+($AP734="Defence/ Protective Service")+($AP734="Sports"))&gt;0,"Arts / Humanities",""))))</f>
        <v/>
      </c>
      <c r="BC734" s="5" t="str">
        <f aca="false">IF($AL734="","",IF((($AL734="Engineering and Technology")+($AL734="Science and Mathematics")+($AL734="Computer Science, IT and Allied Fields")+($AL734="Life Sciences /Medicine and Healthcare")+($AL734="Paramedical")+($AL734="Architecture")+($AL734="Environmental Service")+($AL734="Agriculture, Food Industry and Forestry"))&gt;0,"Science",IF((($AL734="Banking and Finance")+($AL734="Management and Administration")+($AL734="Marketing")+($AL734="Sales")+($AL734="Entrepreneurship")+($AL734="Hospitality and Tourism"))&gt;0,"Commerce",IF((($AL734="Social Sciences and Humanities")+($AL734="Law Studies")+($AL734="Education and Training")+($AL734="Art, Design")+($AL734="Entertainment and Mass Media")+($AL734="Community and Social Service")+($AL734="Personal Care and Services")+($AL734="Government and Public Administration")+($AL734="Defence/ Protective Service")+($AL734="Sports"))&gt;0,"Arts / Humanities",""))))</f>
        <v/>
      </c>
      <c r="BD734" s="5" t="str">
        <f aca="false">IF($B734="","",--(F734&gt;=10)+--(G734&gt;=10)+--(H734&gt;=10)+--(I734&gt;=10)+--(J734&gt;=10)+--(K734&gt;=10)+--(L734&gt;=10)+--(M734&gt;=10)+--(N734&gt;=10)+--(O734&gt;=10))</f>
        <v/>
      </c>
      <c r="BE734" s="5" t="str">
        <f aca="false">IF($B734="","",--(AND(F734&lt;&gt;"",F734&lt;=8))+--(AND(G734&lt;&gt;"",G734&lt;=8))+--(AND(H734&lt;&gt;"",H734&lt;=8))+--(AND(I734&lt;&gt;"",I734&lt;=8))+--(AND(J734&lt;&gt;"",J734&lt;=8))+--(AND(K734&lt;&gt;"",K734&lt;=8))+--(AND(L734&lt;&gt;"",L734&lt;=8))+--(AND(M734&lt;&gt;"",M734&lt;=8))+--(AND(N734&lt;&gt;"",N734&lt;=8))+--(AND(O734&lt;&gt;"",O734&lt;=8)))</f>
        <v/>
      </c>
    </row>
    <row r="735" customFormat="false" ht="15" hidden="false" customHeight="false" outlineLevel="0" collapsed="false">
      <c r="AZ735" s="5" t="str">
        <f aca="false">IF($B735="","",SUMPRODUCT(($AL735:$AO735&lt;&gt;"")*(COUNTIF($AP735:$AX735,$AL735:$AO735)&gt;0)))</f>
        <v/>
      </c>
      <c r="BA735" s="5" t="str">
        <f aca="false">IF($B735="","",IF(AZ735&gt;0,1,0))</f>
        <v/>
      </c>
      <c r="BB735" s="5" t="str">
        <f aca="false">IF($AP735="","",IF((($AP735="Engineering and Technology")+($AP735="Science and Mathematics")+($AP735="Computer Science, IT and Allied Fields")+($AP735="Life Sciences /Medicine and Healthcare")+($AP735="Paramedical")+($AP735="Architecture")+($AP735="Environmental Service")+($AP735="Agriculture, Food Industry and Forestry"))&gt;0,"Science",IF((($AP735="Banking and Finance")+($AP735="Management and Administration")+($AP735="Marketing")+($AP735="Sales")+($AP735="Entrepreneurship")+($AP735="Hospitality and Tourism"))&gt;0,"Commerce",IF((($AP735="Social Sciences and Humanities")+($AP735="Law Studies")+($AP735="Education and Training")+($AP735="Art, Design")+($AP735="Entertainment and Mass Media")+($AP735="Community and Social Service")+($AP735="Personal Care and Services")+($AP735="Government and Public Administration")+($AP735="Defence/ Protective Service")+($AP735="Sports"))&gt;0,"Arts / Humanities",""))))</f>
        <v/>
      </c>
      <c r="BC735" s="5" t="str">
        <f aca="false">IF($AL735="","",IF((($AL735="Engineering and Technology")+($AL735="Science and Mathematics")+($AL735="Computer Science, IT and Allied Fields")+($AL735="Life Sciences /Medicine and Healthcare")+($AL735="Paramedical")+($AL735="Architecture")+($AL735="Environmental Service")+($AL735="Agriculture, Food Industry and Forestry"))&gt;0,"Science",IF((($AL735="Banking and Finance")+($AL735="Management and Administration")+($AL735="Marketing")+($AL735="Sales")+($AL735="Entrepreneurship")+($AL735="Hospitality and Tourism"))&gt;0,"Commerce",IF((($AL735="Social Sciences and Humanities")+($AL735="Law Studies")+($AL735="Education and Training")+($AL735="Art, Design")+($AL735="Entertainment and Mass Media")+($AL735="Community and Social Service")+($AL735="Personal Care and Services")+($AL735="Government and Public Administration")+($AL735="Defence/ Protective Service")+($AL735="Sports"))&gt;0,"Arts / Humanities",""))))</f>
        <v/>
      </c>
      <c r="BD735" s="5" t="str">
        <f aca="false">IF($B735="","",--(F735&gt;=10)+--(G735&gt;=10)+--(H735&gt;=10)+--(I735&gt;=10)+--(J735&gt;=10)+--(K735&gt;=10)+--(L735&gt;=10)+--(M735&gt;=10)+--(N735&gt;=10)+--(O735&gt;=10))</f>
        <v/>
      </c>
      <c r="BE735" s="5" t="str">
        <f aca="false">IF($B735="","",--(AND(F735&lt;&gt;"",F735&lt;=8))+--(AND(G735&lt;&gt;"",G735&lt;=8))+--(AND(H735&lt;&gt;"",H735&lt;=8))+--(AND(I735&lt;&gt;"",I735&lt;=8))+--(AND(J735&lt;&gt;"",J735&lt;=8))+--(AND(K735&lt;&gt;"",K735&lt;=8))+--(AND(L735&lt;&gt;"",L735&lt;=8))+--(AND(M735&lt;&gt;"",M735&lt;=8))+--(AND(N735&lt;&gt;"",N735&lt;=8))+--(AND(O735&lt;&gt;"",O735&lt;=8)))</f>
        <v/>
      </c>
    </row>
    <row r="736" customFormat="false" ht="15" hidden="false" customHeight="false" outlineLevel="0" collapsed="false">
      <c r="AZ736" s="5" t="str">
        <f aca="false">IF($B736="","",SUMPRODUCT(($AL736:$AO736&lt;&gt;"")*(COUNTIF($AP736:$AX736,$AL736:$AO736)&gt;0)))</f>
        <v/>
      </c>
      <c r="BA736" s="5" t="str">
        <f aca="false">IF($B736="","",IF(AZ736&gt;0,1,0))</f>
        <v/>
      </c>
      <c r="BB736" s="5" t="str">
        <f aca="false">IF($AP736="","",IF((($AP736="Engineering and Technology")+($AP736="Science and Mathematics")+($AP736="Computer Science, IT and Allied Fields")+($AP736="Life Sciences /Medicine and Healthcare")+($AP736="Paramedical")+($AP736="Architecture")+($AP736="Environmental Service")+($AP736="Agriculture, Food Industry and Forestry"))&gt;0,"Science",IF((($AP736="Banking and Finance")+($AP736="Management and Administration")+($AP736="Marketing")+($AP736="Sales")+($AP736="Entrepreneurship")+($AP736="Hospitality and Tourism"))&gt;0,"Commerce",IF((($AP736="Social Sciences and Humanities")+($AP736="Law Studies")+($AP736="Education and Training")+($AP736="Art, Design")+($AP736="Entertainment and Mass Media")+($AP736="Community and Social Service")+($AP736="Personal Care and Services")+($AP736="Government and Public Administration")+($AP736="Defence/ Protective Service")+($AP736="Sports"))&gt;0,"Arts / Humanities",""))))</f>
        <v/>
      </c>
      <c r="BC736" s="5" t="str">
        <f aca="false">IF($AL736="","",IF((($AL736="Engineering and Technology")+($AL736="Science and Mathematics")+($AL736="Computer Science, IT and Allied Fields")+($AL736="Life Sciences /Medicine and Healthcare")+($AL736="Paramedical")+($AL736="Architecture")+($AL736="Environmental Service")+($AL736="Agriculture, Food Industry and Forestry"))&gt;0,"Science",IF((($AL736="Banking and Finance")+($AL736="Management and Administration")+($AL736="Marketing")+($AL736="Sales")+($AL736="Entrepreneurship")+($AL736="Hospitality and Tourism"))&gt;0,"Commerce",IF((($AL736="Social Sciences and Humanities")+($AL736="Law Studies")+($AL736="Education and Training")+($AL736="Art, Design")+($AL736="Entertainment and Mass Media")+($AL736="Community and Social Service")+($AL736="Personal Care and Services")+($AL736="Government and Public Administration")+($AL736="Defence/ Protective Service")+($AL736="Sports"))&gt;0,"Arts / Humanities",""))))</f>
        <v/>
      </c>
      <c r="BD736" s="5" t="str">
        <f aca="false">IF($B736="","",--(F736&gt;=10)+--(G736&gt;=10)+--(H736&gt;=10)+--(I736&gt;=10)+--(J736&gt;=10)+--(K736&gt;=10)+--(L736&gt;=10)+--(M736&gt;=10)+--(N736&gt;=10)+--(O736&gt;=10))</f>
        <v/>
      </c>
      <c r="BE736" s="5" t="str">
        <f aca="false">IF($B736="","",--(AND(F736&lt;&gt;"",F736&lt;=8))+--(AND(G736&lt;&gt;"",G736&lt;=8))+--(AND(H736&lt;&gt;"",H736&lt;=8))+--(AND(I736&lt;&gt;"",I736&lt;=8))+--(AND(J736&lt;&gt;"",J736&lt;=8))+--(AND(K736&lt;&gt;"",K736&lt;=8))+--(AND(L736&lt;&gt;"",L736&lt;=8))+--(AND(M736&lt;&gt;"",M736&lt;=8))+--(AND(N736&lt;&gt;"",N736&lt;=8))+--(AND(O736&lt;&gt;"",O736&lt;=8)))</f>
        <v/>
      </c>
    </row>
    <row r="737" customFormat="false" ht="15" hidden="false" customHeight="false" outlineLevel="0" collapsed="false">
      <c r="AZ737" s="5" t="str">
        <f aca="false">IF($B737="","",SUMPRODUCT(($AL737:$AO737&lt;&gt;"")*(COUNTIF($AP737:$AX737,$AL737:$AO737)&gt;0)))</f>
        <v/>
      </c>
      <c r="BA737" s="5" t="str">
        <f aca="false">IF($B737="","",IF(AZ737&gt;0,1,0))</f>
        <v/>
      </c>
      <c r="BB737" s="5" t="str">
        <f aca="false">IF($AP737="","",IF((($AP737="Engineering and Technology")+($AP737="Science and Mathematics")+($AP737="Computer Science, IT and Allied Fields")+($AP737="Life Sciences /Medicine and Healthcare")+($AP737="Paramedical")+($AP737="Architecture")+($AP737="Environmental Service")+($AP737="Agriculture, Food Industry and Forestry"))&gt;0,"Science",IF((($AP737="Banking and Finance")+($AP737="Management and Administration")+($AP737="Marketing")+($AP737="Sales")+($AP737="Entrepreneurship")+($AP737="Hospitality and Tourism"))&gt;0,"Commerce",IF((($AP737="Social Sciences and Humanities")+($AP737="Law Studies")+($AP737="Education and Training")+($AP737="Art, Design")+($AP737="Entertainment and Mass Media")+($AP737="Community and Social Service")+($AP737="Personal Care and Services")+($AP737="Government and Public Administration")+($AP737="Defence/ Protective Service")+($AP737="Sports"))&gt;0,"Arts / Humanities",""))))</f>
        <v/>
      </c>
      <c r="BC737" s="5" t="str">
        <f aca="false">IF($AL737="","",IF((($AL737="Engineering and Technology")+($AL737="Science and Mathematics")+($AL737="Computer Science, IT and Allied Fields")+($AL737="Life Sciences /Medicine and Healthcare")+($AL737="Paramedical")+($AL737="Architecture")+($AL737="Environmental Service")+($AL737="Agriculture, Food Industry and Forestry"))&gt;0,"Science",IF((($AL737="Banking and Finance")+($AL737="Management and Administration")+($AL737="Marketing")+($AL737="Sales")+($AL737="Entrepreneurship")+($AL737="Hospitality and Tourism"))&gt;0,"Commerce",IF((($AL737="Social Sciences and Humanities")+($AL737="Law Studies")+($AL737="Education and Training")+($AL737="Art, Design")+($AL737="Entertainment and Mass Media")+($AL737="Community and Social Service")+($AL737="Personal Care and Services")+($AL737="Government and Public Administration")+($AL737="Defence/ Protective Service")+($AL737="Sports"))&gt;0,"Arts / Humanities",""))))</f>
        <v/>
      </c>
      <c r="BD737" s="5" t="str">
        <f aca="false">IF($B737="","",--(F737&gt;=10)+--(G737&gt;=10)+--(H737&gt;=10)+--(I737&gt;=10)+--(J737&gt;=10)+--(K737&gt;=10)+--(L737&gt;=10)+--(M737&gt;=10)+--(N737&gt;=10)+--(O737&gt;=10))</f>
        <v/>
      </c>
      <c r="BE737" s="5" t="str">
        <f aca="false">IF($B737="","",--(AND(F737&lt;&gt;"",F737&lt;=8))+--(AND(G737&lt;&gt;"",G737&lt;=8))+--(AND(H737&lt;&gt;"",H737&lt;=8))+--(AND(I737&lt;&gt;"",I737&lt;=8))+--(AND(J737&lt;&gt;"",J737&lt;=8))+--(AND(K737&lt;&gt;"",K737&lt;=8))+--(AND(L737&lt;&gt;"",L737&lt;=8))+--(AND(M737&lt;&gt;"",M737&lt;=8))+--(AND(N737&lt;&gt;"",N737&lt;=8))+--(AND(O737&lt;&gt;"",O737&lt;=8)))</f>
        <v/>
      </c>
    </row>
    <row r="738" customFormat="false" ht="15" hidden="false" customHeight="false" outlineLevel="0" collapsed="false">
      <c r="AZ738" s="5" t="str">
        <f aca="false">IF($B738="","",SUMPRODUCT(($AL738:$AO738&lt;&gt;"")*(COUNTIF($AP738:$AX738,$AL738:$AO738)&gt;0)))</f>
        <v/>
      </c>
      <c r="BA738" s="5" t="str">
        <f aca="false">IF($B738="","",IF(AZ738&gt;0,1,0))</f>
        <v/>
      </c>
      <c r="BB738" s="5" t="str">
        <f aca="false">IF($AP738="","",IF((($AP738="Engineering and Technology")+($AP738="Science and Mathematics")+($AP738="Computer Science, IT and Allied Fields")+($AP738="Life Sciences /Medicine and Healthcare")+($AP738="Paramedical")+($AP738="Architecture")+($AP738="Environmental Service")+($AP738="Agriculture, Food Industry and Forestry"))&gt;0,"Science",IF((($AP738="Banking and Finance")+($AP738="Management and Administration")+($AP738="Marketing")+($AP738="Sales")+($AP738="Entrepreneurship")+($AP738="Hospitality and Tourism"))&gt;0,"Commerce",IF((($AP738="Social Sciences and Humanities")+($AP738="Law Studies")+($AP738="Education and Training")+($AP738="Art, Design")+($AP738="Entertainment and Mass Media")+($AP738="Community and Social Service")+($AP738="Personal Care and Services")+($AP738="Government and Public Administration")+($AP738="Defence/ Protective Service")+($AP738="Sports"))&gt;0,"Arts / Humanities",""))))</f>
        <v/>
      </c>
      <c r="BC738" s="5" t="str">
        <f aca="false">IF($AL738="","",IF((($AL738="Engineering and Technology")+($AL738="Science and Mathematics")+($AL738="Computer Science, IT and Allied Fields")+($AL738="Life Sciences /Medicine and Healthcare")+($AL738="Paramedical")+($AL738="Architecture")+($AL738="Environmental Service")+($AL738="Agriculture, Food Industry and Forestry"))&gt;0,"Science",IF((($AL738="Banking and Finance")+($AL738="Management and Administration")+($AL738="Marketing")+($AL738="Sales")+($AL738="Entrepreneurship")+($AL738="Hospitality and Tourism"))&gt;0,"Commerce",IF((($AL738="Social Sciences and Humanities")+($AL738="Law Studies")+($AL738="Education and Training")+($AL738="Art, Design")+($AL738="Entertainment and Mass Media")+($AL738="Community and Social Service")+($AL738="Personal Care and Services")+($AL738="Government and Public Administration")+($AL738="Defence/ Protective Service")+($AL738="Sports"))&gt;0,"Arts / Humanities",""))))</f>
        <v/>
      </c>
      <c r="BD738" s="5" t="str">
        <f aca="false">IF($B738="","",--(F738&gt;=10)+--(G738&gt;=10)+--(H738&gt;=10)+--(I738&gt;=10)+--(J738&gt;=10)+--(K738&gt;=10)+--(L738&gt;=10)+--(M738&gt;=10)+--(N738&gt;=10)+--(O738&gt;=10))</f>
        <v/>
      </c>
      <c r="BE738" s="5" t="str">
        <f aca="false">IF($B738="","",--(AND(F738&lt;&gt;"",F738&lt;=8))+--(AND(G738&lt;&gt;"",G738&lt;=8))+--(AND(H738&lt;&gt;"",H738&lt;=8))+--(AND(I738&lt;&gt;"",I738&lt;=8))+--(AND(J738&lt;&gt;"",J738&lt;=8))+--(AND(K738&lt;&gt;"",K738&lt;=8))+--(AND(L738&lt;&gt;"",L738&lt;=8))+--(AND(M738&lt;&gt;"",M738&lt;=8))+--(AND(N738&lt;&gt;"",N738&lt;=8))+--(AND(O738&lt;&gt;"",O738&lt;=8)))</f>
        <v/>
      </c>
    </row>
    <row r="739" customFormat="false" ht="15" hidden="false" customHeight="false" outlineLevel="0" collapsed="false">
      <c r="AZ739" s="5" t="str">
        <f aca="false">IF($B739="","",SUMPRODUCT(($AL739:$AO739&lt;&gt;"")*(COUNTIF($AP739:$AX739,$AL739:$AO739)&gt;0)))</f>
        <v/>
      </c>
      <c r="BA739" s="5" t="str">
        <f aca="false">IF($B739="","",IF(AZ739&gt;0,1,0))</f>
        <v/>
      </c>
      <c r="BB739" s="5" t="str">
        <f aca="false">IF($AP739="","",IF((($AP739="Engineering and Technology")+($AP739="Science and Mathematics")+($AP739="Computer Science, IT and Allied Fields")+($AP739="Life Sciences /Medicine and Healthcare")+($AP739="Paramedical")+($AP739="Architecture")+($AP739="Environmental Service")+($AP739="Agriculture, Food Industry and Forestry"))&gt;0,"Science",IF((($AP739="Banking and Finance")+($AP739="Management and Administration")+($AP739="Marketing")+($AP739="Sales")+($AP739="Entrepreneurship")+($AP739="Hospitality and Tourism"))&gt;0,"Commerce",IF((($AP739="Social Sciences and Humanities")+($AP739="Law Studies")+($AP739="Education and Training")+($AP739="Art, Design")+($AP739="Entertainment and Mass Media")+($AP739="Community and Social Service")+($AP739="Personal Care and Services")+($AP739="Government and Public Administration")+($AP739="Defence/ Protective Service")+($AP739="Sports"))&gt;0,"Arts / Humanities",""))))</f>
        <v/>
      </c>
      <c r="BC739" s="5" t="str">
        <f aca="false">IF($AL739="","",IF((($AL739="Engineering and Technology")+($AL739="Science and Mathematics")+($AL739="Computer Science, IT and Allied Fields")+($AL739="Life Sciences /Medicine and Healthcare")+($AL739="Paramedical")+($AL739="Architecture")+($AL739="Environmental Service")+($AL739="Agriculture, Food Industry and Forestry"))&gt;0,"Science",IF((($AL739="Banking and Finance")+($AL739="Management and Administration")+($AL739="Marketing")+($AL739="Sales")+($AL739="Entrepreneurship")+($AL739="Hospitality and Tourism"))&gt;0,"Commerce",IF((($AL739="Social Sciences and Humanities")+($AL739="Law Studies")+($AL739="Education and Training")+($AL739="Art, Design")+($AL739="Entertainment and Mass Media")+($AL739="Community and Social Service")+($AL739="Personal Care and Services")+($AL739="Government and Public Administration")+($AL739="Defence/ Protective Service")+($AL739="Sports"))&gt;0,"Arts / Humanities",""))))</f>
        <v/>
      </c>
      <c r="BD739" s="5" t="str">
        <f aca="false">IF($B739="","",--(F739&gt;=10)+--(G739&gt;=10)+--(H739&gt;=10)+--(I739&gt;=10)+--(J739&gt;=10)+--(K739&gt;=10)+--(L739&gt;=10)+--(M739&gt;=10)+--(N739&gt;=10)+--(O739&gt;=10))</f>
        <v/>
      </c>
      <c r="BE739" s="5" t="str">
        <f aca="false">IF($B739="","",--(AND(F739&lt;&gt;"",F739&lt;=8))+--(AND(G739&lt;&gt;"",G739&lt;=8))+--(AND(H739&lt;&gt;"",H739&lt;=8))+--(AND(I739&lt;&gt;"",I739&lt;=8))+--(AND(J739&lt;&gt;"",J739&lt;=8))+--(AND(K739&lt;&gt;"",K739&lt;=8))+--(AND(L739&lt;&gt;"",L739&lt;=8))+--(AND(M739&lt;&gt;"",M739&lt;=8))+--(AND(N739&lt;&gt;"",N739&lt;=8))+--(AND(O739&lt;&gt;"",O739&lt;=8)))</f>
        <v/>
      </c>
    </row>
    <row r="740" customFormat="false" ht="15" hidden="false" customHeight="false" outlineLevel="0" collapsed="false">
      <c r="AZ740" s="5" t="str">
        <f aca="false">IF($B740="","",SUMPRODUCT(($AL740:$AO740&lt;&gt;"")*(COUNTIF($AP740:$AX740,$AL740:$AO740)&gt;0)))</f>
        <v/>
      </c>
      <c r="BA740" s="5" t="str">
        <f aca="false">IF($B740="","",IF(AZ740&gt;0,1,0))</f>
        <v/>
      </c>
      <c r="BB740" s="5" t="str">
        <f aca="false">IF($AP740="","",IF((($AP740="Engineering and Technology")+($AP740="Science and Mathematics")+($AP740="Computer Science, IT and Allied Fields")+($AP740="Life Sciences /Medicine and Healthcare")+($AP740="Paramedical")+($AP740="Architecture")+($AP740="Environmental Service")+($AP740="Agriculture, Food Industry and Forestry"))&gt;0,"Science",IF((($AP740="Banking and Finance")+($AP740="Management and Administration")+($AP740="Marketing")+($AP740="Sales")+($AP740="Entrepreneurship")+($AP740="Hospitality and Tourism"))&gt;0,"Commerce",IF((($AP740="Social Sciences and Humanities")+($AP740="Law Studies")+($AP740="Education and Training")+($AP740="Art, Design")+($AP740="Entertainment and Mass Media")+($AP740="Community and Social Service")+($AP740="Personal Care and Services")+($AP740="Government and Public Administration")+($AP740="Defence/ Protective Service")+($AP740="Sports"))&gt;0,"Arts / Humanities",""))))</f>
        <v/>
      </c>
      <c r="BC740" s="5" t="str">
        <f aca="false">IF($AL740="","",IF((($AL740="Engineering and Technology")+($AL740="Science and Mathematics")+($AL740="Computer Science, IT and Allied Fields")+($AL740="Life Sciences /Medicine and Healthcare")+($AL740="Paramedical")+($AL740="Architecture")+($AL740="Environmental Service")+($AL740="Agriculture, Food Industry and Forestry"))&gt;0,"Science",IF((($AL740="Banking and Finance")+($AL740="Management and Administration")+($AL740="Marketing")+($AL740="Sales")+($AL740="Entrepreneurship")+($AL740="Hospitality and Tourism"))&gt;0,"Commerce",IF((($AL740="Social Sciences and Humanities")+($AL740="Law Studies")+($AL740="Education and Training")+($AL740="Art, Design")+($AL740="Entertainment and Mass Media")+($AL740="Community and Social Service")+($AL740="Personal Care and Services")+($AL740="Government and Public Administration")+($AL740="Defence/ Protective Service")+($AL740="Sports"))&gt;0,"Arts / Humanities",""))))</f>
        <v/>
      </c>
      <c r="BD740" s="5" t="str">
        <f aca="false">IF($B740="","",--(F740&gt;=10)+--(G740&gt;=10)+--(H740&gt;=10)+--(I740&gt;=10)+--(J740&gt;=10)+--(K740&gt;=10)+--(L740&gt;=10)+--(M740&gt;=10)+--(N740&gt;=10)+--(O740&gt;=10))</f>
        <v/>
      </c>
      <c r="BE740" s="5" t="str">
        <f aca="false">IF($B740="","",--(AND(F740&lt;&gt;"",F740&lt;=8))+--(AND(G740&lt;&gt;"",G740&lt;=8))+--(AND(H740&lt;&gt;"",H740&lt;=8))+--(AND(I740&lt;&gt;"",I740&lt;=8))+--(AND(J740&lt;&gt;"",J740&lt;=8))+--(AND(K740&lt;&gt;"",K740&lt;=8))+--(AND(L740&lt;&gt;"",L740&lt;=8))+--(AND(M740&lt;&gt;"",M740&lt;=8))+--(AND(N740&lt;&gt;"",N740&lt;=8))+--(AND(O740&lt;&gt;"",O740&lt;=8)))</f>
        <v/>
      </c>
    </row>
    <row r="741" customFormat="false" ht="15" hidden="false" customHeight="false" outlineLevel="0" collapsed="false">
      <c r="AZ741" s="5" t="str">
        <f aca="false">IF($B741="","",SUMPRODUCT(($AL741:$AO741&lt;&gt;"")*(COUNTIF($AP741:$AX741,$AL741:$AO741)&gt;0)))</f>
        <v/>
      </c>
      <c r="BA741" s="5" t="str">
        <f aca="false">IF($B741="","",IF(AZ741&gt;0,1,0))</f>
        <v/>
      </c>
      <c r="BB741" s="5" t="str">
        <f aca="false">IF($AP741="","",IF((($AP741="Engineering and Technology")+($AP741="Science and Mathematics")+($AP741="Computer Science, IT and Allied Fields")+($AP741="Life Sciences /Medicine and Healthcare")+($AP741="Paramedical")+($AP741="Architecture")+($AP741="Environmental Service")+($AP741="Agriculture, Food Industry and Forestry"))&gt;0,"Science",IF((($AP741="Banking and Finance")+($AP741="Management and Administration")+($AP741="Marketing")+($AP741="Sales")+($AP741="Entrepreneurship")+($AP741="Hospitality and Tourism"))&gt;0,"Commerce",IF((($AP741="Social Sciences and Humanities")+($AP741="Law Studies")+($AP741="Education and Training")+($AP741="Art, Design")+($AP741="Entertainment and Mass Media")+($AP741="Community and Social Service")+($AP741="Personal Care and Services")+($AP741="Government and Public Administration")+($AP741="Defence/ Protective Service")+($AP741="Sports"))&gt;0,"Arts / Humanities",""))))</f>
        <v/>
      </c>
      <c r="BC741" s="5" t="str">
        <f aca="false">IF($AL741="","",IF((($AL741="Engineering and Technology")+($AL741="Science and Mathematics")+($AL741="Computer Science, IT and Allied Fields")+($AL741="Life Sciences /Medicine and Healthcare")+($AL741="Paramedical")+($AL741="Architecture")+($AL741="Environmental Service")+($AL741="Agriculture, Food Industry and Forestry"))&gt;0,"Science",IF((($AL741="Banking and Finance")+($AL741="Management and Administration")+($AL741="Marketing")+($AL741="Sales")+($AL741="Entrepreneurship")+($AL741="Hospitality and Tourism"))&gt;0,"Commerce",IF((($AL741="Social Sciences and Humanities")+($AL741="Law Studies")+($AL741="Education and Training")+($AL741="Art, Design")+($AL741="Entertainment and Mass Media")+($AL741="Community and Social Service")+($AL741="Personal Care and Services")+($AL741="Government and Public Administration")+($AL741="Defence/ Protective Service")+($AL741="Sports"))&gt;0,"Arts / Humanities",""))))</f>
        <v/>
      </c>
      <c r="BD741" s="5" t="str">
        <f aca="false">IF($B741="","",--(F741&gt;=10)+--(G741&gt;=10)+--(H741&gt;=10)+--(I741&gt;=10)+--(J741&gt;=10)+--(K741&gt;=10)+--(L741&gt;=10)+--(M741&gt;=10)+--(N741&gt;=10)+--(O741&gt;=10))</f>
        <v/>
      </c>
      <c r="BE741" s="5" t="str">
        <f aca="false">IF($B741="","",--(AND(F741&lt;&gt;"",F741&lt;=8))+--(AND(G741&lt;&gt;"",G741&lt;=8))+--(AND(H741&lt;&gt;"",H741&lt;=8))+--(AND(I741&lt;&gt;"",I741&lt;=8))+--(AND(J741&lt;&gt;"",J741&lt;=8))+--(AND(K741&lt;&gt;"",K741&lt;=8))+--(AND(L741&lt;&gt;"",L741&lt;=8))+--(AND(M741&lt;&gt;"",M741&lt;=8))+--(AND(N741&lt;&gt;"",N741&lt;=8))+--(AND(O741&lt;&gt;"",O741&lt;=8)))</f>
        <v/>
      </c>
    </row>
    <row r="742" customFormat="false" ht="15" hidden="false" customHeight="false" outlineLevel="0" collapsed="false">
      <c r="AZ742" s="5" t="str">
        <f aca="false">IF($B742="","",SUMPRODUCT(($AL742:$AO742&lt;&gt;"")*(COUNTIF($AP742:$AX742,$AL742:$AO742)&gt;0)))</f>
        <v/>
      </c>
      <c r="BA742" s="5" t="str">
        <f aca="false">IF($B742="","",IF(AZ742&gt;0,1,0))</f>
        <v/>
      </c>
      <c r="BB742" s="5" t="str">
        <f aca="false">IF($AP742="","",IF((($AP742="Engineering and Technology")+($AP742="Science and Mathematics")+($AP742="Computer Science, IT and Allied Fields")+($AP742="Life Sciences /Medicine and Healthcare")+($AP742="Paramedical")+($AP742="Architecture")+($AP742="Environmental Service")+($AP742="Agriculture, Food Industry and Forestry"))&gt;0,"Science",IF((($AP742="Banking and Finance")+($AP742="Management and Administration")+($AP742="Marketing")+($AP742="Sales")+($AP742="Entrepreneurship")+($AP742="Hospitality and Tourism"))&gt;0,"Commerce",IF((($AP742="Social Sciences and Humanities")+($AP742="Law Studies")+($AP742="Education and Training")+($AP742="Art, Design")+($AP742="Entertainment and Mass Media")+($AP742="Community and Social Service")+($AP742="Personal Care and Services")+($AP742="Government and Public Administration")+($AP742="Defence/ Protective Service")+($AP742="Sports"))&gt;0,"Arts / Humanities",""))))</f>
        <v/>
      </c>
      <c r="BC742" s="5" t="str">
        <f aca="false">IF($AL742="","",IF((($AL742="Engineering and Technology")+($AL742="Science and Mathematics")+($AL742="Computer Science, IT and Allied Fields")+($AL742="Life Sciences /Medicine and Healthcare")+($AL742="Paramedical")+($AL742="Architecture")+($AL742="Environmental Service")+($AL742="Agriculture, Food Industry and Forestry"))&gt;0,"Science",IF((($AL742="Banking and Finance")+($AL742="Management and Administration")+($AL742="Marketing")+($AL742="Sales")+($AL742="Entrepreneurship")+($AL742="Hospitality and Tourism"))&gt;0,"Commerce",IF((($AL742="Social Sciences and Humanities")+($AL742="Law Studies")+($AL742="Education and Training")+($AL742="Art, Design")+($AL742="Entertainment and Mass Media")+($AL742="Community and Social Service")+($AL742="Personal Care and Services")+($AL742="Government and Public Administration")+($AL742="Defence/ Protective Service")+($AL742="Sports"))&gt;0,"Arts / Humanities",""))))</f>
        <v/>
      </c>
      <c r="BD742" s="5" t="str">
        <f aca="false">IF($B742="","",--(F742&gt;=10)+--(G742&gt;=10)+--(H742&gt;=10)+--(I742&gt;=10)+--(J742&gt;=10)+--(K742&gt;=10)+--(L742&gt;=10)+--(M742&gt;=10)+--(N742&gt;=10)+--(O742&gt;=10))</f>
        <v/>
      </c>
      <c r="BE742" s="5" t="str">
        <f aca="false">IF($B742="","",--(AND(F742&lt;&gt;"",F742&lt;=8))+--(AND(G742&lt;&gt;"",G742&lt;=8))+--(AND(H742&lt;&gt;"",H742&lt;=8))+--(AND(I742&lt;&gt;"",I742&lt;=8))+--(AND(J742&lt;&gt;"",J742&lt;=8))+--(AND(K742&lt;&gt;"",K742&lt;=8))+--(AND(L742&lt;&gt;"",L742&lt;=8))+--(AND(M742&lt;&gt;"",M742&lt;=8))+--(AND(N742&lt;&gt;"",N742&lt;=8))+--(AND(O742&lt;&gt;"",O742&lt;=8)))</f>
        <v/>
      </c>
    </row>
    <row r="743" customFormat="false" ht="15" hidden="false" customHeight="false" outlineLevel="0" collapsed="false">
      <c r="AZ743" s="5" t="str">
        <f aca="false">IF($B743="","",SUMPRODUCT(($AL743:$AO743&lt;&gt;"")*(COUNTIF($AP743:$AX743,$AL743:$AO743)&gt;0)))</f>
        <v/>
      </c>
      <c r="BA743" s="5" t="str">
        <f aca="false">IF($B743="","",IF(AZ743&gt;0,1,0))</f>
        <v/>
      </c>
      <c r="BB743" s="5" t="str">
        <f aca="false">IF($AP743="","",IF((($AP743="Engineering and Technology")+($AP743="Science and Mathematics")+($AP743="Computer Science, IT and Allied Fields")+($AP743="Life Sciences /Medicine and Healthcare")+($AP743="Paramedical")+($AP743="Architecture")+($AP743="Environmental Service")+($AP743="Agriculture, Food Industry and Forestry"))&gt;0,"Science",IF((($AP743="Banking and Finance")+($AP743="Management and Administration")+($AP743="Marketing")+($AP743="Sales")+($AP743="Entrepreneurship")+($AP743="Hospitality and Tourism"))&gt;0,"Commerce",IF((($AP743="Social Sciences and Humanities")+($AP743="Law Studies")+($AP743="Education and Training")+($AP743="Art, Design")+($AP743="Entertainment and Mass Media")+($AP743="Community and Social Service")+($AP743="Personal Care and Services")+($AP743="Government and Public Administration")+($AP743="Defence/ Protective Service")+($AP743="Sports"))&gt;0,"Arts / Humanities",""))))</f>
        <v/>
      </c>
      <c r="BC743" s="5" t="str">
        <f aca="false">IF($AL743="","",IF((($AL743="Engineering and Technology")+($AL743="Science and Mathematics")+($AL743="Computer Science, IT and Allied Fields")+($AL743="Life Sciences /Medicine and Healthcare")+($AL743="Paramedical")+($AL743="Architecture")+($AL743="Environmental Service")+($AL743="Agriculture, Food Industry and Forestry"))&gt;0,"Science",IF((($AL743="Banking and Finance")+($AL743="Management and Administration")+($AL743="Marketing")+($AL743="Sales")+($AL743="Entrepreneurship")+($AL743="Hospitality and Tourism"))&gt;0,"Commerce",IF((($AL743="Social Sciences and Humanities")+($AL743="Law Studies")+($AL743="Education and Training")+($AL743="Art, Design")+($AL743="Entertainment and Mass Media")+($AL743="Community and Social Service")+($AL743="Personal Care and Services")+($AL743="Government and Public Administration")+($AL743="Defence/ Protective Service")+($AL743="Sports"))&gt;0,"Arts / Humanities",""))))</f>
        <v/>
      </c>
      <c r="BD743" s="5" t="str">
        <f aca="false">IF($B743="","",--(F743&gt;=10)+--(G743&gt;=10)+--(H743&gt;=10)+--(I743&gt;=10)+--(J743&gt;=10)+--(K743&gt;=10)+--(L743&gt;=10)+--(M743&gt;=10)+--(N743&gt;=10)+--(O743&gt;=10))</f>
        <v/>
      </c>
      <c r="BE743" s="5" t="str">
        <f aca="false">IF($B743="","",--(AND(F743&lt;&gt;"",F743&lt;=8))+--(AND(G743&lt;&gt;"",G743&lt;=8))+--(AND(H743&lt;&gt;"",H743&lt;=8))+--(AND(I743&lt;&gt;"",I743&lt;=8))+--(AND(J743&lt;&gt;"",J743&lt;=8))+--(AND(K743&lt;&gt;"",K743&lt;=8))+--(AND(L743&lt;&gt;"",L743&lt;=8))+--(AND(M743&lt;&gt;"",M743&lt;=8))+--(AND(N743&lt;&gt;"",N743&lt;=8))+--(AND(O743&lt;&gt;"",O743&lt;=8)))</f>
        <v/>
      </c>
    </row>
    <row r="744" customFormat="false" ht="15" hidden="false" customHeight="false" outlineLevel="0" collapsed="false">
      <c r="AZ744" s="5" t="str">
        <f aca="false">IF($B744="","",SUMPRODUCT(($AL744:$AO744&lt;&gt;"")*(COUNTIF($AP744:$AX744,$AL744:$AO744)&gt;0)))</f>
        <v/>
      </c>
      <c r="BA744" s="5" t="str">
        <f aca="false">IF($B744="","",IF(AZ744&gt;0,1,0))</f>
        <v/>
      </c>
      <c r="BB744" s="5" t="str">
        <f aca="false">IF($AP744="","",IF((($AP744="Engineering and Technology")+($AP744="Science and Mathematics")+($AP744="Computer Science, IT and Allied Fields")+($AP744="Life Sciences /Medicine and Healthcare")+($AP744="Paramedical")+($AP744="Architecture")+($AP744="Environmental Service")+($AP744="Agriculture, Food Industry and Forestry"))&gt;0,"Science",IF((($AP744="Banking and Finance")+($AP744="Management and Administration")+($AP744="Marketing")+($AP744="Sales")+($AP744="Entrepreneurship")+($AP744="Hospitality and Tourism"))&gt;0,"Commerce",IF((($AP744="Social Sciences and Humanities")+($AP744="Law Studies")+($AP744="Education and Training")+($AP744="Art, Design")+($AP744="Entertainment and Mass Media")+($AP744="Community and Social Service")+($AP744="Personal Care and Services")+($AP744="Government and Public Administration")+($AP744="Defence/ Protective Service")+($AP744="Sports"))&gt;0,"Arts / Humanities",""))))</f>
        <v/>
      </c>
      <c r="BC744" s="5" t="str">
        <f aca="false">IF($AL744="","",IF((($AL744="Engineering and Technology")+($AL744="Science and Mathematics")+($AL744="Computer Science, IT and Allied Fields")+($AL744="Life Sciences /Medicine and Healthcare")+($AL744="Paramedical")+($AL744="Architecture")+($AL744="Environmental Service")+($AL744="Agriculture, Food Industry and Forestry"))&gt;0,"Science",IF((($AL744="Banking and Finance")+($AL744="Management and Administration")+($AL744="Marketing")+($AL744="Sales")+($AL744="Entrepreneurship")+($AL744="Hospitality and Tourism"))&gt;0,"Commerce",IF((($AL744="Social Sciences and Humanities")+($AL744="Law Studies")+($AL744="Education and Training")+($AL744="Art, Design")+($AL744="Entertainment and Mass Media")+($AL744="Community and Social Service")+($AL744="Personal Care and Services")+($AL744="Government and Public Administration")+($AL744="Defence/ Protective Service")+($AL744="Sports"))&gt;0,"Arts / Humanities",""))))</f>
        <v/>
      </c>
      <c r="BD744" s="5" t="str">
        <f aca="false">IF($B744="","",--(F744&gt;=10)+--(G744&gt;=10)+--(H744&gt;=10)+--(I744&gt;=10)+--(J744&gt;=10)+--(K744&gt;=10)+--(L744&gt;=10)+--(M744&gt;=10)+--(N744&gt;=10)+--(O744&gt;=10))</f>
        <v/>
      </c>
      <c r="BE744" s="5" t="str">
        <f aca="false">IF($B744="","",--(AND(F744&lt;&gt;"",F744&lt;=8))+--(AND(G744&lt;&gt;"",G744&lt;=8))+--(AND(H744&lt;&gt;"",H744&lt;=8))+--(AND(I744&lt;&gt;"",I744&lt;=8))+--(AND(J744&lt;&gt;"",J744&lt;=8))+--(AND(K744&lt;&gt;"",K744&lt;=8))+--(AND(L744&lt;&gt;"",L744&lt;=8))+--(AND(M744&lt;&gt;"",M744&lt;=8))+--(AND(N744&lt;&gt;"",N744&lt;=8))+--(AND(O744&lt;&gt;"",O744&lt;=8)))</f>
        <v/>
      </c>
    </row>
    <row r="745" customFormat="false" ht="15" hidden="false" customHeight="false" outlineLevel="0" collapsed="false">
      <c r="AZ745" s="5" t="str">
        <f aca="false">IF($B745="","",SUMPRODUCT(($AL745:$AO745&lt;&gt;"")*(COUNTIF($AP745:$AX745,$AL745:$AO745)&gt;0)))</f>
        <v/>
      </c>
      <c r="BA745" s="5" t="str">
        <f aca="false">IF($B745="","",IF(AZ745&gt;0,1,0))</f>
        <v/>
      </c>
      <c r="BB745" s="5" t="str">
        <f aca="false">IF($AP745="","",IF((($AP745="Engineering and Technology")+($AP745="Science and Mathematics")+($AP745="Computer Science, IT and Allied Fields")+($AP745="Life Sciences /Medicine and Healthcare")+($AP745="Paramedical")+($AP745="Architecture")+($AP745="Environmental Service")+($AP745="Agriculture, Food Industry and Forestry"))&gt;0,"Science",IF((($AP745="Banking and Finance")+($AP745="Management and Administration")+($AP745="Marketing")+($AP745="Sales")+($AP745="Entrepreneurship")+($AP745="Hospitality and Tourism"))&gt;0,"Commerce",IF((($AP745="Social Sciences and Humanities")+($AP745="Law Studies")+($AP745="Education and Training")+($AP745="Art, Design")+($AP745="Entertainment and Mass Media")+($AP745="Community and Social Service")+($AP745="Personal Care and Services")+($AP745="Government and Public Administration")+($AP745="Defence/ Protective Service")+($AP745="Sports"))&gt;0,"Arts / Humanities",""))))</f>
        <v/>
      </c>
      <c r="BC745" s="5" t="str">
        <f aca="false">IF($AL745="","",IF((($AL745="Engineering and Technology")+($AL745="Science and Mathematics")+($AL745="Computer Science, IT and Allied Fields")+($AL745="Life Sciences /Medicine and Healthcare")+($AL745="Paramedical")+($AL745="Architecture")+($AL745="Environmental Service")+($AL745="Agriculture, Food Industry and Forestry"))&gt;0,"Science",IF((($AL745="Banking and Finance")+($AL745="Management and Administration")+($AL745="Marketing")+($AL745="Sales")+($AL745="Entrepreneurship")+($AL745="Hospitality and Tourism"))&gt;0,"Commerce",IF((($AL745="Social Sciences and Humanities")+($AL745="Law Studies")+($AL745="Education and Training")+($AL745="Art, Design")+($AL745="Entertainment and Mass Media")+($AL745="Community and Social Service")+($AL745="Personal Care and Services")+($AL745="Government and Public Administration")+($AL745="Defence/ Protective Service")+($AL745="Sports"))&gt;0,"Arts / Humanities",""))))</f>
        <v/>
      </c>
      <c r="BD745" s="5" t="str">
        <f aca="false">IF($B745="","",--(F745&gt;=10)+--(G745&gt;=10)+--(H745&gt;=10)+--(I745&gt;=10)+--(J745&gt;=10)+--(K745&gt;=10)+--(L745&gt;=10)+--(M745&gt;=10)+--(N745&gt;=10)+--(O745&gt;=10))</f>
        <v/>
      </c>
      <c r="BE745" s="5" t="str">
        <f aca="false">IF($B745="","",--(AND(F745&lt;&gt;"",F745&lt;=8))+--(AND(G745&lt;&gt;"",G745&lt;=8))+--(AND(H745&lt;&gt;"",H745&lt;=8))+--(AND(I745&lt;&gt;"",I745&lt;=8))+--(AND(J745&lt;&gt;"",J745&lt;=8))+--(AND(K745&lt;&gt;"",K745&lt;=8))+--(AND(L745&lt;&gt;"",L745&lt;=8))+--(AND(M745&lt;&gt;"",M745&lt;=8))+--(AND(N745&lt;&gt;"",N745&lt;=8))+--(AND(O745&lt;&gt;"",O745&lt;=8)))</f>
        <v/>
      </c>
    </row>
    <row r="746" customFormat="false" ht="15" hidden="false" customHeight="false" outlineLevel="0" collapsed="false">
      <c r="AZ746" s="5" t="str">
        <f aca="false">IF($B746="","",SUMPRODUCT(($AL746:$AO746&lt;&gt;"")*(COUNTIF($AP746:$AX746,$AL746:$AO746)&gt;0)))</f>
        <v/>
      </c>
      <c r="BA746" s="5" t="str">
        <f aca="false">IF($B746="","",IF(AZ746&gt;0,1,0))</f>
        <v/>
      </c>
      <c r="BB746" s="5" t="str">
        <f aca="false">IF($AP746="","",IF((($AP746="Engineering and Technology")+($AP746="Science and Mathematics")+($AP746="Computer Science, IT and Allied Fields")+($AP746="Life Sciences /Medicine and Healthcare")+($AP746="Paramedical")+($AP746="Architecture")+($AP746="Environmental Service")+($AP746="Agriculture, Food Industry and Forestry"))&gt;0,"Science",IF((($AP746="Banking and Finance")+($AP746="Management and Administration")+($AP746="Marketing")+($AP746="Sales")+($AP746="Entrepreneurship")+($AP746="Hospitality and Tourism"))&gt;0,"Commerce",IF((($AP746="Social Sciences and Humanities")+($AP746="Law Studies")+($AP746="Education and Training")+($AP746="Art, Design")+($AP746="Entertainment and Mass Media")+($AP746="Community and Social Service")+($AP746="Personal Care and Services")+($AP746="Government and Public Administration")+($AP746="Defence/ Protective Service")+($AP746="Sports"))&gt;0,"Arts / Humanities",""))))</f>
        <v/>
      </c>
      <c r="BC746" s="5" t="str">
        <f aca="false">IF($AL746="","",IF((($AL746="Engineering and Technology")+($AL746="Science and Mathematics")+($AL746="Computer Science, IT and Allied Fields")+($AL746="Life Sciences /Medicine and Healthcare")+($AL746="Paramedical")+($AL746="Architecture")+($AL746="Environmental Service")+($AL746="Agriculture, Food Industry and Forestry"))&gt;0,"Science",IF((($AL746="Banking and Finance")+($AL746="Management and Administration")+($AL746="Marketing")+($AL746="Sales")+($AL746="Entrepreneurship")+($AL746="Hospitality and Tourism"))&gt;0,"Commerce",IF((($AL746="Social Sciences and Humanities")+($AL746="Law Studies")+($AL746="Education and Training")+($AL746="Art, Design")+($AL746="Entertainment and Mass Media")+($AL746="Community and Social Service")+($AL746="Personal Care and Services")+($AL746="Government and Public Administration")+($AL746="Defence/ Protective Service")+($AL746="Sports"))&gt;0,"Arts / Humanities",""))))</f>
        <v/>
      </c>
      <c r="BD746" s="5" t="str">
        <f aca="false">IF($B746="","",--(F746&gt;=10)+--(G746&gt;=10)+--(H746&gt;=10)+--(I746&gt;=10)+--(J746&gt;=10)+--(K746&gt;=10)+--(L746&gt;=10)+--(M746&gt;=10)+--(N746&gt;=10)+--(O746&gt;=10))</f>
        <v/>
      </c>
      <c r="BE746" s="5" t="str">
        <f aca="false">IF($B746="","",--(AND(F746&lt;&gt;"",F746&lt;=8))+--(AND(G746&lt;&gt;"",G746&lt;=8))+--(AND(H746&lt;&gt;"",H746&lt;=8))+--(AND(I746&lt;&gt;"",I746&lt;=8))+--(AND(J746&lt;&gt;"",J746&lt;=8))+--(AND(K746&lt;&gt;"",K746&lt;=8))+--(AND(L746&lt;&gt;"",L746&lt;=8))+--(AND(M746&lt;&gt;"",M746&lt;=8))+--(AND(N746&lt;&gt;"",N746&lt;=8))+--(AND(O746&lt;&gt;"",O746&lt;=8)))</f>
        <v/>
      </c>
    </row>
    <row r="747" customFormat="false" ht="15" hidden="false" customHeight="false" outlineLevel="0" collapsed="false">
      <c r="AZ747" s="5" t="str">
        <f aca="false">IF($B747="","",SUMPRODUCT(($AL747:$AO747&lt;&gt;"")*(COUNTIF($AP747:$AX747,$AL747:$AO747)&gt;0)))</f>
        <v/>
      </c>
      <c r="BA747" s="5" t="str">
        <f aca="false">IF($B747="","",IF(AZ747&gt;0,1,0))</f>
        <v/>
      </c>
      <c r="BB747" s="5" t="str">
        <f aca="false">IF($AP747="","",IF((($AP747="Engineering and Technology")+($AP747="Science and Mathematics")+($AP747="Computer Science, IT and Allied Fields")+($AP747="Life Sciences /Medicine and Healthcare")+($AP747="Paramedical")+($AP747="Architecture")+($AP747="Environmental Service")+($AP747="Agriculture, Food Industry and Forestry"))&gt;0,"Science",IF((($AP747="Banking and Finance")+($AP747="Management and Administration")+($AP747="Marketing")+($AP747="Sales")+($AP747="Entrepreneurship")+($AP747="Hospitality and Tourism"))&gt;0,"Commerce",IF((($AP747="Social Sciences and Humanities")+($AP747="Law Studies")+($AP747="Education and Training")+($AP747="Art, Design")+($AP747="Entertainment and Mass Media")+($AP747="Community and Social Service")+($AP747="Personal Care and Services")+($AP747="Government and Public Administration")+($AP747="Defence/ Protective Service")+($AP747="Sports"))&gt;0,"Arts / Humanities",""))))</f>
        <v/>
      </c>
      <c r="BC747" s="5" t="str">
        <f aca="false">IF($AL747="","",IF((($AL747="Engineering and Technology")+($AL747="Science and Mathematics")+($AL747="Computer Science, IT and Allied Fields")+($AL747="Life Sciences /Medicine and Healthcare")+($AL747="Paramedical")+($AL747="Architecture")+($AL747="Environmental Service")+($AL747="Agriculture, Food Industry and Forestry"))&gt;0,"Science",IF((($AL747="Banking and Finance")+($AL747="Management and Administration")+($AL747="Marketing")+($AL747="Sales")+($AL747="Entrepreneurship")+($AL747="Hospitality and Tourism"))&gt;0,"Commerce",IF((($AL747="Social Sciences and Humanities")+($AL747="Law Studies")+($AL747="Education and Training")+($AL747="Art, Design")+($AL747="Entertainment and Mass Media")+($AL747="Community and Social Service")+($AL747="Personal Care and Services")+($AL747="Government and Public Administration")+($AL747="Defence/ Protective Service")+($AL747="Sports"))&gt;0,"Arts / Humanities",""))))</f>
        <v/>
      </c>
      <c r="BD747" s="5" t="str">
        <f aca="false">IF($B747="","",--(F747&gt;=10)+--(G747&gt;=10)+--(H747&gt;=10)+--(I747&gt;=10)+--(J747&gt;=10)+--(K747&gt;=10)+--(L747&gt;=10)+--(M747&gt;=10)+--(N747&gt;=10)+--(O747&gt;=10))</f>
        <v/>
      </c>
      <c r="BE747" s="5" t="str">
        <f aca="false">IF($B747="","",--(AND(F747&lt;&gt;"",F747&lt;=8))+--(AND(G747&lt;&gt;"",G747&lt;=8))+--(AND(H747&lt;&gt;"",H747&lt;=8))+--(AND(I747&lt;&gt;"",I747&lt;=8))+--(AND(J747&lt;&gt;"",J747&lt;=8))+--(AND(K747&lt;&gt;"",K747&lt;=8))+--(AND(L747&lt;&gt;"",L747&lt;=8))+--(AND(M747&lt;&gt;"",M747&lt;=8))+--(AND(N747&lt;&gt;"",N747&lt;=8))+--(AND(O747&lt;&gt;"",O747&lt;=8)))</f>
        <v/>
      </c>
    </row>
    <row r="748" customFormat="false" ht="15" hidden="false" customHeight="false" outlineLevel="0" collapsed="false">
      <c r="AZ748" s="5" t="str">
        <f aca="false">IF($B748="","",SUMPRODUCT(($AL748:$AO748&lt;&gt;"")*(COUNTIF($AP748:$AX748,$AL748:$AO748)&gt;0)))</f>
        <v/>
      </c>
      <c r="BA748" s="5" t="str">
        <f aca="false">IF($B748="","",IF(AZ748&gt;0,1,0))</f>
        <v/>
      </c>
      <c r="BB748" s="5" t="str">
        <f aca="false">IF($AP748="","",IF((($AP748="Engineering and Technology")+($AP748="Science and Mathematics")+($AP748="Computer Science, IT and Allied Fields")+($AP748="Life Sciences /Medicine and Healthcare")+($AP748="Paramedical")+($AP748="Architecture")+($AP748="Environmental Service")+($AP748="Agriculture, Food Industry and Forestry"))&gt;0,"Science",IF((($AP748="Banking and Finance")+($AP748="Management and Administration")+($AP748="Marketing")+($AP748="Sales")+($AP748="Entrepreneurship")+($AP748="Hospitality and Tourism"))&gt;0,"Commerce",IF((($AP748="Social Sciences and Humanities")+($AP748="Law Studies")+($AP748="Education and Training")+($AP748="Art, Design")+($AP748="Entertainment and Mass Media")+($AP748="Community and Social Service")+($AP748="Personal Care and Services")+($AP748="Government and Public Administration")+($AP748="Defence/ Protective Service")+($AP748="Sports"))&gt;0,"Arts / Humanities",""))))</f>
        <v/>
      </c>
      <c r="BC748" s="5" t="str">
        <f aca="false">IF($AL748="","",IF((($AL748="Engineering and Technology")+($AL748="Science and Mathematics")+($AL748="Computer Science, IT and Allied Fields")+($AL748="Life Sciences /Medicine and Healthcare")+($AL748="Paramedical")+($AL748="Architecture")+($AL748="Environmental Service")+($AL748="Agriculture, Food Industry and Forestry"))&gt;0,"Science",IF((($AL748="Banking and Finance")+($AL748="Management and Administration")+($AL748="Marketing")+($AL748="Sales")+($AL748="Entrepreneurship")+($AL748="Hospitality and Tourism"))&gt;0,"Commerce",IF((($AL748="Social Sciences and Humanities")+($AL748="Law Studies")+($AL748="Education and Training")+($AL748="Art, Design")+($AL748="Entertainment and Mass Media")+($AL748="Community and Social Service")+($AL748="Personal Care and Services")+($AL748="Government and Public Administration")+($AL748="Defence/ Protective Service")+($AL748="Sports"))&gt;0,"Arts / Humanities",""))))</f>
        <v/>
      </c>
      <c r="BD748" s="5" t="str">
        <f aca="false">IF($B748="","",--(F748&gt;=10)+--(G748&gt;=10)+--(H748&gt;=10)+--(I748&gt;=10)+--(J748&gt;=10)+--(K748&gt;=10)+--(L748&gt;=10)+--(M748&gt;=10)+--(N748&gt;=10)+--(O748&gt;=10))</f>
        <v/>
      </c>
      <c r="BE748" s="5" t="str">
        <f aca="false">IF($B748="","",--(AND(F748&lt;&gt;"",F748&lt;=8))+--(AND(G748&lt;&gt;"",G748&lt;=8))+--(AND(H748&lt;&gt;"",H748&lt;=8))+--(AND(I748&lt;&gt;"",I748&lt;=8))+--(AND(J748&lt;&gt;"",J748&lt;=8))+--(AND(K748&lt;&gt;"",K748&lt;=8))+--(AND(L748&lt;&gt;"",L748&lt;=8))+--(AND(M748&lt;&gt;"",M748&lt;=8))+--(AND(N748&lt;&gt;"",N748&lt;=8))+--(AND(O748&lt;&gt;"",O748&lt;=8)))</f>
        <v/>
      </c>
    </row>
    <row r="749" customFormat="false" ht="15" hidden="false" customHeight="false" outlineLevel="0" collapsed="false">
      <c r="AZ749" s="5" t="str">
        <f aca="false">IF($B749="","",SUMPRODUCT(($AL749:$AO749&lt;&gt;"")*(COUNTIF($AP749:$AX749,$AL749:$AO749)&gt;0)))</f>
        <v/>
      </c>
      <c r="BA749" s="5" t="str">
        <f aca="false">IF($B749="","",IF(AZ749&gt;0,1,0))</f>
        <v/>
      </c>
      <c r="BB749" s="5" t="str">
        <f aca="false">IF($AP749="","",IF((($AP749="Engineering and Technology")+($AP749="Science and Mathematics")+($AP749="Computer Science, IT and Allied Fields")+($AP749="Life Sciences /Medicine and Healthcare")+($AP749="Paramedical")+($AP749="Architecture")+($AP749="Environmental Service")+($AP749="Agriculture, Food Industry and Forestry"))&gt;0,"Science",IF((($AP749="Banking and Finance")+($AP749="Management and Administration")+($AP749="Marketing")+($AP749="Sales")+($AP749="Entrepreneurship")+($AP749="Hospitality and Tourism"))&gt;0,"Commerce",IF((($AP749="Social Sciences and Humanities")+($AP749="Law Studies")+($AP749="Education and Training")+($AP749="Art, Design")+($AP749="Entertainment and Mass Media")+($AP749="Community and Social Service")+($AP749="Personal Care and Services")+($AP749="Government and Public Administration")+($AP749="Defence/ Protective Service")+($AP749="Sports"))&gt;0,"Arts / Humanities",""))))</f>
        <v/>
      </c>
      <c r="BC749" s="5" t="str">
        <f aca="false">IF($AL749="","",IF((($AL749="Engineering and Technology")+($AL749="Science and Mathematics")+($AL749="Computer Science, IT and Allied Fields")+($AL749="Life Sciences /Medicine and Healthcare")+($AL749="Paramedical")+($AL749="Architecture")+($AL749="Environmental Service")+($AL749="Agriculture, Food Industry and Forestry"))&gt;0,"Science",IF((($AL749="Banking and Finance")+($AL749="Management and Administration")+($AL749="Marketing")+($AL749="Sales")+($AL749="Entrepreneurship")+($AL749="Hospitality and Tourism"))&gt;0,"Commerce",IF((($AL749="Social Sciences and Humanities")+($AL749="Law Studies")+($AL749="Education and Training")+($AL749="Art, Design")+($AL749="Entertainment and Mass Media")+($AL749="Community and Social Service")+($AL749="Personal Care and Services")+($AL749="Government and Public Administration")+($AL749="Defence/ Protective Service")+($AL749="Sports"))&gt;0,"Arts / Humanities",""))))</f>
        <v/>
      </c>
      <c r="BD749" s="5" t="str">
        <f aca="false">IF($B749="","",--(F749&gt;=10)+--(G749&gt;=10)+--(H749&gt;=10)+--(I749&gt;=10)+--(J749&gt;=10)+--(K749&gt;=10)+--(L749&gt;=10)+--(M749&gt;=10)+--(N749&gt;=10)+--(O749&gt;=10))</f>
        <v/>
      </c>
      <c r="BE749" s="5" t="str">
        <f aca="false">IF($B749="","",--(AND(F749&lt;&gt;"",F749&lt;=8))+--(AND(G749&lt;&gt;"",G749&lt;=8))+--(AND(H749&lt;&gt;"",H749&lt;=8))+--(AND(I749&lt;&gt;"",I749&lt;=8))+--(AND(J749&lt;&gt;"",J749&lt;=8))+--(AND(K749&lt;&gt;"",K749&lt;=8))+--(AND(L749&lt;&gt;"",L749&lt;=8))+--(AND(M749&lt;&gt;"",M749&lt;=8))+--(AND(N749&lt;&gt;"",N749&lt;=8))+--(AND(O749&lt;&gt;"",O749&lt;=8)))</f>
        <v/>
      </c>
    </row>
    <row r="750" customFormat="false" ht="15" hidden="false" customHeight="false" outlineLevel="0" collapsed="false">
      <c r="AZ750" s="5" t="str">
        <f aca="false">IF($B750="","",SUMPRODUCT(($AL750:$AO750&lt;&gt;"")*(COUNTIF($AP750:$AX750,$AL750:$AO750)&gt;0)))</f>
        <v/>
      </c>
      <c r="BA750" s="5" t="str">
        <f aca="false">IF($B750="","",IF(AZ750&gt;0,1,0))</f>
        <v/>
      </c>
      <c r="BB750" s="5" t="str">
        <f aca="false">IF($AP750="","",IF((($AP750="Engineering and Technology")+($AP750="Science and Mathematics")+($AP750="Computer Science, IT and Allied Fields")+($AP750="Life Sciences /Medicine and Healthcare")+($AP750="Paramedical")+($AP750="Architecture")+($AP750="Environmental Service")+($AP750="Agriculture, Food Industry and Forestry"))&gt;0,"Science",IF((($AP750="Banking and Finance")+($AP750="Management and Administration")+($AP750="Marketing")+($AP750="Sales")+($AP750="Entrepreneurship")+($AP750="Hospitality and Tourism"))&gt;0,"Commerce",IF((($AP750="Social Sciences and Humanities")+($AP750="Law Studies")+($AP750="Education and Training")+($AP750="Art, Design")+($AP750="Entertainment and Mass Media")+($AP750="Community and Social Service")+($AP750="Personal Care and Services")+($AP750="Government and Public Administration")+($AP750="Defence/ Protective Service")+($AP750="Sports"))&gt;0,"Arts / Humanities",""))))</f>
        <v/>
      </c>
      <c r="BC750" s="5" t="str">
        <f aca="false">IF($AL750="","",IF((($AL750="Engineering and Technology")+($AL750="Science and Mathematics")+($AL750="Computer Science, IT and Allied Fields")+($AL750="Life Sciences /Medicine and Healthcare")+($AL750="Paramedical")+($AL750="Architecture")+($AL750="Environmental Service")+($AL750="Agriculture, Food Industry and Forestry"))&gt;0,"Science",IF((($AL750="Banking and Finance")+($AL750="Management and Administration")+($AL750="Marketing")+($AL750="Sales")+($AL750="Entrepreneurship")+($AL750="Hospitality and Tourism"))&gt;0,"Commerce",IF((($AL750="Social Sciences and Humanities")+($AL750="Law Studies")+($AL750="Education and Training")+($AL750="Art, Design")+($AL750="Entertainment and Mass Media")+($AL750="Community and Social Service")+($AL750="Personal Care and Services")+($AL750="Government and Public Administration")+($AL750="Defence/ Protective Service")+($AL750="Sports"))&gt;0,"Arts / Humanities",""))))</f>
        <v/>
      </c>
      <c r="BD750" s="5" t="str">
        <f aca="false">IF($B750="","",--(F750&gt;=10)+--(G750&gt;=10)+--(H750&gt;=10)+--(I750&gt;=10)+--(J750&gt;=10)+--(K750&gt;=10)+--(L750&gt;=10)+--(M750&gt;=10)+--(N750&gt;=10)+--(O750&gt;=10))</f>
        <v/>
      </c>
      <c r="BE750" s="5" t="str">
        <f aca="false">IF($B750="","",--(AND(F750&lt;&gt;"",F750&lt;=8))+--(AND(G750&lt;&gt;"",G750&lt;=8))+--(AND(H750&lt;&gt;"",H750&lt;=8))+--(AND(I750&lt;&gt;"",I750&lt;=8))+--(AND(J750&lt;&gt;"",J750&lt;=8))+--(AND(K750&lt;&gt;"",K750&lt;=8))+--(AND(L750&lt;&gt;"",L750&lt;=8))+--(AND(M750&lt;&gt;"",M750&lt;=8))+--(AND(N750&lt;&gt;"",N750&lt;=8))+--(AND(O750&lt;&gt;"",O750&lt;=8)))</f>
        <v/>
      </c>
    </row>
    <row r="751" customFormat="false" ht="15" hidden="false" customHeight="false" outlineLevel="0" collapsed="false">
      <c r="AZ751" s="5" t="str">
        <f aca="false">IF($B751="","",SUMPRODUCT(($AL751:$AO751&lt;&gt;"")*(COUNTIF($AP751:$AX751,$AL751:$AO751)&gt;0)))</f>
        <v/>
      </c>
      <c r="BA751" s="5" t="str">
        <f aca="false">IF($B751="","",IF(AZ751&gt;0,1,0))</f>
        <v/>
      </c>
      <c r="BB751" s="5" t="str">
        <f aca="false">IF($AP751="","",IF((($AP751="Engineering and Technology")+($AP751="Science and Mathematics")+($AP751="Computer Science, IT and Allied Fields")+($AP751="Life Sciences /Medicine and Healthcare")+($AP751="Paramedical")+($AP751="Architecture")+($AP751="Environmental Service")+($AP751="Agriculture, Food Industry and Forestry"))&gt;0,"Science",IF((($AP751="Banking and Finance")+($AP751="Management and Administration")+($AP751="Marketing")+($AP751="Sales")+($AP751="Entrepreneurship")+($AP751="Hospitality and Tourism"))&gt;0,"Commerce",IF((($AP751="Social Sciences and Humanities")+($AP751="Law Studies")+($AP751="Education and Training")+($AP751="Art, Design")+($AP751="Entertainment and Mass Media")+($AP751="Community and Social Service")+($AP751="Personal Care and Services")+($AP751="Government and Public Administration")+($AP751="Defence/ Protective Service")+($AP751="Sports"))&gt;0,"Arts / Humanities",""))))</f>
        <v/>
      </c>
      <c r="BC751" s="5" t="str">
        <f aca="false">IF($AL751="","",IF((($AL751="Engineering and Technology")+($AL751="Science and Mathematics")+($AL751="Computer Science, IT and Allied Fields")+($AL751="Life Sciences /Medicine and Healthcare")+($AL751="Paramedical")+($AL751="Architecture")+($AL751="Environmental Service")+($AL751="Agriculture, Food Industry and Forestry"))&gt;0,"Science",IF((($AL751="Banking and Finance")+($AL751="Management and Administration")+($AL751="Marketing")+($AL751="Sales")+($AL751="Entrepreneurship")+($AL751="Hospitality and Tourism"))&gt;0,"Commerce",IF((($AL751="Social Sciences and Humanities")+($AL751="Law Studies")+($AL751="Education and Training")+($AL751="Art, Design")+($AL751="Entertainment and Mass Media")+($AL751="Community and Social Service")+($AL751="Personal Care and Services")+($AL751="Government and Public Administration")+($AL751="Defence/ Protective Service")+($AL751="Sports"))&gt;0,"Arts / Humanities",""))))</f>
        <v/>
      </c>
      <c r="BD751" s="5" t="str">
        <f aca="false">IF($B751="","",--(F751&gt;=10)+--(G751&gt;=10)+--(H751&gt;=10)+--(I751&gt;=10)+--(J751&gt;=10)+--(K751&gt;=10)+--(L751&gt;=10)+--(M751&gt;=10)+--(N751&gt;=10)+--(O751&gt;=10))</f>
        <v/>
      </c>
      <c r="BE751" s="5" t="str">
        <f aca="false">IF($B751="","",--(AND(F751&lt;&gt;"",F751&lt;=8))+--(AND(G751&lt;&gt;"",G751&lt;=8))+--(AND(H751&lt;&gt;"",H751&lt;=8))+--(AND(I751&lt;&gt;"",I751&lt;=8))+--(AND(J751&lt;&gt;"",J751&lt;=8))+--(AND(K751&lt;&gt;"",K751&lt;=8))+--(AND(L751&lt;&gt;"",L751&lt;=8))+--(AND(M751&lt;&gt;"",M751&lt;=8))+--(AND(N751&lt;&gt;"",N751&lt;=8))+--(AND(O751&lt;&gt;"",O751&lt;=8)))</f>
        <v/>
      </c>
    </row>
    <row r="752" customFormat="false" ht="15" hidden="false" customHeight="false" outlineLevel="0" collapsed="false">
      <c r="AZ752" s="5" t="str">
        <f aca="false">IF($B752="","",SUMPRODUCT(($AL752:$AO752&lt;&gt;"")*(COUNTIF($AP752:$AX752,$AL752:$AO752)&gt;0)))</f>
        <v/>
      </c>
      <c r="BA752" s="5" t="str">
        <f aca="false">IF($B752="","",IF(AZ752&gt;0,1,0))</f>
        <v/>
      </c>
      <c r="BB752" s="5" t="str">
        <f aca="false">IF($AP752="","",IF((($AP752="Engineering and Technology")+($AP752="Science and Mathematics")+($AP752="Computer Science, IT and Allied Fields")+($AP752="Life Sciences /Medicine and Healthcare")+($AP752="Paramedical")+($AP752="Architecture")+($AP752="Environmental Service")+($AP752="Agriculture, Food Industry and Forestry"))&gt;0,"Science",IF((($AP752="Banking and Finance")+($AP752="Management and Administration")+($AP752="Marketing")+($AP752="Sales")+($AP752="Entrepreneurship")+($AP752="Hospitality and Tourism"))&gt;0,"Commerce",IF((($AP752="Social Sciences and Humanities")+($AP752="Law Studies")+($AP752="Education and Training")+($AP752="Art, Design")+($AP752="Entertainment and Mass Media")+($AP752="Community and Social Service")+($AP752="Personal Care and Services")+($AP752="Government and Public Administration")+($AP752="Defence/ Protective Service")+($AP752="Sports"))&gt;0,"Arts / Humanities",""))))</f>
        <v/>
      </c>
      <c r="BC752" s="5" t="str">
        <f aca="false">IF($AL752="","",IF((($AL752="Engineering and Technology")+($AL752="Science and Mathematics")+($AL752="Computer Science, IT and Allied Fields")+($AL752="Life Sciences /Medicine and Healthcare")+($AL752="Paramedical")+($AL752="Architecture")+($AL752="Environmental Service")+($AL752="Agriculture, Food Industry and Forestry"))&gt;0,"Science",IF((($AL752="Banking and Finance")+($AL752="Management and Administration")+($AL752="Marketing")+($AL752="Sales")+($AL752="Entrepreneurship")+($AL752="Hospitality and Tourism"))&gt;0,"Commerce",IF((($AL752="Social Sciences and Humanities")+($AL752="Law Studies")+($AL752="Education and Training")+($AL752="Art, Design")+($AL752="Entertainment and Mass Media")+($AL752="Community and Social Service")+($AL752="Personal Care and Services")+($AL752="Government and Public Administration")+($AL752="Defence/ Protective Service")+($AL752="Sports"))&gt;0,"Arts / Humanities",""))))</f>
        <v/>
      </c>
      <c r="BD752" s="5" t="str">
        <f aca="false">IF($B752="","",--(F752&gt;=10)+--(G752&gt;=10)+--(H752&gt;=10)+--(I752&gt;=10)+--(J752&gt;=10)+--(K752&gt;=10)+--(L752&gt;=10)+--(M752&gt;=10)+--(N752&gt;=10)+--(O752&gt;=10))</f>
        <v/>
      </c>
      <c r="BE752" s="5" t="str">
        <f aca="false">IF($B752="","",--(AND(F752&lt;&gt;"",F752&lt;=8))+--(AND(G752&lt;&gt;"",G752&lt;=8))+--(AND(H752&lt;&gt;"",H752&lt;=8))+--(AND(I752&lt;&gt;"",I752&lt;=8))+--(AND(J752&lt;&gt;"",J752&lt;=8))+--(AND(K752&lt;&gt;"",K752&lt;=8))+--(AND(L752&lt;&gt;"",L752&lt;=8))+--(AND(M752&lt;&gt;"",M752&lt;=8))+--(AND(N752&lt;&gt;"",N752&lt;=8))+--(AND(O752&lt;&gt;"",O752&lt;=8)))</f>
        <v/>
      </c>
    </row>
    <row r="753" customFormat="false" ht="15" hidden="false" customHeight="false" outlineLevel="0" collapsed="false">
      <c r="AZ753" s="5" t="str">
        <f aca="false">IF($B753="","",SUMPRODUCT(($AL753:$AO753&lt;&gt;"")*(COUNTIF($AP753:$AX753,$AL753:$AO753)&gt;0)))</f>
        <v/>
      </c>
      <c r="BA753" s="5" t="str">
        <f aca="false">IF($B753="","",IF(AZ753&gt;0,1,0))</f>
        <v/>
      </c>
      <c r="BB753" s="5" t="str">
        <f aca="false">IF($AP753="","",IF((($AP753="Engineering and Technology")+($AP753="Science and Mathematics")+($AP753="Computer Science, IT and Allied Fields")+($AP753="Life Sciences /Medicine and Healthcare")+($AP753="Paramedical")+($AP753="Architecture")+($AP753="Environmental Service")+($AP753="Agriculture, Food Industry and Forestry"))&gt;0,"Science",IF((($AP753="Banking and Finance")+($AP753="Management and Administration")+($AP753="Marketing")+($AP753="Sales")+($AP753="Entrepreneurship")+($AP753="Hospitality and Tourism"))&gt;0,"Commerce",IF((($AP753="Social Sciences and Humanities")+($AP753="Law Studies")+($AP753="Education and Training")+($AP753="Art, Design")+($AP753="Entertainment and Mass Media")+($AP753="Community and Social Service")+($AP753="Personal Care and Services")+($AP753="Government and Public Administration")+($AP753="Defence/ Protective Service")+($AP753="Sports"))&gt;0,"Arts / Humanities",""))))</f>
        <v/>
      </c>
      <c r="BC753" s="5" t="str">
        <f aca="false">IF($AL753="","",IF((($AL753="Engineering and Technology")+($AL753="Science and Mathematics")+($AL753="Computer Science, IT and Allied Fields")+($AL753="Life Sciences /Medicine and Healthcare")+($AL753="Paramedical")+($AL753="Architecture")+($AL753="Environmental Service")+($AL753="Agriculture, Food Industry and Forestry"))&gt;0,"Science",IF((($AL753="Banking and Finance")+($AL753="Management and Administration")+($AL753="Marketing")+($AL753="Sales")+($AL753="Entrepreneurship")+($AL753="Hospitality and Tourism"))&gt;0,"Commerce",IF((($AL753="Social Sciences and Humanities")+($AL753="Law Studies")+($AL753="Education and Training")+($AL753="Art, Design")+($AL753="Entertainment and Mass Media")+($AL753="Community and Social Service")+($AL753="Personal Care and Services")+($AL753="Government and Public Administration")+($AL753="Defence/ Protective Service")+($AL753="Sports"))&gt;0,"Arts / Humanities",""))))</f>
        <v/>
      </c>
      <c r="BD753" s="5" t="str">
        <f aca="false">IF($B753="","",--(F753&gt;=10)+--(G753&gt;=10)+--(H753&gt;=10)+--(I753&gt;=10)+--(J753&gt;=10)+--(K753&gt;=10)+--(L753&gt;=10)+--(M753&gt;=10)+--(N753&gt;=10)+--(O753&gt;=10))</f>
        <v/>
      </c>
      <c r="BE753" s="5" t="str">
        <f aca="false">IF($B753="","",--(AND(F753&lt;&gt;"",F753&lt;=8))+--(AND(G753&lt;&gt;"",G753&lt;=8))+--(AND(H753&lt;&gt;"",H753&lt;=8))+--(AND(I753&lt;&gt;"",I753&lt;=8))+--(AND(J753&lt;&gt;"",J753&lt;=8))+--(AND(K753&lt;&gt;"",K753&lt;=8))+--(AND(L753&lt;&gt;"",L753&lt;=8))+--(AND(M753&lt;&gt;"",M753&lt;=8))+--(AND(N753&lt;&gt;"",N753&lt;=8))+--(AND(O753&lt;&gt;"",O753&lt;=8)))</f>
        <v/>
      </c>
    </row>
    <row r="754" customFormat="false" ht="15" hidden="false" customHeight="false" outlineLevel="0" collapsed="false">
      <c r="AZ754" s="5" t="str">
        <f aca="false">IF($B754="","",SUMPRODUCT(($AL754:$AO754&lt;&gt;"")*(COUNTIF($AP754:$AX754,$AL754:$AO754)&gt;0)))</f>
        <v/>
      </c>
      <c r="BA754" s="5" t="str">
        <f aca="false">IF($B754="","",IF(AZ754&gt;0,1,0))</f>
        <v/>
      </c>
      <c r="BB754" s="5" t="str">
        <f aca="false">IF($AP754="","",IF((($AP754="Engineering and Technology")+($AP754="Science and Mathematics")+($AP754="Computer Science, IT and Allied Fields")+($AP754="Life Sciences /Medicine and Healthcare")+($AP754="Paramedical")+($AP754="Architecture")+($AP754="Environmental Service")+($AP754="Agriculture, Food Industry and Forestry"))&gt;0,"Science",IF((($AP754="Banking and Finance")+($AP754="Management and Administration")+($AP754="Marketing")+($AP754="Sales")+($AP754="Entrepreneurship")+($AP754="Hospitality and Tourism"))&gt;0,"Commerce",IF((($AP754="Social Sciences and Humanities")+($AP754="Law Studies")+($AP754="Education and Training")+($AP754="Art, Design")+($AP754="Entertainment and Mass Media")+($AP754="Community and Social Service")+($AP754="Personal Care and Services")+($AP754="Government and Public Administration")+($AP754="Defence/ Protective Service")+($AP754="Sports"))&gt;0,"Arts / Humanities",""))))</f>
        <v/>
      </c>
      <c r="BC754" s="5" t="str">
        <f aca="false">IF($AL754="","",IF((($AL754="Engineering and Technology")+($AL754="Science and Mathematics")+($AL754="Computer Science, IT and Allied Fields")+($AL754="Life Sciences /Medicine and Healthcare")+($AL754="Paramedical")+($AL754="Architecture")+($AL754="Environmental Service")+($AL754="Agriculture, Food Industry and Forestry"))&gt;0,"Science",IF((($AL754="Banking and Finance")+($AL754="Management and Administration")+($AL754="Marketing")+($AL754="Sales")+($AL754="Entrepreneurship")+($AL754="Hospitality and Tourism"))&gt;0,"Commerce",IF((($AL754="Social Sciences and Humanities")+($AL754="Law Studies")+($AL754="Education and Training")+($AL754="Art, Design")+($AL754="Entertainment and Mass Media")+($AL754="Community and Social Service")+($AL754="Personal Care and Services")+($AL754="Government and Public Administration")+($AL754="Defence/ Protective Service")+($AL754="Sports"))&gt;0,"Arts / Humanities",""))))</f>
        <v/>
      </c>
      <c r="BD754" s="5" t="str">
        <f aca="false">IF($B754="","",--(F754&gt;=10)+--(G754&gt;=10)+--(H754&gt;=10)+--(I754&gt;=10)+--(J754&gt;=10)+--(K754&gt;=10)+--(L754&gt;=10)+--(M754&gt;=10)+--(N754&gt;=10)+--(O754&gt;=10))</f>
        <v/>
      </c>
      <c r="BE754" s="5" t="str">
        <f aca="false">IF($B754="","",--(AND(F754&lt;&gt;"",F754&lt;=8))+--(AND(G754&lt;&gt;"",G754&lt;=8))+--(AND(H754&lt;&gt;"",H754&lt;=8))+--(AND(I754&lt;&gt;"",I754&lt;=8))+--(AND(J754&lt;&gt;"",J754&lt;=8))+--(AND(K754&lt;&gt;"",K754&lt;=8))+--(AND(L754&lt;&gt;"",L754&lt;=8))+--(AND(M754&lt;&gt;"",M754&lt;=8))+--(AND(N754&lt;&gt;"",N754&lt;=8))+--(AND(O754&lt;&gt;"",O754&lt;=8)))</f>
        <v/>
      </c>
    </row>
    <row r="755" customFormat="false" ht="15" hidden="false" customHeight="false" outlineLevel="0" collapsed="false">
      <c r="AZ755" s="5" t="str">
        <f aca="false">IF($B755="","",SUMPRODUCT(($AL755:$AO755&lt;&gt;"")*(COUNTIF($AP755:$AX755,$AL755:$AO755)&gt;0)))</f>
        <v/>
      </c>
      <c r="BA755" s="5" t="str">
        <f aca="false">IF($B755="","",IF(AZ755&gt;0,1,0))</f>
        <v/>
      </c>
      <c r="BB755" s="5" t="str">
        <f aca="false">IF($AP755="","",IF((($AP755="Engineering and Technology")+($AP755="Science and Mathematics")+($AP755="Computer Science, IT and Allied Fields")+($AP755="Life Sciences /Medicine and Healthcare")+($AP755="Paramedical")+($AP755="Architecture")+($AP755="Environmental Service")+($AP755="Agriculture, Food Industry and Forestry"))&gt;0,"Science",IF((($AP755="Banking and Finance")+($AP755="Management and Administration")+($AP755="Marketing")+($AP755="Sales")+($AP755="Entrepreneurship")+($AP755="Hospitality and Tourism"))&gt;0,"Commerce",IF((($AP755="Social Sciences and Humanities")+($AP755="Law Studies")+($AP755="Education and Training")+($AP755="Art, Design")+($AP755="Entertainment and Mass Media")+($AP755="Community and Social Service")+($AP755="Personal Care and Services")+($AP755="Government and Public Administration")+($AP755="Defence/ Protective Service")+($AP755="Sports"))&gt;0,"Arts / Humanities",""))))</f>
        <v/>
      </c>
      <c r="BC755" s="5" t="str">
        <f aca="false">IF($AL755="","",IF((($AL755="Engineering and Technology")+($AL755="Science and Mathematics")+($AL755="Computer Science, IT and Allied Fields")+($AL755="Life Sciences /Medicine and Healthcare")+($AL755="Paramedical")+($AL755="Architecture")+($AL755="Environmental Service")+($AL755="Agriculture, Food Industry and Forestry"))&gt;0,"Science",IF((($AL755="Banking and Finance")+($AL755="Management and Administration")+($AL755="Marketing")+($AL755="Sales")+($AL755="Entrepreneurship")+($AL755="Hospitality and Tourism"))&gt;0,"Commerce",IF((($AL755="Social Sciences and Humanities")+($AL755="Law Studies")+($AL755="Education and Training")+($AL755="Art, Design")+($AL755="Entertainment and Mass Media")+($AL755="Community and Social Service")+($AL755="Personal Care and Services")+($AL755="Government and Public Administration")+($AL755="Defence/ Protective Service")+($AL755="Sports"))&gt;0,"Arts / Humanities",""))))</f>
        <v/>
      </c>
      <c r="BD755" s="5" t="str">
        <f aca="false">IF($B755="","",--(F755&gt;=10)+--(G755&gt;=10)+--(H755&gt;=10)+--(I755&gt;=10)+--(J755&gt;=10)+--(K755&gt;=10)+--(L755&gt;=10)+--(M755&gt;=10)+--(N755&gt;=10)+--(O755&gt;=10))</f>
        <v/>
      </c>
      <c r="BE755" s="5" t="str">
        <f aca="false">IF($B755="","",--(AND(F755&lt;&gt;"",F755&lt;=8))+--(AND(G755&lt;&gt;"",G755&lt;=8))+--(AND(H755&lt;&gt;"",H755&lt;=8))+--(AND(I755&lt;&gt;"",I755&lt;=8))+--(AND(J755&lt;&gt;"",J755&lt;=8))+--(AND(K755&lt;&gt;"",K755&lt;=8))+--(AND(L755&lt;&gt;"",L755&lt;=8))+--(AND(M755&lt;&gt;"",M755&lt;=8))+--(AND(N755&lt;&gt;"",N755&lt;=8))+--(AND(O755&lt;&gt;"",O755&lt;=8)))</f>
        <v/>
      </c>
    </row>
    <row r="756" customFormat="false" ht="15" hidden="false" customHeight="false" outlineLevel="0" collapsed="false">
      <c r="AZ756" s="5" t="str">
        <f aca="false">IF($B756="","",SUMPRODUCT(($AL756:$AO756&lt;&gt;"")*(COUNTIF($AP756:$AX756,$AL756:$AO756)&gt;0)))</f>
        <v/>
      </c>
      <c r="BA756" s="5" t="str">
        <f aca="false">IF($B756="","",IF(AZ756&gt;0,1,0))</f>
        <v/>
      </c>
      <c r="BB756" s="5" t="str">
        <f aca="false">IF($AP756="","",IF((($AP756="Engineering and Technology")+($AP756="Science and Mathematics")+($AP756="Computer Science, IT and Allied Fields")+($AP756="Life Sciences /Medicine and Healthcare")+($AP756="Paramedical")+($AP756="Architecture")+($AP756="Environmental Service")+($AP756="Agriculture, Food Industry and Forestry"))&gt;0,"Science",IF((($AP756="Banking and Finance")+($AP756="Management and Administration")+($AP756="Marketing")+($AP756="Sales")+($AP756="Entrepreneurship")+($AP756="Hospitality and Tourism"))&gt;0,"Commerce",IF((($AP756="Social Sciences and Humanities")+($AP756="Law Studies")+($AP756="Education and Training")+($AP756="Art, Design")+($AP756="Entertainment and Mass Media")+($AP756="Community and Social Service")+($AP756="Personal Care and Services")+($AP756="Government and Public Administration")+($AP756="Defence/ Protective Service")+($AP756="Sports"))&gt;0,"Arts / Humanities",""))))</f>
        <v/>
      </c>
      <c r="BC756" s="5" t="str">
        <f aca="false">IF($AL756="","",IF((($AL756="Engineering and Technology")+($AL756="Science and Mathematics")+($AL756="Computer Science, IT and Allied Fields")+($AL756="Life Sciences /Medicine and Healthcare")+($AL756="Paramedical")+($AL756="Architecture")+($AL756="Environmental Service")+($AL756="Agriculture, Food Industry and Forestry"))&gt;0,"Science",IF((($AL756="Banking and Finance")+($AL756="Management and Administration")+($AL756="Marketing")+($AL756="Sales")+($AL756="Entrepreneurship")+($AL756="Hospitality and Tourism"))&gt;0,"Commerce",IF((($AL756="Social Sciences and Humanities")+($AL756="Law Studies")+($AL756="Education and Training")+($AL756="Art, Design")+($AL756="Entertainment and Mass Media")+($AL756="Community and Social Service")+($AL756="Personal Care and Services")+($AL756="Government and Public Administration")+($AL756="Defence/ Protective Service")+($AL756="Sports"))&gt;0,"Arts / Humanities",""))))</f>
        <v/>
      </c>
      <c r="BD756" s="5" t="str">
        <f aca="false">IF($B756="","",--(F756&gt;=10)+--(G756&gt;=10)+--(H756&gt;=10)+--(I756&gt;=10)+--(J756&gt;=10)+--(K756&gt;=10)+--(L756&gt;=10)+--(M756&gt;=10)+--(N756&gt;=10)+--(O756&gt;=10))</f>
        <v/>
      </c>
      <c r="BE756" s="5" t="str">
        <f aca="false">IF($B756="","",--(AND(F756&lt;&gt;"",F756&lt;=8))+--(AND(G756&lt;&gt;"",G756&lt;=8))+--(AND(H756&lt;&gt;"",H756&lt;=8))+--(AND(I756&lt;&gt;"",I756&lt;=8))+--(AND(J756&lt;&gt;"",J756&lt;=8))+--(AND(K756&lt;&gt;"",K756&lt;=8))+--(AND(L756&lt;&gt;"",L756&lt;=8))+--(AND(M756&lt;&gt;"",M756&lt;=8))+--(AND(N756&lt;&gt;"",N756&lt;=8))+--(AND(O756&lt;&gt;"",O756&lt;=8)))</f>
        <v/>
      </c>
    </row>
    <row r="757" customFormat="false" ht="15" hidden="false" customHeight="false" outlineLevel="0" collapsed="false">
      <c r="AZ757" s="5" t="str">
        <f aca="false">IF($B757="","",SUMPRODUCT(($AL757:$AO757&lt;&gt;"")*(COUNTIF($AP757:$AX757,$AL757:$AO757)&gt;0)))</f>
        <v/>
      </c>
      <c r="BA757" s="5" t="str">
        <f aca="false">IF($B757="","",IF(AZ757&gt;0,1,0))</f>
        <v/>
      </c>
      <c r="BB757" s="5" t="str">
        <f aca="false">IF($AP757="","",IF((($AP757="Engineering and Technology")+($AP757="Science and Mathematics")+($AP757="Computer Science, IT and Allied Fields")+($AP757="Life Sciences /Medicine and Healthcare")+($AP757="Paramedical")+($AP757="Architecture")+($AP757="Environmental Service")+($AP757="Agriculture, Food Industry and Forestry"))&gt;0,"Science",IF((($AP757="Banking and Finance")+($AP757="Management and Administration")+($AP757="Marketing")+($AP757="Sales")+($AP757="Entrepreneurship")+($AP757="Hospitality and Tourism"))&gt;0,"Commerce",IF((($AP757="Social Sciences and Humanities")+($AP757="Law Studies")+($AP757="Education and Training")+($AP757="Art, Design")+($AP757="Entertainment and Mass Media")+($AP757="Community and Social Service")+($AP757="Personal Care and Services")+($AP757="Government and Public Administration")+($AP757="Defence/ Protective Service")+($AP757="Sports"))&gt;0,"Arts / Humanities",""))))</f>
        <v/>
      </c>
      <c r="BC757" s="5" t="str">
        <f aca="false">IF($AL757="","",IF((($AL757="Engineering and Technology")+($AL757="Science and Mathematics")+($AL757="Computer Science, IT and Allied Fields")+($AL757="Life Sciences /Medicine and Healthcare")+($AL757="Paramedical")+($AL757="Architecture")+($AL757="Environmental Service")+($AL757="Agriculture, Food Industry and Forestry"))&gt;0,"Science",IF((($AL757="Banking and Finance")+($AL757="Management and Administration")+($AL757="Marketing")+($AL757="Sales")+($AL757="Entrepreneurship")+($AL757="Hospitality and Tourism"))&gt;0,"Commerce",IF((($AL757="Social Sciences and Humanities")+($AL757="Law Studies")+($AL757="Education and Training")+($AL757="Art, Design")+($AL757="Entertainment and Mass Media")+($AL757="Community and Social Service")+($AL757="Personal Care and Services")+($AL757="Government and Public Administration")+($AL757="Defence/ Protective Service")+($AL757="Sports"))&gt;0,"Arts / Humanities",""))))</f>
        <v/>
      </c>
      <c r="BD757" s="5" t="str">
        <f aca="false">IF($B757="","",--(F757&gt;=10)+--(G757&gt;=10)+--(H757&gt;=10)+--(I757&gt;=10)+--(J757&gt;=10)+--(K757&gt;=10)+--(L757&gt;=10)+--(M757&gt;=10)+--(N757&gt;=10)+--(O757&gt;=10))</f>
        <v/>
      </c>
      <c r="BE757" s="5" t="str">
        <f aca="false">IF($B757="","",--(AND(F757&lt;&gt;"",F757&lt;=8))+--(AND(G757&lt;&gt;"",G757&lt;=8))+--(AND(H757&lt;&gt;"",H757&lt;=8))+--(AND(I757&lt;&gt;"",I757&lt;=8))+--(AND(J757&lt;&gt;"",J757&lt;=8))+--(AND(K757&lt;&gt;"",K757&lt;=8))+--(AND(L757&lt;&gt;"",L757&lt;=8))+--(AND(M757&lt;&gt;"",M757&lt;=8))+--(AND(N757&lt;&gt;"",N757&lt;=8))+--(AND(O757&lt;&gt;"",O757&lt;=8)))</f>
        <v/>
      </c>
    </row>
    <row r="758" customFormat="false" ht="15" hidden="false" customHeight="false" outlineLevel="0" collapsed="false">
      <c r="AZ758" s="5" t="str">
        <f aca="false">IF($B758="","",SUMPRODUCT(($AL758:$AO758&lt;&gt;"")*(COUNTIF($AP758:$AX758,$AL758:$AO758)&gt;0)))</f>
        <v/>
      </c>
      <c r="BA758" s="5" t="str">
        <f aca="false">IF($B758="","",IF(AZ758&gt;0,1,0))</f>
        <v/>
      </c>
      <c r="BB758" s="5" t="str">
        <f aca="false">IF($AP758="","",IF((($AP758="Engineering and Technology")+($AP758="Science and Mathematics")+($AP758="Computer Science, IT and Allied Fields")+($AP758="Life Sciences /Medicine and Healthcare")+($AP758="Paramedical")+($AP758="Architecture")+($AP758="Environmental Service")+($AP758="Agriculture, Food Industry and Forestry"))&gt;0,"Science",IF((($AP758="Banking and Finance")+($AP758="Management and Administration")+($AP758="Marketing")+($AP758="Sales")+($AP758="Entrepreneurship")+($AP758="Hospitality and Tourism"))&gt;0,"Commerce",IF((($AP758="Social Sciences and Humanities")+($AP758="Law Studies")+($AP758="Education and Training")+($AP758="Art, Design")+($AP758="Entertainment and Mass Media")+($AP758="Community and Social Service")+($AP758="Personal Care and Services")+($AP758="Government and Public Administration")+($AP758="Defence/ Protective Service")+($AP758="Sports"))&gt;0,"Arts / Humanities",""))))</f>
        <v/>
      </c>
      <c r="BC758" s="5" t="str">
        <f aca="false">IF($AL758="","",IF((($AL758="Engineering and Technology")+($AL758="Science and Mathematics")+($AL758="Computer Science, IT and Allied Fields")+($AL758="Life Sciences /Medicine and Healthcare")+($AL758="Paramedical")+($AL758="Architecture")+($AL758="Environmental Service")+($AL758="Agriculture, Food Industry and Forestry"))&gt;0,"Science",IF((($AL758="Banking and Finance")+($AL758="Management and Administration")+($AL758="Marketing")+($AL758="Sales")+($AL758="Entrepreneurship")+($AL758="Hospitality and Tourism"))&gt;0,"Commerce",IF((($AL758="Social Sciences and Humanities")+($AL758="Law Studies")+($AL758="Education and Training")+($AL758="Art, Design")+($AL758="Entertainment and Mass Media")+($AL758="Community and Social Service")+($AL758="Personal Care and Services")+($AL758="Government and Public Administration")+($AL758="Defence/ Protective Service")+($AL758="Sports"))&gt;0,"Arts / Humanities",""))))</f>
        <v/>
      </c>
      <c r="BD758" s="5" t="str">
        <f aca="false">IF($B758="","",--(F758&gt;=10)+--(G758&gt;=10)+--(H758&gt;=10)+--(I758&gt;=10)+--(J758&gt;=10)+--(K758&gt;=10)+--(L758&gt;=10)+--(M758&gt;=10)+--(N758&gt;=10)+--(O758&gt;=10))</f>
        <v/>
      </c>
      <c r="BE758" s="5" t="str">
        <f aca="false">IF($B758="","",--(AND(F758&lt;&gt;"",F758&lt;=8))+--(AND(G758&lt;&gt;"",G758&lt;=8))+--(AND(H758&lt;&gt;"",H758&lt;=8))+--(AND(I758&lt;&gt;"",I758&lt;=8))+--(AND(J758&lt;&gt;"",J758&lt;=8))+--(AND(K758&lt;&gt;"",K758&lt;=8))+--(AND(L758&lt;&gt;"",L758&lt;=8))+--(AND(M758&lt;&gt;"",M758&lt;=8))+--(AND(N758&lt;&gt;"",N758&lt;=8))+--(AND(O758&lt;&gt;"",O758&lt;=8)))</f>
        <v/>
      </c>
    </row>
    <row r="759" customFormat="false" ht="15" hidden="false" customHeight="false" outlineLevel="0" collapsed="false">
      <c r="AZ759" s="5" t="str">
        <f aca="false">IF($B759="","",SUMPRODUCT(($AL759:$AO759&lt;&gt;"")*(COUNTIF($AP759:$AX759,$AL759:$AO759)&gt;0)))</f>
        <v/>
      </c>
      <c r="BA759" s="5" t="str">
        <f aca="false">IF($B759="","",IF(AZ759&gt;0,1,0))</f>
        <v/>
      </c>
      <c r="BB759" s="5" t="str">
        <f aca="false">IF($AP759="","",IF((($AP759="Engineering and Technology")+($AP759="Science and Mathematics")+($AP759="Computer Science, IT and Allied Fields")+($AP759="Life Sciences /Medicine and Healthcare")+($AP759="Paramedical")+($AP759="Architecture")+($AP759="Environmental Service")+($AP759="Agriculture, Food Industry and Forestry"))&gt;0,"Science",IF((($AP759="Banking and Finance")+($AP759="Management and Administration")+($AP759="Marketing")+($AP759="Sales")+($AP759="Entrepreneurship")+($AP759="Hospitality and Tourism"))&gt;0,"Commerce",IF((($AP759="Social Sciences and Humanities")+($AP759="Law Studies")+($AP759="Education and Training")+($AP759="Art, Design")+($AP759="Entertainment and Mass Media")+($AP759="Community and Social Service")+($AP759="Personal Care and Services")+($AP759="Government and Public Administration")+($AP759="Defence/ Protective Service")+($AP759="Sports"))&gt;0,"Arts / Humanities",""))))</f>
        <v/>
      </c>
      <c r="BC759" s="5" t="str">
        <f aca="false">IF($AL759="","",IF((($AL759="Engineering and Technology")+($AL759="Science and Mathematics")+($AL759="Computer Science, IT and Allied Fields")+($AL759="Life Sciences /Medicine and Healthcare")+($AL759="Paramedical")+($AL759="Architecture")+($AL759="Environmental Service")+($AL759="Agriculture, Food Industry and Forestry"))&gt;0,"Science",IF((($AL759="Banking and Finance")+($AL759="Management and Administration")+($AL759="Marketing")+($AL759="Sales")+($AL759="Entrepreneurship")+($AL759="Hospitality and Tourism"))&gt;0,"Commerce",IF((($AL759="Social Sciences and Humanities")+($AL759="Law Studies")+($AL759="Education and Training")+($AL759="Art, Design")+($AL759="Entertainment and Mass Media")+($AL759="Community and Social Service")+($AL759="Personal Care and Services")+($AL759="Government and Public Administration")+($AL759="Defence/ Protective Service")+($AL759="Sports"))&gt;0,"Arts / Humanities",""))))</f>
        <v/>
      </c>
      <c r="BD759" s="5" t="str">
        <f aca="false">IF($B759="","",--(F759&gt;=10)+--(G759&gt;=10)+--(H759&gt;=10)+--(I759&gt;=10)+--(J759&gt;=10)+--(K759&gt;=10)+--(L759&gt;=10)+--(M759&gt;=10)+--(N759&gt;=10)+--(O759&gt;=10))</f>
        <v/>
      </c>
      <c r="BE759" s="5" t="str">
        <f aca="false">IF($B759="","",--(AND(F759&lt;&gt;"",F759&lt;=8))+--(AND(G759&lt;&gt;"",G759&lt;=8))+--(AND(H759&lt;&gt;"",H759&lt;=8))+--(AND(I759&lt;&gt;"",I759&lt;=8))+--(AND(J759&lt;&gt;"",J759&lt;=8))+--(AND(K759&lt;&gt;"",K759&lt;=8))+--(AND(L759&lt;&gt;"",L759&lt;=8))+--(AND(M759&lt;&gt;"",M759&lt;=8))+--(AND(N759&lt;&gt;"",N759&lt;=8))+--(AND(O759&lt;&gt;"",O759&lt;=8)))</f>
        <v/>
      </c>
    </row>
    <row r="760" customFormat="false" ht="15" hidden="false" customHeight="false" outlineLevel="0" collapsed="false">
      <c r="AZ760" s="5" t="str">
        <f aca="false">IF($B760="","",SUMPRODUCT(($AL760:$AO760&lt;&gt;"")*(COUNTIF($AP760:$AX760,$AL760:$AO760)&gt;0)))</f>
        <v/>
      </c>
      <c r="BA760" s="5" t="str">
        <f aca="false">IF($B760="","",IF(AZ760&gt;0,1,0))</f>
        <v/>
      </c>
      <c r="BB760" s="5" t="str">
        <f aca="false">IF($AP760="","",IF((($AP760="Engineering and Technology")+($AP760="Science and Mathematics")+($AP760="Computer Science, IT and Allied Fields")+($AP760="Life Sciences /Medicine and Healthcare")+($AP760="Paramedical")+($AP760="Architecture")+($AP760="Environmental Service")+($AP760="Agriculture, Food Industry and Forestry"))&gt;0,"Science",IF((($AP760="Banking and Finance")+($AP760="Management and Administration")+($AP760="Marketing")+($AP760="Sales")+($AP760="Entrepreneurship")+($AP760="Hospitality and Tourism"))&gt;0,"Commerce",IF((($AP760="Social Sciences and Humanities")+($AP760="Law Studies")+($AP760="Education and Training")+($AP760="Art, Design")+($AP760="Entertainment and Mass Media")+($AP760="Community and Social Service")+($AP760="Personal Care and Services")+($AP760="Government and Public Administration")+($AP760="Defence/ Protective Service")+($AP760="Sports"))&gt;0,"Arts / Humanities",""))))</f>
        <v/>
      </c>
      <c r="BC760" s="5" t="str">
        <f aca="false">IF($AL760="","",IF((($AL760="Engineering and Technology")+($AL760="Science and Mathematics")+($AL760="Computer Science, IT and Allied Fields")+($AL760="Life Sciences /Medicine and Healthcare")+($AL760="Paramedical")+($AL760="Architecture")+($AL760="Environmental Service")+($AL760="Agriculture, Food Industry and Forestry"))&gt;0,"Science",IF((($AL760="Banking and Finance")+($AL760="Management and Administration")+($AL760="Marketing")+($AL760="Sales")+($AL760="Entrepreneurship")+($AL760="Hospitality and Tourism"))&gt;0,"Commerce",IF((($AL760="Social Sciences and Humanities")+($AL760="Law Studies")+($AL760="Education and Training")+($AL760="Art, Design")+($AL760="Entertainment and Mass Media")+($AL760="Community and Social Service")+($AL760="Personal Care and Services")+($AL760="Government and Public Administration")+($AL760="Defence/ Protective Service")+($AL760="Sports"))&gt;0,"Arts / Humanities",""))))</f>
        <v/>
      </c>
      <c r="BD760" s="5" t="str">
        <f aca="false">IF($B760="","",--(F760&gt;=10)+--(G760&gt;=10)+--(H760&gt;=10)+--(I760&gt;=10)+--(J760&gt;=10)+--(K760&gt;=10)+--(L760&gt;=10)+--(M760&gt;=10)+--(N760&gt;=10)+--(O760&gt;=10))</f>
        <v/>
      </c>
      <c r="BE760" s="5" t="str">
        <f aca="false">IF($B760="","",--(AND(F760&lt;&gt;"",F760&lt;=8))+--(AND(G760&lt;&gt;"",G760&lt;=8))+--(AND(H760&lt;&gt;"",H760&lt;=8))+--(AND(I760&lt;&gt;"",I760&lt;=8))+--(AND(J760&lt;&gt;"",J760&lt;=8))+--(AND(K760&lt;&gt;"",K760&lt;=8))+--(AND(L760&lt;&gt;"",L760&lt;=8))+--(AND(M760&lt;&gt;"",M760&lt;=8))+--(AND(N760&lt;&gt;"",N760&lt;=8))+--(AND(O760&lt;&gt;"",O760&lt;=8)))</f>
        <v/>
      </c>
    </row>
    <row r="761" customFormat="false" ht="15" hidden="false" customHeight="false" outlineLevel="0" collapsed="false">
      <c r="AZ761" s="5" t="str">
        <f aca="false">IF($B761="","",SUMPRODUCT(($AL761:$AO761&lt;&gt;"")*(COUNTIF($AP761:$AX761,$AL761:$AO761)&gt;0)))</f>
        <v/>
      </c>
      <c r="BA761" s="5" t="str">
        <f aca="false">IF($B761="","",IF(AZ761&gt;0,1,0))</f>
        <v/>
      </c>
      <c r="BB761" s="5" t="str">
        <f aca="false">IF($AP761="","",IF((($AP761="Engineering and Technology")+($AP761="Science and Mathematics")+($AP761="Computer Science, IT and Allied Fields")+($AP761="Life Sciences /Medicine and Healthcare")+($AP761="Paramedical")+($AP761="Architecture")+($AP761="Environmental Service")+($AP761="Agriculture, Food Industry and Forestry"))&gt;0,"Science",IF((($AP761="Banking and Finance")+($AP761="Management and Administration")+($AP761="Marketing")+($AP761="Sales")+($AP761="Entrepreneurship")+($AP761="Hospitality and Tourism"))&gt;0,"Commerce",IF((($AP761="Social Sciences and Humanities")+($AP761="Law Studies")+($AP761="Education and Training")+($AP761="Art, Design")+($AP761="Entertainment and Mass Media")+($AP761="Community and Social Service")+($AP761="Personal Care and Services")+($AP761="Government and Public Administration")+($AP761="Defence/ Protective Service")+($AP761="Sports"))&gt;0,"Arts / Humanities",""))))</f>
        <v/>
      </c>
      <c r="BC761" s="5" t="str">
        <f aca="false">IF($AL761="","",IF((($AL761="Engineering and Technology")+($AL761="Science and Mathematics")+($AL761="Computer Science, IT and Allied Fields")+($AL761="Life Sciences /Medicine and Healthcare")+($AL761="Paramedical")+($AL761="Architecture")+($AL761="Environmental Service")+($AL761="Agriculture, Food Industry and Forestry"))&gt;0,"Science",IF((($AL761="Banking and Finance")+($AL761="Management and Administration")+($AL761="Marketing")+($AL761="Sales")+($AL761="Entrepreneurship")+($AL761="Hospitality and Tourism"))&gt;0,"Commerce",IF((($AL761="Social Sciences and Humanities")+($AL761="Law Studies")+($AL761="Education and Training")+($AL761="Art, Design")+($AL761="Entertainment and Mass Media")+($AL761="Community and Social Service")+($AL761="Personal Care and Services")+($AL761="Government and Public Administration")+($AL761="Defence/ Protective Service")+($AL761="Sports"))&gt;0,"Arts / Humanities",""))))</f>
        <v/>
      </c>
      <c r="BD761" s="5" t="str">
        <f aca="false">IF($B761="","",--(F761&gt;=10)+--(G761&gt;=10)+--(H761&gt;=10)+--(I761&gt;=10)+--(J761&gt;=10)+--(K761&gt;=10)+--(L761&gt;=10)+--(M761&gt;=10)+--(N761&gt;=10)+--(O761&gt;=10))</f>
        <v/>
      </c>
      <c r="BE761" s="5" t="str">
        <f aca="false">IF($B761="","",--(AND(F761&lt;&gt;"",F761&lt;=8))+--(AND(G761&lt;&gt;"",G761&lt;=8))+--(AND(H761&lt;&gt;"",H761&lt;=8))+--(AND(I761&lt;&gt;"",I761&lt;=8))+--(AND(J761&lt;&gt;"",J761&lt;=8))+--(AND(K761&lt;&gt;"",K761&lt;=8))+--(AND(L761&lt;&gt;"",L761&lt;=8))+--(AND(M761&lt;&gt;"",M761&lt;=8))+--(AND(N761&lt;&gt;"",N761&lt;=8))+--(AND(O761&lt;&gt;"",O761&lt;=8)))</f>
        <v/>
      </c>
    </row>
    <row r="762" customFormat="false" ht="15" hidden="false" customHeight="false" outlineLevel="0" collapsed="false">
      <c r="AZ762" s="5" t="str">
        <f aca="false">IF($B762="","",SUMPRODUCT(($AL762:$AO762&lt;&gt;"")*(COUNTIF($AP762:$AX762,$AL762:$AO762)&gt;0)))</f>
        <v/>
      </c>
      <c r="BA762" s="5" t="str">
        <f aca="false">IF($B762="","",IF(AZ762&gt;0,1,0))</f>
        <v/>
      </c>
      <c r="BB762" s="5" t="str">
        <f aca="false">IF($AP762="","",IF((($AP762="Engineering and Technology")+($AP762="Science and Mathematics")+($AP762="Computer Science, IT and Allied Fields")+($AP762="Life Sciences /Medicine and Healthcare")+($AP762="Paramedical")+($AP762="Architecture")+($AP762="Environmental Service")+($AP762="Agriculture, Food Industry and Forestry"))&gt;0,"Science",IF((($AP762="Banking and Finance")+($AP762="Management and Administration")+($AP762="Marketing")+($AP762="Sales")+($AP762="Entrepreneurship")+($AP762="Hospitality and Tourism"))&gt;0,"Commerce",IF((($AP762="Social Sciences and Humanities")+($AP762="Law Studies")+($AP762="Education and Training")+($AP762="Art, Design")+($AP762="Entertainment and Mass Media")+($AP762="Community and Social Service")+($AP762="Personal Care and Services")+($AP762="Government and Public Administration")+($AP762="Defence/ Protective Service")+($AP762="Sports"))&gt;0,"Arts / Humanities",""))))</f>
        <v/>
      </c>
      <c r="BC762" s="5" t="str">
        <f aca="false">IF($AL762="","",IF((($AL762="Engineering and Technology")+($AL762="Science and Mathematics")+($AL762="Computer Science, IT and Allied Fields")+($AL762="Life Sciences /Medicine and Healthcare")+($AL762="Paramedical")+($AL762="Architecture")+($AL762="Environmental Service")+($AL762="Agriculture, Food Industry and Forestry"))&gt;0,"Science",IF((($AL762="Banking and Finance")+($AL762="Management and Administration")+($AL762="Marketing")+($AL762="Sales")+($AL762="Entrepreneurship")+($AL762="Hospitality and Tourism"))&gt;0,"Commerce",IF((($AL762="Social Sciences and Humanities")+($AL762="Law Studies")+($AL762="Education and Training")+($AL762="Art, Design")+($AL762="Entertainment and Mass Media")+($AL762="Community and Social Service")+($AL762="Personal Care and Services")+($AL762="Government and Public Administration")+($AL762="Defence/ Protective Service")+($AL762="Sports"))&gt;0,"Arts / Humanities",""))))</f>
        <v/>
      </c>
      <c r="BD762" s="5" t="str">
        <f aca="false">IF($B762="","",--(F762&gt;=10)+--(G762&gt;=10)+--(H762&gt;=10)+--(I762&gt;=10)+--(J762&gt;=10)+--(K762&gt;=10)+--(L762&gt;=10)+--(M762&gt;=10)+--(N762&gt;=10)+--(O762&gt;=10))</f>
        <v/>
      </c>
      <c r="BE762" s="5" t="str">
        <f aca="false">IF($B762="","",--(AND(F762&lt;&gt;"",F762&lt;=8))+--(AND(G762&lt;&gt;"",G762&lt;=8))+--(AND(H762&lt;&gt;"",H762&lt;=8))+--(AND(I762&lt;&gt;"",I762&lt;=8))+--(AND(J762&lt;&gt;"",J762&lt;=8))+--(AND(K762&lt;&gt;"",K762&lt;=8))+--(AND(L762&lt;&gt;"",L762&lt;=8))+--(AND(M762&lt;&gt;"",M762&lt;=8))+--(AND(N762&lt;&gt;"",N762&lt;=8))+--(AND(O762&lt;&gt;"",O762&lt;=8)))</f>
        <v/>
      </c>
    </row>
    <row r="763" customFormat="false" ht="15" hidden="false" customHeight="false" outlineLevel="0" collapsed="false">
      <c r="AZ763" s="5" t="str">
        <f aca="false">IF($B763="","",SUMPRODUCT(($AL763:$AO763&lt;&gt;"")*(COUNTIF($AP763:$AX763,$AL763:$AO763)&gt;0)))</f>
        <v/>
      </c>
      <c r="BA763" s="5" t="str">
        <f aca="false">IF($B763="","",IF(AZ763&gt;0,1,0))</f>
        <v/>
      </c>
      <c r="BB763" s="5" t="str">
        <f aca="false">IF($AP763="","",IF((($AP763="Engineering and Technology")+($AP763="Science and Mathematics")+($AP763="Computer Science, IT and Allied Fields")+($AP763="Life Sciences /Medicine and Healthcare")+($AP763="Paramedical")+($AP763="Architecture")+($AP763="Environmental Service")+($AP763="Agriculture, Food Industry and Forestry"))&gt;0,"Science",IF((($AP763="Banking and Finance")+($AP763="Management and Administration")+($AP763="Marketing")+($AP763="Sales")+($AP763="Entrepreneurship")+($AP763="Hospitality and Tourism"))&gt;0,"Commerce",IF((($AP763="Social Sciences and Humanities")+($AP763="Law Studies")+($AP763="Education and Training")+($AP763="Art, Design")+($AP763="Entertainment and Mass Media")+($AP763="Community and Social Service")+($AP763="Personal Care and Services")+($AP763="Government and Public Administration")+($AP763="Defence/ Protective Service")+($AP763="Sports"))&gt;0,"Arts / Humanities",""))))</f>
        <v/>
      </c>
      <c r="BC763" s="5" t="str">
        <f aca="false">IF($AL763="","",IF((($AL763="Engineering and Technology")+($AL763="Science and Mathematics")+($AL763="Computer Science, IT and Allied Fields")+($AL763="Life Sciences /Medicine and Healthcare")+($AL763="Paramedical")+($AL763="Architecture")+($AL763="Environmental Service")+($AL763="Agriculture, Food Industry and Forestry"))&gt;0,"Science",IF((($AL763="Banking and Finance")+($AL763="Management and Administration")+($AL763="Marketing")+($AL763="Sales")+($AL763="Entrepreneurship")+($AL763="Hospitality and Tourism"))&gt;0,"Commerce",IF((($AL763="Social Sciences and Humanities")+($AL763="Law Studies")+($AL763="Education and Training")+($AL763="Art, Design")+($AL763="Entertainment and Mass Media")+($AL763="Community and Social Service")+($AL763="Personal Care and Services")+($AL763="Government and Public Administration")+($AL763="Defence/ Protective Service")+($AL763="Sports"))&gt;0,"Arts / Humanities",""))))</f>
        <v/>
      </c>
      <c r="BD763" s="5" t="str">
        <f aca="false">IF($B763="","",--(F763&gt;=10)+--(G763&gt;=10)+--(H763&gt;=10)+--(I763&gt;=10)+--(J763&gt;=10)+--(K763&gt;=10)+--(L763&gt;=10)+--(M763&gt;=10)+--(N763&gt;=10)+--(O763&gt;=10))</f>
        <v/>
      </c>
      <c r="BE763" s="5" t="str">
        <f aca="false">IF($B763="","",--(AND(F763&lt;&gt;"",F763&lt;=8))+--(AND(G763&lt;&gt;"",G763&lt;=8))+--(AND(H763&lt;&gt;"",H763&lt;=8))+--(AND(I763&lt;&gt;"",I763&lt;=8))+--(AND(J763&lt;&gt;"",J763&lt;=8))+--(AND(K763&lt;&gt;"",K763&lt;=8))+--(AND(L763&lt;&gt;"",L763&lt;=8))+--(AND(M763&lt;&gt;"",M763&lt;=8))+--(AND(N763&lt;&gt;"",N763&lt;=8))+--(AND(O763&lt;&gt;"",O763&lt;=8)))</f>
        <v/>
      </c>
    </row>
    <row r="764" customFormat="false" ht="15" hidden="false" customHeight="false" outlineLevel="0" collapsed="false">
      <c r="AZ764" s="5" t="str">
        <f aca="false">IF($B764="","",SUMPRODUCT(($AL764:$AO764&lt;&gt;"")*(COUNTIF($AP764:$AX764,$AL764:$AO764)&gt;0)))</f>
        <v/>
      </c>
      <c r="BA764" s="5" t="str">
        <f aca="false">IF($B764="","",IF(AZ764&gt;0,1,0))</f>
        <v/>
      </c>
      <c r="BB764" s="5" t="str">
        <f aca="false">IF($AP764="","",IF((($AP764="Engineering and Technology")+($AP764="Science and Mathematics")+($AP764="Computer Science, IT and Allied Fields")+($AP764="Life Sciences /Medicine and Healthcare")+($AP764="Paramedical")+($AP764="Architecture")+($AP764="Environmental Service")+($AP764="Agriculture, Food Industry and Forestry"))&gt;0,"Science",IF((($AP764="Banking and Finance")+($AP764="Management and Administration")+($AP764="Marketing")+($AP764="Sales")+($AP764="Entrepreneurship")+($AP764="Hospitality and Tourism"))&gt;0,"Commerce",IF((($AP764="Social Sciences and Humanities")+($AP764="Law Studies")+($AP764="Education and Training")+($AP764="Art, Design")+($AP764="Entertainment and Mass Media")+($AP764="Community and Social Service")+($AP764="Personal Care and Services")+($AP764="Government and Public Administration")+($AP764="Defence/ Protective Service")+($AP764="Sports"))&gt;0,"Arts / Humanities",""))))</f>
        <v/>
      </c>
      <c r="BC764" s="5" t="str">
        <f aca="false">IF($AL764="","",IF((($AL764="Engineering and Technology")+($AL764="Science and Mathematics")+($AL764="Computer Science, IT and Allied Fields")+($AL764="Life Sciences /Medicine and Healthcare")+($AL764="Paramedical")+($AL764="Architecture")+($AL764="Environmental Service")+($AL764="Agriculture, Food Industry and Forestry"))&gt;0,"Science",IF((($AL764="Banking and Finance")+($AL764="Management and Administration")+($AL764="Marketing")+($AL764="Sales")+($AL764="Entrepreneurship")+($AL764="Hospitality and Tourism"))&gt;0,"Commerce",IF((($AL764="Social Sciences and Humanities")+($AL764="Law Studies")+($AL764="Education and Training")+($AL764="Art, Design")+($AL764="Entertainment and Mass Media")+($AL764="Community and Social Service")+($AL764="Personal Care and Services")+($AL764="Government and Public Administration")+($AL764="Defence/ Protective Service")+($AL764="Sports"))&gt;0,"Arts / Humanities",""))))</f>
        <v/>
      </c>
      <c r="BD764" s="5" t="str">
        <f aca="false">IF($B764="","",--(F764&gt;=10)+--(G764&gt;=10)+--(H764&gt;=10)+--(I764&gt;=10)+--(J764&gt;=10)+--(K764&gt;=10)+--(L764&gt;=10)+--(M764&gt;=10)+--(N764&gt;=10)+--(O764&gt;=10))</f>
        <v/>
      </c>
      <c r="BE764" s="5" t="str">
        <f aca="false">IF($B764="","",--(AND(F764&lt;&gt;"",F764&lt;=8))+--(AND(G764&lt;&gt;"",G764&lt;=8))+--(AND(H764&lt;&gt;"",H764&lt;=8))+--(AND(I764&lt;&gt;"",I764&lt;=8))+--(AND(J764&lt;&gt;"",J764&lt;=8))+--(AND(K764&lt;&gt;"",K764&lt;=8))+--(AND(L764&lt;&gt;"",L764&lt;=8))+--(AND(M764&lt;&gt;"",M764&lt;=8))+--(AND(N764&lt;&gt;"",N764&lt;=8))+--(AND(O764&lt;&gt;"",O764&lt;=8)))</f>
        <v/>
      </c>
    </row>
    <row r="765" customFormat="false" ht="15" hidden="false" customHeight="false" outlineLevel="0" collapsed="false">
      <c r="AZ765" s="5" t="str">
        <f aca="false">IF($B765="","",SUMPRODUCT(($AL765:$AO765&lt;&gt;"")*(COUNTIF($AP765:$AX765,$AL765:$AO765)&gt;0)))</f>
        <v/>
      </c>
      <c r="BA765" s="5" t="str">
        <f aca="false">IF($B765="","",IF(AZ765&gt;0,1,0))</f>
        <v/>
      </c>
      <c r="BB765" s="5" t="str">
        <f aca="false">IF($AP765="","",IF((($AP765="Engineering and Technology")+($AP765="Science and Mathematics")+($AP765="Computer Science, IT and Allied Fields")+($AP765="Life Sciences /Medicine and Healthcare")+($AP765="Paramedical")+($AP765="Architecture")+($AP765="Environmental Service")+($AP765="Agriculture, Food Industry and Forestry"))&gt;0,"Science",IF((($AP765="Banking and Finance")+($AP765="Management and Administration")+($AP765="Marketing")+($AP765="Sales")+($AP765="Entrepreneurship")+($AP765="Hospitality and Tourism"))&gt;0,"Commerce",IF((($AP765="Social Sciences and Humanities")+($AP765="Law Studies")+($AP765="Education and Training")+($AP765="Art, Design")+($AP765="Entertainment and Mass Media")+($AP765="Community and Social Service")+($AP765="Personal Care and Services")+($AP765="Government and Public Administration")+($AP765="Defence/ Protective Service")+($AP765="Sports"))&gt;0,"Arts / Humanities",""))))</f>
        <v/>
      </c>
      <c r="BC765" s="5" t="str">
        <f aca="false">IF($AL765="","",IF((($AL765="Engineering and Technology")+($AL765="Science and Mathematics")+($AL765="Computer Science, IT and Allied Fields")+($AL765="Life Sciences /Medicine and Healthcare")+($AL765="Paramedical")+($AL765="Architecture")+($AL765="Environmental Service")+($AL765="Agriculture, Food Industry and Forestry"))&gt;0,"Science",IF((($AL765="Banking and Finance")+($AL765="Management and Administration")+($AL765="Marketing")+($AL765="Sales")+($AL765="Entrepreneurship")+($AL765="Hospitality and Tourism"))&gt;0,"Commerce",IF((($AL765="Social Sciences and Humanities")+($AL765="Law Studies")+($AL765="Education and Training")+($AL765="Art, Design")+($AL765="Entertainment and Mass Media")+($AL765="Community and Social Service")+($AL765="Personal Care and Services")+($AL765="Government and Public Administration")+($AL765="Defence/ Protective Service")+($AL765="Sports"))&gt;0,"Arts / Humanities",""))))</f>
        <v/>
      </c>
      <c r="BD765" s="5" t="str">
        <f aca="false">IF($B765="","",--(F765&gt;=10)+--(G765&gt;=10)+--(H765&gt;=10)+--(I765&gt;=10)+--(J765&gt;=10)+--(K765&gt;=10)+--(L765&gt;=10)+--(M765&gt;=10)+--(N765&gt;=10)+--(O765&gt;=10))</f>
        <v/>
      </c>
      <c r="BE765" s="5" t="str">
        <f aca="false">IF($B765="","",--(AND(F765&lt;&gt;"",F765&lt;=8))+--(AND(G765&lt;&gt;"",G765&lt;=8))+--(AND(H765&lt;&gt;"",H765&lt;=8))+--(AND(I765&lt;&gt;"",I765&lt;=8))+--(AND(J765&lt;&gt;"",J765&lt;=8))+--(AND(K765&lt;&gt;"",K765&lt;=8))+--(AND(L765&lt;&gt;"",L765&lt;=8))+--(AND(M765&lt;&gt;"",M765&lt;=8))+--(AND(N765&lt;&gt;"",N765&lt;=8))+--(AND(O765&lt;&gt;"",O765&lt;=8)))</f>
        <v/>
      </c>
    </row>
    <row r="766" customFormat="false" ht="15" hidden="false" customHeight="false" outlineLevel="0" collapsed="false">
      <c r="AZ766" s="5" t="str">
        <f aca="false">IF($B766="","",SUMPRODUCT(($AL766:$AO766&lt;&gt;"")*(COUNTIF($AP766:$AX766,$AL766:$AO766)&gt;0)))</f>
        <v/>
      </c>
      <c r="BA766" s="5" t="str">
        <f aca="false">IF($B766="","",IF(AZ766&gt;0,1,0))</f>
        <v/>
      </c>
      <c r="BB766" s="5" t="str">
        <f aca="false">IF($AP766="","",IF((($AP766="Engineering and Technology")+($AP766="Science and Mathematics")+($AP766="Computer Science, IT and Allied Fields")+($AP766="Life Sciences /Medicine and Healthcare")+($AP766="Paramedical")+($AP766="Architecture")+($AP766="Environmental Service")+($AP766="Agriculture, Food Industry and Forestry"))&gt;0,"Science",IF((($AP766="Banking and Finance")+($AP766="Management and Administration")+($AP766="Marketing")+($AP766="Sales")+($AP766="Entrepreneurship")+($AP766="Hospitality and Tourism"))&gt;0,"Commerce",IF((($AP766="Social Sciences and Humanities")+($AP766="Law Studies")+($AP766="Education and Training")+($AP766="Art, Design")+($AP766="Entertainment and Mass Media")+($AP766="Community and Social Service")+($AP766="Personal Care and Services")+($AP766="Government and Public Administration")+($AP766="Defence/ Protective Service")+($AP766="Sports"))&gt;0,"Arts / Humanities",""))))</f>
        <v/>
      </c>
      <c r="BC766" s="5" t="str">
        <f aca="false">IF($AL766="","",IF((($AL766="Engineering and Technology")+($AL766="Science and Mathematics")+($AL766="Computer Science, IT and Allied Fields")+($AL766="Life Sciences /Medicine and Healthcare")+($AL766="Paramedical")+($AL766="Architecture")+($AL766="Environmental Service")+($AL766="Agriculture, Food Industry and Forestry"))&gt;0,"Science",IF((($AL766="Banking and Finance")+($AL766="Management and Administration")+($AL766="Marketing")+($AL766="Sales")+($AL766="Entrepreneurship")+($AL766="Hospitality and Tourism"))&gt;0,"Commerce",IF((($AL766="Social Sciences and Humanities")+($AL766="Law Studies")+($AL766="Education and Training")+($AL766="Art, Design")+($AL766="Entertainment and Mass Media")+($AL766="Community and Social Service")+($AL766="Personal Care and Services")+($AL766="Government and Public Administration")+($AL766="Defence/ Protective Service")+($AL766="Sports"))&gt;0,"Arts / Humanities",""))))</f>
        <v/>
      </c>
      <c r="BD766" s="5" t="str">
        <f aca="false">IF($B766="","",--(F766&gt;=10)+--(G766&gt;=10)+--(H766&gt;=10)+--(I766&gt;=10)+--(J766&gt;=10)+--(K766&gt;=10)+--(L766&gt;=10)+--(M766&gt;=10)+--(N766&gt;=10)+--(O766&gt;=10))</f>
        <v/>
      </c>
      <c r="BE766" s="5" t="str">
        <f aca="false">IF($B766="","",--(AND(F766&lt;&gt;"",F766&lt;=8))+--(AND(G766&lt;&gt;"",G766&lt;=8))+--(AND(H766&lt;&gt;"",H766&lt;=8))+--(AND(I766&lt;&gt;"",I766&lt;=8))+--(AND(J766&lt;&gt;"",J766&lt;=8))+--(AND(K766&lt;&gt;"",K766&lt;=8))+--(AND(L766&lt;&gt;"",L766&lt;=8))+--(AND(M766&lt;&gt;"",M766&lt;=8))+--(AND(N766&lt;&gt;"",N766&lt;=8))+--(AND(O766&lt;&gt;"",O766&lt;=8)))</f>
        <v/>
      </c>
    </row>
    <row r="767" customFormat="false" ht="15" hidden="false" customHeight="false" outlineLevel="0" collapsed="false">
      <c r="AZ767" s="5" t="str">
        <f aca="false">IF($B767="","",SUMPRODUCT(($AL767:$AO767&lt;&gt;"")*(COUNTIF($AP767:$AX767,$AL767:$AO767)&gt;0)))</f>
        <v/>
      </c>
      <c r="BA767" s="5" t="str">
        <f aca="false">IF($B767="","",IF(AZ767&gt;0,1,0))</f>
        <v/>
      </c>
      <c r="BB767" s="5" t="str">
        <f aca="false">IF($AP767="","",IF((($AP767="Engineering and Technology")+($AP767="Science and Mathematics")+($AP767="Computer Science, IT and Allied Fields")+($AP767="Life Sciences /Medicine and Healthcare")+($AP767="Paramedical")+($AP767="Architecture")+($AP767="Environmental Service")+($AP767="Agriculture, Food Industry and Forestry"))&gt;0,"Science",IF((($AP767="Banking and Finance")+($AP767="Management and Administration")+($AP767="Marketing")+($AP767="Sales")+($AP767="Entrepreneurship")+($AP767="Hospitality and Tourism"))&gt;0,"Commerce",IF((($AP767="Social Sciences and Humanities")+($AP767="Law Studies")+($AP767="Education and Training")+($AP767="Art, Design")+($AP767="Entertainment and Mass Media")+($AP767="Community and Social Service")+($AP767="Personal Care and Services")+($AP767="Government and Public Administration")+($AP767="Defence/ Protective Service")+($AP767="Sports"))&gt;0,"Arts / Humanities",""))))</f>
        <v/>
      </c>
      <c r="BC767" s="5" t="str">
        <f aca="false">IF($AL767="","",IF((($AL767="Engineering and Technology")+($AL767="Science and Mathematics")+($AL767="Computer Science, IT and Allied Fields")+($AL767="Life Sciences /Medicine and Healthcare")+($AL767="Paramedical")+($AL767="Architecture")+($AL767="Environmental Service")+($AL767="Agriculture, Food Industry and Forestry"))&gt;0,"Science",IF((($AL767="Banking and Finance")+($AL767="Management and Administration")+($AL767="Marketing")+($AL767="Sales")+($AL767="Entrepreneurship")+($AL767="Hospitality and Tourism"))&gt;0,"Commerce",IF((($AL767="Social Sciences and Humanities")+($AL767="Law Studies")+($AL767="Education and Training")+($AL767="Art, Design")+($AL767="Entertainment and Mass Media")+($AL767="Community and Social Service")+($AL767="Personal Care and Services")+($AL767="Government and Public Administration")+($AL767="Defence/ Protective Service")+($AL767="Sports"))&gt;0,"Arts / Humanities",""))))</f>
        <v/>
      </c>
      <c r="BD767" s="5" t="str">
        <f aca="false">IF($B767="","",--(F767&gt;=10)+--(G767&gt;=10)+--(H767&gt;=10)+--(I767&gt;=10)+--(J767&gt;=10)+--(K767&gt;=10)+--(L767&gt;=10)+--(M767&gt;=10)+--(N767&gt;=10)+--(O767&gt;=10))</f>
        <v/>
      </c>
      <c r="BE767" s="5" t="str">
        <f aca="false">IF($B767="","",--(AND(F767&lt;&gt;"",F767&lt;=8))+--(AND(G767&lt;&gt;"",G767&lt;=8))+--(AND(H767&lt;&gt;"",H767&lt;=8))+--(AND(I767&lt;&gt;"",I767&lt;=8))+--(AND(J767&lt;&gt;"",J767&lt;=8))+--(AND(K767&lt;&gt;"",K767&lt;=8))+--(AND(L767&lt;&gt;"",L767&lt;=8))+--(AND(M767&lt;&gt;"",M767&lt;=8))+--(AND(N767&lt;&gt;"",N767&lt;=8))+--(AND(O767&lt;&gt;"",O767&lt;=8)))</f>
        <v/>
      </c>
    </row>
    <row r="768" customFormat="false" ht="15" hidden="false" customHeight="false" outlineLevel="0" collapsed="false">
      <c r="AZ768" s="5" t="str">
        <f aca="false">IF($B768="","",SUMPRODUCT(($AL768:$AO768&lt;&gt;"")*(COUNTIF($AP768:$AX768,$AL768:$AO768)&gt;0)))</f>
        <v/>
      </c>
      <c r="BA768" s="5" t="str">
        <f aca="false">IF($B768="","",IF(AZ768&gt;0,1,0))</f>
        <v/>
      </c>
      <c r="BB768" s="5" t="str">
        <f aca="false">IF($AP768="","",IF((($AP768="Engineering and Technology")+($AP768="Science and Mathematics")+($AP768="Computer Science, IT and Allied Fields")+($AP768="Life Sciences /Medicine and Healthcare")+($AP768="Paramedical")+($AP768="Architecture")+($AP768="Environmental Service")+($AP768="Agriculture, Food Industry and Forestry"))&gt;0,"Science",IF((($AP768="Banking and Finance")+($AP768="Management and Administration")+($AP768="Marketing")+($AP768="Sales")+($AP768="Entrepreneurship")+($AP768="Hospitality and Tourism"))&gt;0,"Commerce",IF((($AP768="Social Sciences and Humanities")+($AP768="Law Studies")+($AP768="Education and Training")+($AP768="Art, Design")+($AP768="Entertainment and Mass Media")+($AP768="Community and Social Service")+($AP768="Personal Care and Services")+($AP768="Government and Public Administration")+($AP768="Defence/ Protective Service")+($AP768="Sports"))&gt;0,"Arts / Humanities",""))))</f>
        <v/>
      </c>
      <c r="BC768" s="5" t="str">
        <f aca="false">IF($AL768="","",IF((($AL768="Engineering and Technology")+($AL768="Science and Mathematics")+($AL768="Computer Science, IT and Allied Fields")+($AL768="Life Sciences /Medicine and Healthcare")+($AL768="Paramedical")+($AL768="Architecture")+($AL768="Environmental Service")+($AL768="Agriculture, Food Industry and Forestry"))&gt;0,"Science",IF((($AL768="Banking and Finance")+($AL768="Management and Administration")+($AL768="Marketing")+($AL768="Sales")+($AL768="Entrepreneurship")+($AL768="Hospitality and Tourism"))&gt;0,"Commerce",IF((($AL768="Social Sciences and Humanities")+($AL768="Law Studies")+($AL768="Education and Training")+($AL768="Art, Design")+($AL768="Entertainment and Mass Media")+($AL768="Community and Social Service")+($AL768="Personal Care and Services")+($AL768="Government and Public Administration")+($AL768="Defence/ Protective Service")+($AL768="Sports"))&gt;0,"Arts / Humanities",""))))</f>
        <v/>
      </c>
      <c r="BD768" s="5" t="str">
        <f aca="false">IF($B768="","",--(F768&gt;=10)+--(G768&gt;=10)+--(H768&gt;=10)+--(I768&gt;=10)+--(J768&gt;=10)+--(K768&gt;=10)+--(L768&gt;=10)+--(M768&gt;=10)+--(N768&gt;=10)+--(O768&gt;=10))</f>
        <v/>
      </c>
      <c r="BE768" s="5" t="str">
        <f aca="false">IF($B768="","",--(AND(F768&lt;&gt;"",F768&lt;=8))+--(AND(G768&lt;&gt;"",G768&lt;=8))+--(AND(H768&lt;&gt;"",H768&lt;=8))+--(AND(I768&lt;&gt;"",I768&lt;=8))+--(AND(J768&lt;&gt;"",J768&lt;=8))+--(AND(K768&lt;&gt;"",K768&lt;=8))+--(AND(L768&lt;&gt;"",L768&lt;=8))+--(AND(M768&lt;&gt;"",M768&lt;=8))+--(AND(N768&lt;&gt;"",N768&lt;=8))+--(AND(O768&lt;&gt;"",O768&lt;=8)))</f>
        <v/>
      </c>
    </row>
    <row r="769" customFormat="false" ht="15" hidden="false" customHeight="false" outlineLevel="0" collapsed="false">
      <c r="AZ769" s="5" t="str">
        <f aca="false">IF($B769="","",SUMPRODUCT(($AL769:$AO769&lt;&gt;"")*(COUNTIF($AP769:$AX769,$AL769:$AO769)&gt;0)))</f>
        <v/>
      </c>
      <c r="BA769" s="5" t="str">
        <f aca="false">IF($B769="","",IF(AZ769&gt;0,1,0))</f>
        <v/>
      </c>
      <c r="BB769" s="5" t="str">
        <f aca="false">IF($AP769="","",IF((($AP769="Engineering and Technology")+($AP769="Science and Mathematics")+($AP769="Computer Science, IT and Allied Fields")+($AP769="Life Sciences /Medicine and Healthcare")+($AP769="Paramedical")+($AP769="Architecture")+($AP769="Environmental Service")+($AP769="Agriculture, Food Industry and Forestry"))&gt;0,"Science",IF((($AP769="Banking and Finance")+($AP769="Management and Administration")+($AP769="Marketing")+($AP769="Sales")+($AP769="Entrepreneurship")+($AP769="Hospitality and Tourism"))&gt;0,"Commerce",IF((($AP769="Social Sciences and Humanities")+($AP769="Law Studies")+($AP769="Education and Training")+($AP769="Art, Design")+($AP769="Entertainment and Mass Media")+($AP769="Community and Social Service")+($AP769="Personal Care and Services")+($AP769="Government and Public Administration")+($AP769="Defence/ Protective Service")+($AP769="Sports"))&gt;0,"Arts / Humanities",""))))</f>
        <v/>
      </c>
      <c r="BC769" s="5" t="str">
        <f aca="false">IF($AL769="","",IF((($AL769="Engineering and Technology")+($AL769="Science and Mathematics")+($AL769="Computer Science, IT and Allied Fields")+($AL769="Life Sciences /Medicine and Healthcare")+($AL769="Paramedical")+($AL769="Architecture")+($AL769="Environmental Service")+($AL769="Agriculture, Food Industry and Forestry"))&gt;0,"Science",IF((($AL769="Banking and Finance")+($AL769="Management and Administration")+($AL769="Marketing")+($AL769="Sales")+($AL769="Entrepreneurship")+($AL769="Hospitality and Tourism"))&gt;0,"Commerce",IF((($AL769="Social Sciences and Humanities")+($AL769="Law Studies")+($AL769="Education and Training")+($AL769="Art, Design")+($AL769="Entertainment and Mass Media")+($AL769="Community and Social Service")+($AL769="Personal Care and Services")+($AL769="Government and Public Administration")+($AL769="Defence/ Protective Service")+($AL769="Sports"))&gt;0,"Arts / Humanities",""))))</f>
        <v/>
      </c>
      <c r="BD769" s="5" t="str">
        <f aca="false">IF($B769="","",--(F769&gt;=10)+--(G769&gt;=10)+--(H769&gt;=10)+--(I769&gt;=10)+--(J769&gt;=10)+--(K769&gt;=10)+--(L769&gt;=10)+--(M769&gt;=10)+--(N769&gt;=10)+--(O769&gt;=10))</f>
        <v/>
      </c>
      <c r="BE769" s="5" t="str">
        <f aca="false">IF($B769="","",--(AND(F769&lt;&gt;"",F769&lt;=8))+--(AND(G769&lt;&gt;"",G769&lt;=8))+--(AND(H769&lt;&gt;"",H769&lt;=8))+--(AND(I769&lt;&gt;"",I769&lt;=8))+--(AND(J769&lt;&gt;"",J769&lt;=8))+--(AND(K769&lt;&gt;"",K769&lt;=8))+--(AND(L769&lt;&gt;"",L769&lt;=8))+--(AND(M769&lt;&gt;"",M769&lt;=8))+--(AND(N769&lt;&gt;"",N769&lt;=8))+--(AND(O769&lt;&gt;"",O769&lt;=8)))</f>
        <v/>
      </c>
    </row>
    <row r="770" customFormat="false" ht="15" hidden="false" customHeight="false" outlineLevel="0" collapsed="false">
      <c r="AZ770" s="5" t="str">
        <f aca="false">IF($B770="","",SUMPRODUCT(($AL770:$AO770&lt;&gt;"")*(COUNTIF($AP770:$AX770,$AL770:$AO770)&gt;0)))</f>
        <v/>
      </c>
      <c r="BA770" s="5" t="str">
        <f aca="false">IF($B770="","",IF(AZ770&gt;0,1,0))</f>
        <v/>
      </c>
      <c r="BB770" s="5" t="str">
        <f aca="false">IF($AP770="","",IF((($AP770="Engineering and Technology")+($AP770="Science and Mathematics")+($AP770="Computer Science, IT and Allied Fields")+($AP770="Life Sciences /Medicine and Healthcare")+($AP770="Paramedical")+($AP770="Architecture")+($AP770="Environmental Service")+($AP770="Agriculture, Food Industry and Forestry"))&gt;0,"Science",IF((($AP770="Banking and Finance")+($AP770="Management and Administration")+($AP770="Marketing")+($AP770="Sales")+($AP770="Entrepreneurship")+($AP770="Hospitality and Tourism"))&gt;0,"Commerce",IF((($AP770="Social Sciences and Humanities")+($AP770="Law Studies")+($AP770="Education and Training")+($AP770="Art, Design")+($AP770="Entertainment and Mass Media")+($AP770="Community and Social Service")+($AP770="Personal Care and Services")+($AP770="Government and Public Administration")+($AP770="Defence/ Protective Service")+($AP770="Sports"))&gt;0,"Arts / Humanities",""))))</f>
        <v/>
      </c>
      <c r="BC770" s="5" t="str">
        <f aca="false">IF($AL770="","",IF((($AL770="Engineering and Technology")+($AL770="Science and Mathematics")+($AL770="Computer Science, IT and Allied Fields")+($AL770="Life Sciences /Medicine and Healthcare")+($AL770="Paramedical")+($AL770="Architecture")+($AL770="Environmental Service")+($AL770="Agriculture, Food Industry and Forestry"))&gt;0,"Science",IF((($AL770="Banking and Finance")+($AL770="Management and Administration")+($AL770="Marketing")+($AL770="Sales")+($AL770="Entrepreneurship")+($AL770="Hospitality and Tourism"))&gt;0,"Commerce",IF((($AL770="Social Sciences and Humanities")+($AL770="Law Studies")+($AL770="Education and Training")+($AL770="Art, Design")+($AL770="Entertainment and Mass Media")+($AL770="Community and Social Service")+($AL770="Personal Care and Services")+($AL770="Government and Public Administration")+($AL770="Defence/ Protective Service")+($AL770="Sports"))&gt;0,"Arts / Humanities",""))))</f>
        <v/>
      </c>
      <c r="BD770" s="5" t="str">
        <f aca="false">IF($B770="","",--(F770&gt;=10)+--(G770&gt;=10)+--(H770&gt;=10)+--(I770&gt;=10)+--(J770&gt;=10)+--(K770&gt;=10)+--(L770&gt;=10)+--(M770&gt;=10)+--(N770&gt;=10)+--(O770&gt;=10))</f>
        <v/>
      </c>
      <c r="BE770" s="5" t="str">
        <f aca="false">IF($B770="","",--(AND(F770&lt;&gt;"",F770&lt;=8))+--(AND(G770&lt;&gt;"",G770&lt;=8))+--(AND(H770&lt;&gt;"",H770&lt;=8))+--(AND(I770&lt;&gt;"",I770&lt;=8))+--(AND(J770&lt;&gt;"",J770&lt;=8))+--(AND(K770&lt;&gt;"",K770&lt;=8))+--(AND(L770&lt;&gt;"",L770&lt;=8))+--(AND(M770&lt;&gt;"",M770&lt;=8))+--(AND(N770&lt;&gt;"",N770&lt;=8))+--(AND(O770&lt;&gt;"",O770&lt;=8)))</f>
        <v/>
      </c>
    </row>
    <row r="771" customFormat="false" ht="15" hidden="false" customHeight="false" outlineLevel="0" collapsed="false">
      <c r="AZ771" s="5" t="str">
        <f aca="false">IF($B771="","",SUMPRODUCT(($AL771:$AO771&lt;&gt;"")*(COUNTIF($AP771:$AX771,$AL771:$AO771)&gt;0)))</f>
        <v/>
      </c>
      <c r="BA771" s="5" t="str">
        <f aca="false">IF($B771="","",IF(AZ771&gt;0,1,0))</f>
        <v/>
      </c>
      <c r="BB771" s="5" t="str">
        <f aca="false">IF($AP771="","",IF((($AP771="Engineering and Technology")+($AP771="Science and Mathematics")+($AP771="Computer Science, IT and Allied Fields")+($AP771="Life Sciences /Medicine and Healthcare")+($AP771="Paramedical")+($AP771="Architecture")+($AP771="Environmental Service")+($AP771="Agriculture, Food Industry and Forestry"))&gt;0,"Science",IF((($AP771="Banking and Finance")+($AP771="Management and Administration")+($AP771="Marketing")+($AP771="Sales")+($AP771="Entrepreneurship")+($AP771="Hospitality and Tourism"))&gt;0,"Commerce",IF((($AP771="Social Sciences and Humanities")+($AP771="Law Studies")+($AP771="Education and Training")+($AP771="Art, Design")+($AP771="Entertainment and Mass Media")+($AP771="Community and Social Service")+($AP771="Personal Care and Services")+($AP771="Government and Public Administration")+($AP771="Defence/ Protective Service")+($AP771="Sports"))&gt;0,"Arts / Humanities",""))))</f>
        <v/>
      </c>
      <c r="BC771" s="5" t="str">
        <f aca="false">IF($AL771="","",IF((($AL771="Engineering and Technology")+($AL771="Science and Mathematics")+($AL771="Computer Science, IT and Allied Fields")+($AL771="Life Sciences /Medicine and Healthcare")+($AL771="Paramedical")+($AL771="Architecture")+($AL771="Environmental Service")+($AL771="Agriculture, Food Industry and Forestry"))&gt;0,"Science",IF((($AL771="Banking and Finance")+($AL771="Management and Administration")+($AL771="Marketing")+($AL771="Sales")+($AL771="Entrepreneurship")+($AL771="Hospitality and Tourism"))&gt;0,"Commerce",IF((($AL771="Social Sciences and Humanities")+($AL771="Law Studies")+($AL771="Education and Training")+($AL771="Art, Design")+($AL771="Entertainment and Mass Media")+($AL771="Community and Social Service")+($AL771="Personal Care and Services")+($AL771="Government and Public Administration")+($AL771="Defence/ Protective Service")+($AL771="Sports"))&gt;0,"Arts / Humanities",""))))</f>
        <v/>
      </c>
      <c r="BD771" s="5" t="str">
        <f aca="false">IF($B771="","",--(F771&gt;=10)+--(G771&gt;=10)+--(H771&gt;=10)+--(I771&gt;=10)+--(J771&gt;=10)+--(K771&gt;=10)+--(L771&gt;=10)+--(M771&gt;=10)+--(N771&gt;=10)+--(O771&gt;=10))</f>
        <v/>
      </c>
      <c r="BE771" s="5" t="str">
        <f aca="false">IF($B771="","",--(AND(F771&lt;&gt;"",F771&lt;=8))+--(AND(G771&lt;&gt;"",G771&lt;=8))+--(AND(H771&lt;&gt;"",H771&lt;=8))+--(AND(I771&lt;&gt;"",I771&lt;=8))+--(AND(J771&lt;&gt;"",J771&lt;=8))+--(AND(K771&lt;&gt;"",K771&lt;=8))+--(AND(L771&lt;&gt;"",L771&lt;=8))+--(AND(M771&lt;&gt;"",M771&lt;=8))+--(AND(N771&lt;&gt;"",N771&lt;=8))+--(AND(O771&lt;&gt;"",O771&lt;=8)))</f>
        <v/>
      </c>
    </row>
    <row r="772" customFormat="false" ht="15" hidden="false" customHeight="false" outlineLevel="0" collapsed="false">
      <c r="AZ772" s="5" t="str">
        <f aca="false">IF($B772="","",SUMPRODUCT(($AL772:$AO772&lt;&gt;"")*(COUNTIF($AP772:$AX772,$AL772:$AO772)&gt;0)))</f>
        <v/>
      </c>
      <c r="BA772" s="5" t="str">
        <f aca="false">IF($B772="","",IF(AZ772&gt;0,1,0))</f>
        <v/>
      </c>
      <c r="BB772" s="5" t="str">
        <f aca="false">IF($AP772="","",IF((($AP772="Engineering and Technology")+($AP772="Science and Mathematics")+($AP772="Computer Science, IT and Allied Fields")+($AP772="Life Sciences /Medicine and Healthcare")+($AP772="Paramedical")+($AP772="Architecture")+($AP772="Environmental Service")+($AP772="Agriculture, Food Industry and Forestry"))&gt;0,"Science",IF((($AP772="Banking and Finance")+($AP772="Management and Administration")+($AP772="Marketing")+($AP772="Sales")+($AP772="Entrepreneurship")+($AP772="Hospitality and Tourism"))&gt;0,"Commerce",IF((($AP772="Social Sciences and Humanities")+($AP772="Law Studies")+($AP772="Education and Training")+($AP772="Art, Design")+($AP772="Entertainment and Mass Media")+($AP772="Community and Social Service")+($AP772="Personal Care and Services")+($AP772="Government and Public Administration")+($AP772="Defence/ Protective Service")+($AP772="Sports"))&gt;0,"Arts / Humanities",""))))</f>
        <v/>
      </c>
      <c r="BC772" s="5" t="str">
        <f aca="false">IF($AL772="","",IF((($AL772="Engineering and Technology")+($AL772="Science and Mathematics")+($AL772="Computer Science, IT and Allied Fields")+($AL772="Life Sciences /Medicine and Healthcare")+($AL772="Paramedical")+($AL772="Architecture")+($AL772="Environmental Service")+($AL772="Agriculture, Food Industry and Forestry"))&gt;0,"Science",IF((($AL772="Banking and Finance")+($AL772="Management and Administration")+($AL772="Marketing")+($AL772="Sales")+($AL772="Entrepreneurship")+($AL772="Hospitality and Tourism"))&gt;0,"Commerce",IF((($AL772="Social Sciences and Humanities")+($AL772="Law Studies")+($AL772="Education and Training")+($AL772="Art, Design")+($AL772="Entertainment and Mass Media")+($AL772="Community and Social Service")+($AL772="Personal Care and Services")+($AL772="Government and Public Administration")+($AL772="Defence/ Protective Service")+($AL772="Sports"))&gt;0,"Arts / Humanities",""))))</f>
        <v/>
      </c>
      <c r="BD772" s="5" t="str">
        <f aca="false">IF($B772="","",--(F772&gt;=10)+--(G772&gt;=10)+--(H772&gt;=10)+--(I772&gt;=10)+--(J772&gt;=10)+--(K772&gt;=10)+--(L772&gt;=10)+--(M772&gt;=10)+--(N772&gt;=10)+--(O772&gt;=10))</f>
        <v/>
      </c>
      <c r="BE772" s="5" t="str">
        <f aca="false">IF($B772="","",--(AND(F772&lt;&gt;"",F772&lt;=8))+--(AND(G772&lt;&gt;"",G772&lt;=8))+--(AND(H772&lt;&gt;"",H772&lt;=8))+--(AND(I772&lt;&gt;"",I772&lt;=8))+--(AND(J772&lt;&gt;"",J772&lt;=8))+--(AND(K772&lt;&gt;"",K772&lt;=8))+--(AND(L772&lt;&gt;"",L772&lt;=8))+--(AND(M772&lt;&gt;"",M772&lt;=8))+--(AND(N772&lt;&gt;"",N772&lt;=8))+--(AND(O772&lt;&gt;"",O772&lt;=8)))</f>
        <v/>
      </c>
    </row>
    <row r="773" customFormat="false" ht="15" hidden="false" customHeight="false" outlineLevel="0" collapsed="false">
      <c r="AZ773" s="5" t="str">
        <f aca="false">IF($B773="","",SUMPRODUCT(($AL773:$AO773&lt;&gt;"")*(COUNTIF($AP773:$AX773,$AL773:$AO773)&gt;0)))</f>
        <v/>
      </c>
      <c r="BA773" s="5" t="str">
        <f aca="false">IF($B773="","",IF(AZ773&gt;0,1,0))</f>
        <v/>
      </c>
      <c r="BB773" s="5" t="str">
        <f aca="false">IF($AP773="","",IF((($AP773="Engineering and Technology")+($AP773="Science and Mathematics")+($AP773="Computer Science, IT and Allied Fields")+($AP773="Life Sciences /Medicine and Healthcare")+($AP773="Paramedical")+($AP773="Architecture")+($AP773="Environmental Service")+($AP773="Agriculture, Food Industry and Forestry"))&gt;0,"Science",IF((($AP773="Banking and Finance")+($AP773="Management and Administration")+($AP773="Marketing")+($AP773="Sales")+($AP773="Entrepreneurship")+($AP773="Hospitality and Tourism"))&gt;0,"Commerce",IF((($AP773="Social Sciences and Humanities")+($AP773="Law Studies")+($AP773="Education and Training")+($AP773="Art, Design")+($AP773="Entertainment and Mass Media")+($AP773="Community and Social Service")+($AP773="Personal Care and Services")+($AP773="Government and Public Administration")+($AP773="Defence/ Protective Service")+($AP773="Sports"))&gt;0,"Arts / Humanities",""))))</f>
        <v/>
      </c>
      <c r="BC773" s="5" t="str">
        <f aca="false">IF($AL773="","",IF((($AL773="Engineering and Technology")+($AL773="Science and Mathematics")+($AL773="Computer Science, IT and Allied Fields")+($AL773="Life Sciences /Medicine and Healthcare")+($AL773="Paramedical")+($AL773="Architecture")+($AL773="Environmental Service")+($AL773="Agriculture, Food Industry and Forestry"))&gt;0,"Science",IF((($AL773="Banking and Finance")+($AL773="Management and Administration")+($AL773="Marketing")+($AL773="Sales")+($AL773="Entrepreneurship")+($AL773="Hospitality and Tourism"))&gt;0,"Commerce",IF((($AL773="Social Sciences and Humanities")+($AL773="Law Studies")+($AL773="Education and Training")+($AL773="Art, Design")+($AL773="Entertainment and Mass Media")+($AL773="Community and Social Service")+($AL773="Personal Care and Services")+($AL773="Government and Public Administration")+($AL773="Defence/ Protective Service")+($AL773="Sports"))&gt;0,"Arts / Humanities",""))))</f>
        <v/>
      </c>
      <c r="BD773" s="5" t="str">
        <f aca="false">IF($B773="","",--(F773&gt;=10)+--(G773&gt;=10)+--(H773&gt;=10)+--(I773&gt;=10)+--(J773&gt;=10)+--(K773&gt;=10)+--(L773&gt;=10)+--(M773&gt;=10)+--(N773&gt;=10)+--(O773&gt;=10))</f>
        <v/>
      </c>
      <c r="BE773" s="5" t="str">
        <f aca="false">IF($B773="","",--(AND(F773&lt;&gt;"",F773&lt;=8))+--(AND(G773&lt;&gt;"",G773&lt;=8))+--(AND(H773&lt;&gt;"",H773&lt;=8))+--(AND(I773&lt;&gt;"",I773&lt;=8))+--(AND(J773&lt;&gt;"",J773&lt;=8))+--(AND(K773&lt;&gt;"",K773&lt;=8))+--(AND(L773&lt;&gt;"",L773&lt;=8))+--(AND(M773&lt;&gt;"",M773&lt;=8))+--(AND(N773&lt;&gt;"",N773&lt;=8))+--(AND(O773&lt;&gt;"",O773&lt;=8)))</f>
        <v/>
      </c>
    </row>
    <row r="774" customFormat="false" ht="15" hidden="false" customHeight="false" outlineLevel="0" collapsed="false">
      <c r="AZ774" s="5" t="str">
        <f aca="false">IF($B774="","",SUMPRODUCT(($AL774:$AO774&lt;&gt;"")*(COUNTIF($AP774:$AX774,$AL774:$AO774)&gt;0)))</f>
        <v/>
      </c>
      <c r="BA774" s="5" t="str">
        <f aca="false">IF($B774="","",IF(AZ774&gt;0,1,0))</f>
        <v/>
      </c>
      <c r="BB774" s="5" t="str">
        <f aca="false">IF($AP774="","",IF((($AP774="Engineering and Technology")+($AP774="Science and Mathematics")+($AP774="Computer Science, IT and Allied Fields")+($AP774="Life Sciences /Medicine and Healthcare")+($AP774="Paramedical")+($AP774="Architecture")+($AP774="Environmental Service")+($AP774="Agriculture, Food Industry and Forestry"))&gt;0,"Science",IF((($AP774="Banking and Finance")+($AP774="Management and Administration")+($AP774="Marketing")+($AP774="Sales")+($AP774="Entrepreneurship")+($AP774="Hospitality and Tourism"))&gt;0,"Commerce",IF((($AP774="Social Sciences and Humanities")+($AP774="Law Studies")+($AP774="Education and Training")+($AP774="Art, Design")+($AP774="Entertainment and Mass Media")+($AP774="Community and Social Service")+($AP774="Personal Care and Services")+($AP774="Government and Public Administration")+($AP774="Defence/ Protective Service")+($AP774="Sports"))&gt;0,"Arts / Humanities",""))))</f>
        <v/>
      </c>
      <c r="BC774" s="5" t="str">
        <f aca="false">IF($AL774="","",IF((($AL774="Engineering and Technology")+($AL774="Science and Mathematics")+($AL774="Computer Science, IT and Allied Fields")+($AL774="Life Sciences /Medicine and Healthcare")+($AL774="Paramedical")+($AL774="Architecture")+($AL774="Environmental Service")+($AL774="Agriculture, Food Industry and Forestry"))&gt;0,"Science",IF((($AL774="Banking and Finance")+($AL774="Management and Administration")+($AL774="Marketing")+($AL774="Sales")+($AL774="Entrepreneurship")+($AL774="Hospitality and Tourism"))&gt;0,"Commerce",IF((($AL774="Social Sciences and Humanities")+($AL774="Law Studies")+($AL774="Education and Training")+($AL774="Art, Design")+($AL774="Entertainment and Mass Media")+($AL774="Community and Social Service")+($AL774="Personal Care and Services")+($AL774="Government and Public Administration")+($AL774="Defence/ Protective Service")+($AL774="Sports"))&gt;0,"Arts / Humanities",""))))</f>
        <v/>
      </c>
      <c r="BD774" s="5" t="str">
        <f aca="false">IF($B774="","",--(F774&gt;=10)+--(G774&gt;=10)+--(H774&gt;=10)+--(I774&gt;=10)+--(J774&gt;=10)+--(K774&gt;=10)+--(L774&gt;=10)+--(M774&gt;=10)+--(N774&gt;=10)+--(O774&gt;=10))</f>
        <v/>
      </c>
      <c r="BE774" s="5" t="str">
        <f aca="false">IF($B774="","",--(AND(F774&lt;&gt;"",F774&lt;=8))+--(AND(G774&lt;&gt;"",G774&lt;=8))+--(AND(H774&lt;&gt;"",H774&lt;=8))+--(AND(I774&lt;&gt;"",I774&lt;=8))+--(AND(J774&lt;&gt;"",J774&lt;=8))+--(AND(K774&lt;&gt;"",K774&lt;=8))+--(AND(L774&lt;&gt;"",L774&lt;=8))+--(AND(M774&lt;&gt;"",M774&lt;=8))+--(AND(N774&lt;&gt;"",N774&lt;=8))+--(AND(O774&lt;&gt;"",O774&lt;=8)))</f>
        <v/>
      </c>
    </row>
    <row r="775" customFormat="false" ht="15" hidden="false" customHeight="false" outlineLevel="0" collapsed="false">
      <c r="AZ775" s="5" t="str">
        <f aca="false">IF($B775="","",SUMPRODUCT(($AL775:$AO775&lt;&gt;"")*(COUNTIF($AP775:$AX775,$AL775:$AO775)&gt;0)))</f>
        <v/>
      </c>
      <c r="BA775" s="5" t="str">
        <f aca="false">IF($B775="","",IF(AZ775&gt;0,1,0))</f>
        <v/>
      </c>
      <c r="BB775" s="5" t="str">
        <f aca="false">IF($AP775="","",IF((($AP775="Engineering and Technology")+($AP775="Science and Mathematics")+($AP775="Computer Science, IT and Allied Fields")+($AP775="Life Sciences /Medicine and Healthcare")+($AP775="Paramedical")+($AP775="Architecture")+($AP775="Environmental Service")+($AP775="Agriculture, Food Industry and Forestry"))&gt;0,"Science",IF((($AP775="Banking and Finance")+($AP775="Management and Administration")+($AP775="Marketing")+($AP775="Sales")+($AP775="Entrepreneurship")+($AP775="Hospitality and Tourism"))&gt;0,"Commerce",IF((($AP775="Social Sciences and Humanities")+($AP775="Law Studies")+($AP775="Education and Training")+($AP775="Art, Design")+($AP775="Entertainment and Mass Media")+($AP775="Community and Social Service")+($AP775="Personal Care and Services")+($AP775="Government and Public Administration")+($AP775="Defence/ Protective Service")+($AP775="Sports"))&gt;0,"Arts / Humanities",""))))</f>
        <v/>
      </c>
      <c r="BC775" s="5" t="str">
        <f aca="false">IF($AL775="","",IF((($AL775="Engineering and Technology")+($AL775="Science and Mathematics")+($AL775="Computer Science, IT and Allied Fields")+($AL775="Life Sciences /Medicine and Healthcare")+($AL775="Paramedical")+($AL775="Architecture")+($AL775="Environmental Service")+($AL775="Agriculture, Food Industry and Forestry"))&gt;0,"Science",IF((($AL775="Banking and Finance")+($AL775="Management and Administration")+($AL775="Marketing")+($AL775="Sales")+($AL775="Entrepreneurship")+($AL775="Hospitality and Tourism"))&gt;0,"Commerce",IF((($AL775="Social Sciences and Humanities")+($AL775="Law Studies")+($AL775="Education and Training")+($AL775="Art, Design")+($AL775="Entertainment and Mass Media")+($AL775="Community and Social Service")+($AL775="Personal Care and Services")+($AL775="Government and Public Administration")+($AL775="Defence/ Protective Service")+($AL775="Sports"))&gt;0,"Arts / Humanities",""))))</f>
        <v/>
      </c>
      <c r="BD775" s="5" t="str">
        <f aca="false">IF($B775="","",--(F775&gt;=10)+--(G775&gt;=10)+--(H775&gt;=10)+--(I775&gt;=10)+--(J775&gt;=10)+--(K775&gt;=10)+--(L775&gt;=10)+--(M775&gt;=10)+--(N775&gt;=10)+--(O775&gt;=10))</f>
        <v/>
      </c>
      <c r="BE775" s="5" t="str">
        <f aca="false">IF($B775="","",--(AND(F775&lt;&gt;"",F775&lt;=8))+--(AND(G775&lt;&gt;"",G775&lt;=8))+--(AND(H775&lt;&gt;"",H775&lt;=8))+--(AND(I775&lt;&gt;"",I775&lt;=8))+--(AND(J775&lt;&gt;"",J775&lt;=8))+--(AND(K775&lt;&gt;"",K775&lt;=8))+--(AND(L775&lt;&gt;"",L775&lt;=8))+--(AND(M775&lt;&gt;"",M775&lt;=8))+--(AND(N775&lt;&gt;"",N775&lt;=8))+--(AND(O775&lt;&gt;"",O775&lt;=8)))</f>
        <v/>
      </c>
    </row>
    <row r="776" customFormat="false" ht="15" hidden="false" customHeight="false" outlineLevel="0" collapsed="false">
      <c r="AZ776" s="5" t="str">
        <f aca="false">IF($B776="","",SUMPRODUCT(($AL776:$AO776&lt;&gt;"")*(COUNTIF($AP776:$AX776,$AL776:$AO776)&gt;0)))</f>
        <v/>
      </c>
      <c r="BA776" s="5" t="str">
        <f aca="false">IF($B776="","",IF(AZ776&gt;0,1,0))</f>
        <v/>
      </c>
      <c r="BB776" s="5" t="str">
        <f aca="false">IF($AP776="","",IF((($AP776="Engineering and Technology")+($AP776="Science and Mathematics")+($AP776="Computer Science, IT and Allied Fields")+($AP776="Life Sciences /Medicine and Healthcare")+($AP776="Paramedical")+($AP776="Architecture")+($AP776="Environmental Service")+($AP776="Agriculture, Food Industry and Forestry"))&gt;0,"Science",IF((($AP776="Banking and Finance")+($AP776="Management and Administration")+($AP776="Marketing")+($AP776="Sales")+($AP776="Entrepreneurship")+($AP776="Hospitality and Tourism"))&gt;0,"Commerce",IF((($AP776="Social Sciences and Humanities")+($AP776="Law Studies")+($AP776="Education and Training")+($AP776="Art, Design")+($AP776="Entertainment and Mass Media")+($AP776="Community and Social Service")+($AP776="Personal Care and Services")+($AP776="Government and Public Administration")+($AP776="Defence/ Protective Service")+($AP776="Sports"))&gt;0,"Arts / Humanities",""))))</f>
        <v/>
      </c>
      <c r="BC776" s="5" t="str">
        <f aca="false">IF($AL776="","",IF((($AL776="Engineering and Technology")+($AL776="Science and Mathematics")+($AL776="Computer Science, IT and Allied Fields")+($AL776="Life Sciences /Medicine and Healthcare")+($AL776="Paramedical")+($AL776="Architecture")+($AL776="Environmental Service")+($AL776="Agriculture, Food Industry and Forestry"))&gt;0,"Science",IF((($AL776="Banking and Finance")+($AL776="Management and Administration")+($AL776="Marketing")+($AL776="Sales")+($AL776="Entrepreneurship")+($AL776="Hospitality and Tourism"))&gt;0,"Commerce",IF((($AL776="Social Sciences and Humanities")+($AL776="Law Studies")+($AL776="Education and Training")+($AL776="Art, Design")+($AL776="Entertainment and Mass Media")+($AL776="Community and Social Service")+($AL776="Personal Care and Services")+($AL776="Government and Public Administration")+($AL776="Defence/ Protective Service")+($AL776="Sports"))&gt;0,"Arts / Humanities",""))))</f>
        <v/>
      </c>
      <c r="BD776" s="5" t="str">
        <f aca="false">IF($B776="","",--(F776&gt;=10)+--(G776&gt;=10)+--(H776&gt;=10)+--(I776&gt;=10)+--(J776&gt;=10)+--(K776&gt;=10)+--(L776&gt;=10)+--(M776&gt;=10)+--(N776&gt;=10)+--(O776&gt;=10))</f>
        <v/>
      </c>
      <c r="BE776" s="5" t="str">
        <f aca="false">IF($B776="","",--(AND(F776&lt;&gt;"",F776&lt;=8))+--(AND(G776&lt;&gt;"",G776&lt;=8))+--(AND(H776&lt;&gt;"",H776&lt;=8))+--(AND(I776&lt;&gt;"",I776&lt;=8))+--(AND(J776&lt;&gt;"",J776&lt;=8))+--(AND(K776&lt;&gt;"",K776&lt;=8))+--(AND(L776&lt;&gt;"",L776&lt;=8))+--(AND(M776&lt;&gt;"",M776&lt;=8))+--(AND(N776&lt;&gt;"",N776&lt;=8))+--(AND(O776&lt;&gt;"",O776&lt;=8)))</f>
        <v/>
      </c>
    </row>
    <row r="777" customFormat="false" ht="15" hidden="false" customHeight="false" outlineLevel="0" collapsed="false">
      <c r="AZ777" s="5" t="str">
        <f aca="false">IF($B777="","",SUMPRODUCT(($AL777:$AO777&lt;&gt;"")*(COUNTIF($AP777:$AX777,$AL777:$AO777)&gt;0)))</f>
        <v/>
      </c>
      <c r="BA777" s="5" t="str">
        <f aca="false">IF($B777="","",IF(AZ777&gt;0,1,0))</f>
        <v/>
      </c>
      <c r="BB777" s="5" t="str">
        <f aca="false">IF($AP777="","",IF((($AP777="Engineering and Technology")+($AP777="Science and Mathematics")+($AP777="Computer Science, IT and Allied Fields")+($AP777="Life Sciences /Medicine and Healthcare")+($AP777="Paramedical")+($AP777="Architecture")+($AP777="Environmental Service")+($AP777="Agriculture, Food Industry and Forestry"))&gt;0,"Science",IF((($AP777="Banking and Finance")+($AP777="Management and Administration")+($AP777="Marketing")+($AP777="Sales")+($AP777="Entrepreneurship")+($AP777="Hospitality and Tourism"))&gt;0,"Commerce",IF((($AP777="Social Sciences and Humanities")+($AP777="Law Studies")+($AP777="Education and Training")+($AP777="Art, Design")+($AP777="Entertainment and Mass Media")+($AP777="Community and Social Service")+($AP777="Personal Care and Services")+($AP777="Government and Public Administration")+($AP777="Defence/ Protective Service")+($AP777="Sports"))&gt;0,"Arts / Humanities",""))))</f>
        <v/>
      </c>
      <c r="BC777" s="5" t="str">
        <f aca="false">IF($AL777="","",IF((($AL777="Engineering and Technology")+($AL777="Science and Mathematics")+($AL777="Computer Science, IT and Allied Fields")+($AL777="Life Sciences /Medicine and Healthcare")+($AL777="Paramedical")+($AL777="Architecture")+($AL777="Environmental Service")+($AL777="Agriculture, Food Industry and Forestry"))&gt;0,"Science",IF((($AL777="Banking and Finance")+($AL777="Management and Administration")+($AL777="Marketing")+($AL777="Sales")+($AL777="Entrepreneurship")+($AL777="Hospitality and Tourism"))&gt;0,"Commerce",IF((($AL777="Social Sciences and Humanities")+($AL777="Law Studies")+($AL777="Education and Training")+($AL777="Art, Design")+($AL777="Entertainment and Mass Media")+($AL777="Community and Social Service")+($AL777="Personal Care and Services")+($AL777="Government and Public Administration")+($AL777="Defence/ Protective Service")+($AL777="Sports"))&gt;0,"Arts / Humanities",""))))</f>
        <v/>
      </c>
      <c r="BD777" s="5" t="str">
        <f aca="false">IF($B777="","",--(F777&gt;=10)+--(G777&gt;=10)+--(H777&gt;=10)+--(I777&gt;=10)+--(J777&gt;=10)+--(K777&gt;=10)+--(L777&gt;=10)+--(M777&gt;=10)+--(N777&gt;=10)+--(O777&gt;=10))</f>
        <v/>
      </c>
      <c r="BE777" s="5" t="str">
        <f aca="false">IF($B777="","",--(AND(F777&lt;&gt;"",F777&lt;=8))+--(AND(G777&lt;&gt;"",G777&lt;=8))+--(AND(H777&lt;&gt;"",H777&lt;=8))+--(AND(I777&lt;&gt;"",I777&lt;=8))+--(AND(J777&lt;&gt;"",J777&lt;=8))+--(AND(K777&lt;&gt;"",K777&lt;=8))+--(AND(L777&lt;&gt;"",L777&lt;=8))+--(AND(M777&lt;&gt;"",M777&lt;=8))+--(AND(N777&lt;&gt;"",N777&lt;=8))+--(AND(O777&lt;&gt;"",O777&lt;=8)))</f>
        <v/>
      </c>
    </row>
    <row r="778" customFormat="false" ht="15" hidden="false" customHeight="false" outlineLevel="0" collapsed="false">
      <c r="AZ778" s="5" t="str">
        <f aca="false">IF($B778="","",SUMPRODUCT(($AL778:$AO778&lt;&gt;"")*(COUNTIF($AP778:$AX778,$AL778:$AO778)&gt;0)))</f>
        <v/>
      </c>
      <c r="BA778" s="5" t="str">
        <f aca="false">IF($B778="","",IF(AZ778&gt;0,1,0))</f>
        <v/>
      </c>
      <c r="BB778" s="5" t="str">
        <f aca="false">IF($AP778="","",IF((($AP778="Engineering and Technology")+($AP778="Science and Mathematics")+($AP778="Computer Science, IT and Allied Fields")+($AP778="Life Sciences /Medicine and Healthcare")+($AP778="Paramedical")+($AP778="Architecture")+($AP778="Environmental Service")+($AP778="Agriculture, Food Industry and Forestry"))&gt;0,"Science",IF((($AP778="Banking and Finance")+($AP778="Management and Administration")+($AP778="Marketing")+($AP778="Sales")+($AP778="Entrepreneurship")+($AP778="Hospitality and Tourism"))&gt;0,"Commerce",IF((($AP778="Social Sciences and Humanities")+($AP778="Law Studies")+($AP778="Education and Training")+($AP778="Art, Design")+($AP778="Entertainment and Mass Media")+($AP778="Community and Social Service")+($AP778="Personal Care and Services")+($AP778="Government and Public Administration")+($AP778="Defence/ Protective Service")+($AP778="Sports"))&gt;0,"Arts / Humanities",""))))</f>
        <v/>
      </c>
      <c r="BC778" s="5" t="str">
        <f aca="false">IF($AL778="","",IF((($AL778="Engineering and Technology")+($AL778="Science and Mathematics")+($AL778="Computer Science, IT and Allied Fields")+($AL778="Life Sciences /Medicine and Healthcare")+($AL778="Paramedical")+($AL778="Architecture")+($AL778="Environmental Service")+($AL778="Agriculture, Food Industry and Forestry"))&gt;0,"Science",IF((($AL778="Banking and Finance")+($AL778="Management and Administration")+($AL778="Marketing")+($AL778="Sales")+($AL778="Entrepreneurship")+($AL778="Hospitality and Tourism"))&gt;0,"Commerce",IF((($AL778="Social Sciences and Humanities")+($AL778="Law Studies")+($AL778="Education and Training")+($AL778="Art, Design")+($AL778="Entertainment and Mass Media")+($AL778="Community and Social Service")+($AL778="Personal Care and Services")+($AL778="Government and Public Administration")+($AL778="Defence/ Protective Service")+($AL778="Sports"))&gt;0,"Arts / Humanities",""))))</f>
        <v/>
      </c>
      <c r="BD778" s="5" t="str">
        <f aca="false">IF($B778="","",--(F778&gt;=10)+--(G778&gt;=10)+--(H778&gt;=10)+--(I778&gt;=10)+--(J778&gt;=10)+--(K778&gt;=10)+--(L778&gt;=10)+--(M778&gt;=10)+--(N778&gt;=10)+--(O778&gt;=10))</f>
        <v/>
      </c>
      <c r="BE778" s="5" t="str">
        <f aca="false">IF($B778="","",--(AND(F778&lt;&gt;"",F778&lt;=8))+--(AND(G778&lt;&gt;"",G778&lt;=8))+--(AND(H778&lt;&gt;"",H778&lt;=8))+--(AND(I778&lt;&gt;"",I778&lt;=8))+--(AND(J778&lt;&gt;"",J778&lt;=8))+--(AND(K778&lt;&gt;"",K778&lt;=8))+--(AND(L778&lt;&gt;"",L778&lt;=8))+--(AND(M778&lt;&gt;"",M778&lt;=8))+--(AND(N778&lt;&gt;"",N778&lt;=8))+--(AND(O778&lt;&gt;"",O778&lt;=8)))</f>
        <v/>
      </c>
    </row>
    <row r="779" customFormat="false" ht="15" hidden="false" customHeight="false" outlineLevel="0" collapsed="false">
      <c r="AZ779" s="5" t="str">
        <f aca="false">IF($B779="","",SUMPRODUCT(($AL779:$AO779&lt;&gt;"")*(COUNTIF($AP779:$AX779,$AL779:$AO779)&gt;0)))</f>
        <v/>
      </c>
      <c r="BA779" s="5" t="str">
        <f aca="false">IF($B779="","",IF(AZ779&gt;0,1,0))</f>
        <v/>
      </c>
      <c r="BB779" s="5" t="str">
        <f aca="false">IF($AP779="","",IF((($AP779="Engineering and Technology")+($AP779="Science and Mathematics")+($AP779="Computer Science, IT and Allied Fields")+($AP779="Life Sciences /Medicine and Healthcare")+($AP779="Paramedical")+($AP779="Architecture")+($AP779="Environmental Service")+($AP779="Agriculture, Food Industry and Forestry"))&gt;0,"Science",IF((($AP779="Banking and Finance")+($AP779="Management and Administration")+($AP779="Marketing")+($AP779="Sales")+($AP779="Entrepreneurship")+($AP779="Hospitality and Tourism"))&gt;0,"Commerce",IF((($AP779="Social Sciences and Humanities")+($AP779="Law Studies")+($AP779="Education and Training")+($AP779="Art, Design")+($AP779="Entertainment and Mass Media")+($AP779="Community and Social Service")+($AP779="Personal Care and Services")+($AP779="Government and Public Administration")+($AP779="Defence/ Protective Service")+($AP779="Sports"))&gt;0,"Arts / Humanities",""))))</f>
        <v/>
      </c>
      <c r="BC779" s="5" t="str">
        <f aca="false">IF($AL779="","",IF((($AL779="Engineering and Technology")+($AL779="Science and Mathematics")+($AL779="Computer Science, IT and Allied Fields")+($AL779="Life Sciences /Medicine and Healthcare")+($AL779="Paramedical")+($AL779="Architecture")+($AL779="Environmental Service")+($AL779="Agriculture, Food Industry and Forestry"))&gt;0,"Science",IF((($AL779="Banking and Finance")+($AL779="Management and Administration")+($AL779="Marketing")+($AL779="Sales")+($AL779="Entrepreneurship")+($AL779="Hospitality and Tourism"))&gt;0,"Commerce",IF((($AL779="Social Sciences and Humanities")+($AL779="Law Studies")+($AL779="Education and Training")+($AL779="Art, Design")+($AL779="Entertainment and Mass Media")+($AL779="Community and Social Service")+($AL779="Personal Care and Services")+($AL779="Government and Public Administration")+($AL779="Defence/ Protective Service")+($AL779="Sports"))&gt;0,"Arts / Humanities",""))))</f>
        <v/>
      </c>
      <c r="BD779" s="5" t="str">
        <f aca="false">IF($B779="","",--(F779&gt;=10)+--(G779&gt;=10)+--(H779&gt;=10)+--(I779&gt;=10)+--(J779&gt;=10)+--(K779&gt;=10)+--(L779&gt;=10)+--(M779&gt;=10)+--(N779&gt;=10)+--(O779&gt;=10))</f>
        <v/>
      </c>
      <c r="BE779" s="5" t="str">
        <f aca="false">IF($B779="","",--(AND(F779&lt;&gt;"",F779&lt;=8))+--(AND(G779&lt;&gt;"",G779&lt;=8))+--(AND(H779&lt;&gt;"",H779&lt;=8))+--(AND(I779&lt;&gt;"",I779&lt;=8))+--(AND(J779&lt;&gt;"",J779&lt;=8))+--(AND(K779&lt;&gt;"",K779&lt;=8))+--(AND(L779&lt;&gt;"",L779&lt;=8))+--(AND(M779&lt;&gt;"",M779&lt;=8))+--(AND(N779&lt;&gt;"",N779&lt;=8))+--(AND(O779&lt;&gt;"",O779&lt;=8)))</f>
        <v/>
      </c>
    </row>
    <row r="780" customFormat="false" ht="15" hidden="false" customHeight="false" outlineLevel="0" collapsed="false">
      <c r="AZ780" s="5" t="str">
        <f aca="false">IF($B780="","",SUMPRODUCT(($AL780:$AO780&lt;&gt;"")*(COUNTIF($AP780:$AX780,$AL780:$AO780)&gt;0)))</f>
        <v/>
      </c>
      <c r="BA780" s="5" t="str">
        <f aca="false">IF($B780="","",IF(AZ780&gt;0,1,0))</f>
        <v/>
      </c>
      <c r="BB780" s="5" t="str">
        <f aca="false">IF($AP780="","",IF((($AP780="Engineering and Technology")+($AP780="Science and Mathematics")+($AP780="Computer Science, IT and Allied Fields")+($AP780="Life Sciences /Medicine and Healthcare")+($AP780="Paramedical")+($AP780="Architecture")+($AP780="Environmental Service")+($AP780="Agriculture, Food Industry and Forestry"))&gt;0,"Science",IF((($AP780="Banking and Finance")+($AP780="Management and Administration")+($AP780="Marketing")+($AP780="Sales")+($AP780="Entrepreneurship")+($AP780="Hospitality and Tourism"))&gt;0,"Commerce",IF((($AP780="Social Sciences and Humanities")+($AP780="Law Studies")+($AP780="Education and Training")+($AP780="Art, Design")+($AP780="Entertainment and Mass Media")+($AP780="Community and Social Service")+($AP780="Personal Care and Services")+($AP780="Government and Public Administration")+($AP780="Defence/ Protective Service")+($AP780="Sports"))&gt;0,"Arts / Humanities",""))))</f>
        <v/>
      </c>
      <c r="BC780" s="5" t="str">
        <f aca="false">IF($AL780="","",IF((($AL780="Engineering and Technology")+($AL780="Science and Mathematics")+($AL780="Computer Science, IT and Allied Fields")+($AL780="Life Sciences /Medicine and Healthcare")+($AL780="Paramedical")+($AL780="Architecture")+($AL780="Environmental Service")+($AL780="Agriculture, Food Industry and Forestry"))&gt;0,"Science",IF((($AL780="Banking and Finance")+($AL780="Management and Administration")+($AL780="Marketing")+($AL780="Sales")+($AL780="Entrepreneurship")+($AL780="Hospitality and Tourism"))&gt;0,"Commerce",IF((($AL780="Social Sciences and Humanities")+($AL780="Law Studies")+($AL780="Education and Training")+($AL780="Art, Design")+($AL780="Entertainment and Mass Media")+($AL780="Community and Social Service")+($AL780="Personal Care and Services")+($AL780="Government and Public Administration")+($AL780="Defence/ Protective Service")+($AL780="Sports"))&gt;0,"Arts / Humanities",""))))</f>
        <v/>
      </c>
      <c r="BD780" s="5" t="str">
        <f aca="false">IF($B780="","",--(F780&gt;=10)+--(G780&gt;=10)+--(H780&gt;=10)+--(I780&gt;=10)+--(J780&gt;=10)+--(K780&gt;=10)+--(L780&gt;=10)+--(M780&gt;=10)+--(N780&gt;=10)+--(O780&gt;=10))</f>
        <v/>
      </c>
      <c r="BE780" s="5" t="str">
        <f aca="false">IF($B780="","",--(AND(F780&lt;&gt;"",F780&lt;=8))+--(AND(G780&lt;&gt;"",G780&lt;=8))+--(AND(H780&lt;&gt;"",H780&lt;=8))+--(AND(I780&lt;&gt;"",I780&lt;=8))+--(AND(J780&lt;&gt;"",J780&lt;=8))+--(AND(K780&lt;&gt;"",K780&lt;=8))+--(AND(L780&lt;&gt;"",L780&lt;=8))+--(AND(M780&lt;&gt;"",M780&lt;=8))+--(AND(N780&lt;&gt;"",N780&lt;=8))+--(AND(O780&lt;&gt;"",O780&lt;=8)))</f>
        <v/>
      </c>
    </row>
    <row r="781" customFormat="false" ht="15" hidden="false" customHeight="false" outlineLevel="0" collapsed="false">
      <c r="AZ781" s="5" t="str">
        <f aca="false">IF($B781="","",SUMPRODUCT(($AL781:$AO781&lt;&gt;"")*(COUNTIF($AP781:$AX781,$AL781:$AO781)&gt;0)))</f>
        <v/>
      </c>
      <c r="BA781" s="5" t="str">
        <f aca="false">IF($B781="","",IF(AZ781&gt;0,1,0))</f>
        <v/>
      </c>
      <c r="BB781" s="5" t="str">
        <f aca="false">IF($AP781="","",IF((($AP781="Engineering and Technology")+($AP781="Science and Mathematics")+($AP781="Computer Science, IT and Allied Fields")+($AP781="Life Sciences /Medicine and Healthcare")+($AP781="Paramedical")+($AP781="Architecture")+($AP781="Environmental Service")+($AP781="Agriculture, Food Industry and Forestry"))&gt;0,"Science",IF((($AP781="Banking and Finance")+($AP781="Management and Administration")+($AP781="Marketing")+($AP781="Sales")+($AP781="Entrepreneurship")+($AP781="Hospitality and Tourism"))&gt;0,"Commerce",IF((($AP781="Social Sciences and Humanities")+($AP781="Law Studies")+($AP781="Education and Training")+($AP781="Art, Design")+($AP781="Entertainment and Mass Media")+($AP781="Community and Social Service")+($AP781="Personal Care and Services")+($AP781="Government and Public Administration")+($AP781="Defence/ Protective Service")+($AP781="Sports"))&gt;0,"Arts / Humanities",""))))</f>
        <v/>
      </c>
      <c r="BC781" s="5" t="str">
        <f aca="false">IF($AL781="","",IF((($AL781="Engineering and Technology")+($AL781="Science and Mathematics")+($AL781="Computer Science, IT and Allied Fields")+($AL781="Life Sciences /Medicine and Healthcare")+($AL781="Paramedical")+($AL781="Architecture")+($AL781="Environmental Service")+($AL781="Agriculture, Food Industry and Forestry"))&gt;0,"Science",IF((($AL781="Banking and Finance")+($AL781="Management and Administration")+($AL781="Marketing")+($AL781="Sales")+($AL781="Entrepreneurship")+($AL781="Hospitality and Tourism"))&gt;0,"Commerce",IF((($AL781="Social Sciences and Humanities")+($AL781="Law Studies")+($AL781="Education and Training")+($AL781="Art, Design")+($AL781="Entertainment and Mass Media")+($AL781="Community and Social Service")+($AL781="Personal Care and Services")+($AL781="Government and Public Administration")+($AL781="Defence/ Protective Service")+($AL781="Sports"))&gt;0,"Arts / Humanities",""))))</f>
        <v/>
      </c>
      <c r="BD781" s="5" t="str">
        <f aca="false">IF($B781="","",--(F781&gt;=10)+--(G781&gt;=10)+--(H781&gt;=10)+--(I781&gt;=10)+--(J781&gt;=10)+--(K781&gt;=10)+--(L781&gt;=10)+--(M781&gt;=10)+--(N781&gt;=10)+--(O781&gt;=10))</f>
        <v/>
      </c>
      <c r="BE781" s="5" t="str">
        <f aca="false">IF($B781="","",--(AND(F781&lt;&gt;"",F781&lt;=8))+--(AND(G781&lt;&gt;"",G781&lt;=8))+--(AND(H781&lt;&gt;"",H781&lt;=8))+--(AND(I781&lt;&gt;"",I781&lt;=8))+--(AND(J781&lt;&gt;"",J781&lt;=8))+--(AND(K781&lt;&gt;"",K781&lt;=8))+--(AND(L781&lt;&gt;"",L781&lt;=8))+--(AND(M781&lt;&gt;"",M781&lt;=8))+--(AND(N781&lt;&gt;"",N781&lt;=8))+--(AND(O781&lt;&gt;"",O781&lt;=8)))</f>
        <v/>
      </c>
    </row>
    <row r="782" customFormat="false" ht="15" hidden="false" customHeight="false" outlineLevel="0" collapsed="false">
      <c r="AZ782" s="5" t="str">
        <f aca="false">IF($B782="","",SUMPRODUCT(($AL782:$AO782&lt;&gt;"")*(COUNTIF($AP782:$AX782,$AL782:$AO782)&gt;0)))</f>
        <v/>
      </c>
      <c r="BA782" s="5" t="str">
        <f aca="false">IF($B782="","",IF(AZ782&gt;0,1,0))</f>
        <v/>
      </c>
      <c r="BB782" s="5" t="str">
        <f aca="false">IF($AP782="","",IF((($AP782="Engineering and Technology")+($AP782="Science and Mathematics")+($AP782="Computer Science, IT and Allied Fields")+($AP782="Life Sciences /Medicine and Healthcare")+($AP782="Paramedical")+($AP782="Architecture")+($AP782="Environmental Service")+($AP782="Agriculture, Food Industry and Forestry"))&gt;0,"Science",IF((($AP782="Banking and Finance")+($AP782="Management and Administration")+($AP782="Marketing")+($AP782="Sales")+($AP782="Entrepreneurship")+($AP782="Hospitality and Tourism"))&gt;0,"Commerce",IF((($AP782="Social Sciences and Humanities")+($AP782="Law Studies")+($AP782="Education and Training")+($AP782="Art, Design")+($AP782="Entertainment and Mass Media")+($AP782="Community and Social Service")+($AP782="Personal Care and Services")+($AP782="Government and Public Administration")+($AP782="Defence/ Protective Service")+($AP782="Sports"))&gt;0,"Arts / Humanities",""))))</f>
        <v/>
      </c>
      <c r="BC782" s="5" t="str">
        <f aca="false">IF($AL782="","",IF((($AL782="Engineering and Technology")+($AL782="Science and Mathematics")+($AL782="Computer Science, IT and Allied Fields")+($AL782="Life Sciences /Medicine and Healthcare")+($AL782="Paramedical")+($AL782="Architecture")+($AL782="Environmental Service")+($AL782="Agriculture, Food Industry and Forestry"))&gt;0,"Science",IF((($AL782="Banking and Finance")+($AL782="Management and Administration")+($AL782="Marketing")+($AL782="Sales")+($AL782="Entrepreneurship")+($AL782="Hospitality and Tourism"))&gt;0,"Commerce",IF((($AL782="Social Sciences and Humanities")+($AL782="Law Studies")+($AL782="Education and Training")+($AL782="Art, Design")+($AL782="Entertainment and Mass Media")+($AL782="Community and Social Service")+($AL782="Personal Care and Services")+($AL782="Government and Public Administration")+($AL782="Defence/ Protective Service")+($AL782="Sports"))&gt;0,"Arts / Humanities",""))))</f>
        <v/>
      </c>
      <c r="BD782" s="5" t="str">
        <f aca="false">IF($B782="","",--(F782&gt;=10)+--(G782&gt;=10)+--(H782&gt;=10)+--(I782&gt;=10)+--(J782&gt;=10)+--(K782&gt;=10)+--(L782&gt;=10)+--(M782&gt;=10)+--(N782&gt;=10)+--(O782&gt;=10))</f>
        <v/>
      </c>
      <c r="BE782" s="5" t="str">
        <f aca="false">IF($B782="","",--(AND(F782&lt;&gt;"",F782&lt;=8))+--(AND(G782&lt;&gt;"",G782&lt;=8))+--(AND(H782&lt;&gt;"",H782&lt;=8))+--(AND(I782&lt;&gt;"",I782&lt;=8))+--(AND(J782&lt;&gt;"",J782&lt;=8))+--(AND(K782&lt;&gt;"",K782&lt;=8))+--(AND(L782&lt;&gt;"",L782&lt;=8))+--(AND(M782&lt;&gt;"",M782&lt;=8))+--(AND(N782&lt;&gt;"",N782&lt;=8))+--(AND(O782&lt;&gt;"",O782&lt;=8)))</f>
        <v/>
      </c>
    </row>
    <row r="783" customFormat="false" ht="15" hidden="false" customHeight="false" outlineLevel="0" collapsed="false">
      <c r="AZ783" s="5" t="str">
        <f aca="false">IF($B783="","",SUMPRODUCT(($AL783:$AO783&lt;&gt;"")*(COUNTIF($AP783:$AX783,$AL783:$AO783)&gt;0)))</f>
        <v/>
      </c>
      <c r="BA783" s="5" t="str">
        <f aca="false">IF($B783="","",IF(AZ783&gt;0,1,0))</f>
        <v/>
      </c>
      <c r="BB783" s="5" t="str">
        <f aca="false">IF($AP783="","",IF((($AP783="Engineering and Technology")+($AP783="Science and Mathematics")+($AP783="Computer Science, IT and Allied Fields")+($AP783="Life Sciences /Medicine and Healthcare")+($AP783="Paramedical")+($AP783="Architecture")+($AP783="Environmental Service")+($AP783="Agriculture, Food Industry and Forestry"))&gt;0,"Science",IF((($AP783="Banking and Finance")+($AP783="Management and Administration")+($AP783="Marketing")+($AP783="Sales")+($AP783="Entrepreneurship")+($AP783="Hospitality and Tourism"))&gt;0,"Commerce",IF((($AP783="Social Sciences and Humanities")+($AP783="Law Studies")+($AP783="Education and Training")+($AP783="Art, Design")+($AP783="Entertainment and Mass Media")+($AP783="Community and Social Service")+($AP783="Personal Care and Services")+($AP783="Government and Public Administration")+($AP783="Defence/ Protective Service")+($AP783="Sports"))&gt;0,"Arts / Humanities",""))))</f>
        <v/>
      </c>
      <c r="BC783" s="5" t="str">
        <f aca="false">IF($AL783="","",IF((($AL783="Engineering and Technology")+($AL783="Science and Mathematics")+($AL783="Computer Science, IT and Allied Fields")+($AL783="Life Sciences /Medicine and Healthcare")+($AL783="Paramedical")+($AL783="Architecture")+($AL783="Environmental Service")+($AL783="Agriculture, Food Industry and Forestry"))&gt;0,"Science",IF((($AL783="Banking and Finance")+($AL783="Management and Administration")+($AL783="Marketing")+($AL783="Sales")+($AL783="Entrepreneurship")+($AL783="Hospitality and Tourism"))&gt;0,"Commerce",IF((($AL783="Social Sciences and Humanities")+($AL783="Law Studies")+($AL783="Education and Training")+($AL783="Art, Design")+($AL783="Entertainment and Mass Media")+($AL783="Community and Social Service")+($AL783="Personal Care and Services")+($AL783="Government and Public Administration")+($AL783="Defence/ Protective Service")+($AL783="Sports"))&gt;0,"Arts / Humanities",""))))</f>
        <v/>
      </c>
      <c r="BD783" s="5" t="str">
        <f aca="false">IF($B783="","",--(F783&gt;=10)+--(G783&gt;=10)+--(H783&gt;=10)+--(I783&gt;=10)+--(J783&gt;=10)+--(K783&gt;=10)+--(L783&gt;=10)+--(M783&gt;=10)+--(N783&gt;=10)+--(O783&gt;=10))</f>
        <v/>
      </c>
      <c r="BE783" s="5" t="str">
        <f aca="false">IF($B783="","",--(AND(F783&lt;&gt;"",F783&lt;=8))+--(AND(G783&lt;&gt;"",G783&lt;=8))+--(AND(H783&lt;&gt;"",H783&lt;=8))+--(AND(I783&lt;&gt;"",I783&lt;=8))+--(AND(J783&lt;&gt;"",J783&lt;=8))+--(AND(K783&lt;&gt;"",K783&lt;=8))+--(AND(L783&lt;&gt;"",L783&lt;=8))+--(AND(M783&lt;&gt;"",M783&lt;=8))+--(AND(N783&lt;&gt;"",N783&lt;=8))+--(AND(O783&lt;&gt;"",O783&lt;=8)))</f>
        <v/>
      </c>
    </row>
    <row r="784" customFormat="false" ht="15" hidden="false" customHeight="false" outlineLevel="0" collapsed="false">
      <c r="AZ784" s="5" t="str">
        <f aca="false">IF($B784="","",SUMPRODUCT(($AL784:$AO784&lt;&gt;"")*(COUNTIF($AP784:$AX784,$AL784:$AO784)&gt;0)))</f>
        <v/>
      </c>
      <c r="BA784" s="5" t="str">
        <f aca="false">IF($B784="","",IF(AZ784&gt;0,1,0))</f>
        <v/>
      </c>
      <c r="BB784" s="5" t="str">
        <f aca="false">IF($AP784="","",IF((($AP784="Engineering and Technology")+($AP784="Science and Mathematics")+($AP784="Computer Science, IT and Allied Fields")+($AP784="Life Sciences /Medicine and Healthcare")+($AP784="Paramedical")+($AP784="Architecture")+($AP784="Environmental Service")+($AP784="Agriculture, Food Industry and Forestry"))&gt;0,"Science",IF((($AP784="Banking and Finance")+($AP784="Management and Administration")+($AP784="Marketing")+($AP784="Sales")+($AP784="Entrepreneurship")+($AP784="Hospitality and Tourism"))&gt;0,"Commerce",IF((($AP784="Social Sciences and Humanities")+($AP784="Law Studies")+($AP784="Education and Training")+($AP784="Art, Design")+($AP784="Entertainment and Mass Media")+($AP784="Community and Social Service")+($AP784="Personal Care and Services")+($AP784="Government and Public Administration")+($AP784="Defence/ Protective Service")+($AP784="Sports"))&gt;0,"Arts / Humanities",""))))</f>
        <v/>
      </c>
      <c r="BC784" s="5" t="str">
        <f aca="false">IF($AL784="","",IF((($AL784="Engineering and Technology")+($AL784="Science and Mathematics")+($AL784="Computer Science, IT and Allied Fields")+($AL784="Life Sciences /Medicine and Healthcare")+($AL784="Paramedical")+($AL784="Architecture")+($AL784="Environmental Service")+($AL784="Agriculture, Food Industry and Forestry"))&gt;0,"Science",IF((($AL784="Banking and Finance")+($AL784="Management and Administration")+($AL784="Marketing")+($AL784="Sales")+($AL784="Entrepreneurship")+($AL784="Hospitality and Tourism"))&gt;0,"Commerce",IF((($AL784="Social Sciences and Humanities")+($AL784="Law Studies")+($AL784="Education and Training")+($AL784="Art, Design")+($AL784="Entertainment and Mass Media")+($AL784="Community and Social Service")+($AL784="Personal Care and Services")+($AL784="Government and Public Administration")+($AL784="Defence/ Protective Service")+($AL784="Sports"))&gt;0,"Arts / Humanities",""))))</f>
        <v/>
      </c>
      <c r="BD784" s="5" t="str">
        <f aca="false">IF($B784="","",--(F784&gt;=10)+--(G784&gt;=10)+--(H784&gt;=10)+--(I784&gt;=10)+--(J784&gt;=10)+--(K784&gt;=10)+--(L784&gt;=10)+--(M784&gt;=10)+--(N784&gt;=10)+--(O784&gt;=10))</f>
        <v/>
      </c>
      <c r="BE784" s="5" t="str">
        <f aca="false">IF($B784="","",--(AND(F784&lt;&gt;"",F784&lt;=8))+--(AND(G784&lt;&gt;"",G784&lt;=8))+--(AND(H784&lt;&gt;"",H784&lt;=8))+--(AND(I784&lt;&gt;"",I784&lt;=8))+--(AND(J784&lt;&gt;"",J784&lt;=8))+--(AND(K784&lt;&gt;"",K784&lt;=8))+--(AND(L784&lt;&gt;"",L784&lt;=8))+--(AND(M784&lt;&gt;"",M784&lt;=8))+--(AND(N784&lt;&gt;"",N784&lt;=8))+--(AND(O784&lt;&gt;"",O784&lt;=8)))</f>
        <v/>
      </c>
    </row>
    <row r="785" customFormat="false" ht="15" hidden="false" customHeight="false" outlineLevel="0" collapsed="false">
      <c r="AZ785" s="5" t="str">
        <f aca="false">IF($B785="","",SUMPRODUCT(($AL785:$AO785&lt;&gt;"")*(COUNTIF($AP785:$AX785,$AL785:$AO785)&gt;0)))</f>
        <v/>
      </c>
      <c r="BA785" s="5" t="str">
        <f aca="false">IF($B785="","",IF(AZ785&gt;0,1,0))</f>
        <v/>
      </c>
      <c r="BB785" s="5" t="str">
        <f aca="false">IF($AP785="","",IF((($AP785="Engineering and Technology")+($AP785="Science and Mathematics")+($AP785="Computer Science, IT and Allied Fields")+($AP785="Life Sciences /Medicine and Healthcare")+($AP785="Paramedical")+($AP785="Architecture")+($AP785="Environmental Service")+($AP785="Agriculture, Food Industry and Forestry"))&gt;0,"Science",IF((($AP785="Banking and Finance")+($AP785="Management and Administration")+($AP785="Marketing")+($AP785="Sales")+($AP785="Entrepreneurship")+($AP785="Hospitality and Tourism"))&gt;0,"Commerce",IF((($AP785="Social Sciences and Humanities")+($AP785="Law Studies")+($AP785="Education and Training")+($AP785="Art, Design")+($AP785="Entertainment and Mass Media")+($AP785="Community and Social Service")+($AP785="Personal Care and Services")+($AP785="Government and Public Administration")+($AP785="Defence/ Protective Service")+($AP785="Sports"))&gt;0,"Arts / Humanities",""))))</f>
        <v/>
      </c>
      <c r="BC785" s="5" t="str">
        <f aca="false">IF($AL785="","",IF((($AL785="Engineering and Technology")+($AL785="Science and Mathematics")+($AL785="Computer Science, IT and Allied Fields")+($AL785="Life Sciences /Medicine and Healthcare")+($AL785="Paramedical")+($AL785="Architecture")+($AL785="Environmental Service")+($AL785="Agriculture, Food Industry and Forestry"))&gt;0,"Science",IF((($AL785="Banking and Finance")+($AL785="Management and Administration")+($AL785="Marketing")+($AL785="Sales")+($AL785="Entrepreneurship")+($AL785="Hospitality and Tourism"))&gt;0,"Commerce",IF((($AL785="Social Sciences and Humanities")+($AL785="Law Studies")+($AL785="Education and Training")+($AL785="Art, Design")+($AL785="Entertainment and Mass Media")+($AL785="Community and Social Service")+($AL785="Personal Care and Services")+($AL785="Government and Public Administration")+($AL785="Defence/ Protective Service")+($AL785="Sports"))&gt;0,"Arts / Humanities",""))))</f>
        <v/>
      </c>
      <c r="BD785" s="5" t="str">
        <f aca="false">IF($B785="","",--(F785&gt;=10)+--(G785&gt;=10)+--(H785&gt;=10)+--(I785&gt;=10)+--(J785&gt;=10)+--(K785&gt;=10)+--(L785&gt;=10)+--(M785&gt;=10)+--(N785&gt;=10)+--(O785&gt;=10))</f>
        <v/>
      </c>
      <c r="BE785" s="5" t="str">
        <f aca="false">IF($B785="","",--(AND(F785&lt;&gt;"",F785&lt;=8))+--(AND(G785&lt;&gt;"",G785&lt;=8))+--(AND(H785&lt;&gt;"",H785&lt;=8))+--(AND(I785&lt;&gt;"",I785&lt;=8))+--(AND(J785&lt;&gt;"",J785&lt;=8))+--(AND(K785&lt;&gt;"",K785&lt;=8))+--(AND(L785&lt;&gt;"",L785&lt;=8))+--(AND(M785&lt;&gt;"",M785&lt;=8))+--(AND(N785&lt;&gt;"",N785&lt;=8))+--(AND(O785&lt;&gt;"",O785&lt;=8)))</f>
        <v/>
      </c>
    </row>
    <row r="786" customFormat="false" ht="15" hidden="false" customHeight="false" outlineLevel="0" collapsed="false">
      <c r="AZ786" s="5" t="str">
        <f aca="false">IF($B786="","",SUMPRODUCT(($AL786:$AO786&lt;&gt;"")*(COUNTIF($AP786:$AX786,$AL786:$AO786)&gt;0)))</f>
        <v/>
      </c>
      <c r="BA786" s="5" t="str">
        <f aca="false">IF($B786="","",IF(AZ786&gt;0,1,0))</f>
        <v/>
      </c>
      <c r="BB786" s="5" t="str">
        <f aca="false">IF($AP786="","",IF((($AP786="Engineering and Technology")+($AP786="Science and Mathematics")+($AP786="Computer Science, IT and Allied Fields")+($AP786="Life Sciences /Medicine and Healthcare")+($AP786="Paramedical")+($AP786="Architecture")+($AP786="Environmental Service")+($AP786="Agriculture, Food Industry and Forestry"))&gt;0,"Science",IF((($AP786="Banking and Finance")+($AP786="Management and Administration")+($AP786="Marketing")+($AP786="Sales")+($AP786="Entrepreneurship")+($AP786="Hospitality and Tourism"))&gt;0,"Commerce",IF((($AP786="Social Sciences and Humanities")+($AP786="Law Studies")+($AP786="Education and Training")+($AP786="Art, Design")+($AP786="Entertainment and Mass Media")+($AP786="Community and Social Service")+($AP786="Personal Care and Services")+($AP786="Government and Public Administration")+($AP786="Defence/ Protective Service")+($AP786="Sports"))&gt;0,"Arts / Humanities",""))))</f>
        <v/>
      </c>
      <c r="BC786" s="5" t="str">
        <f aca="false">IF($AL786="","",IF((($AL786="Engineering and Technology")+($AL786="Science and Mathematics")+($AL786="Computer Science, IT and Allied Fields")+($AL786="Life Sciences /Medicine and Healthcare")+($AL786="Paramedical")+($AL786="Architecture")+($AL786="Environmental Service")+($AL786="Agriculture, Food Industry and Forestry"))&gt;0,"Science",IF((($AL786="Banking and Finance")+($AL786="Management and Administration")+($AL786="Marketing")+($AL786="Sales")+($AL786="Entrepreneurship")+($AL786="Hospitality and Tourism"))&gt;0,"Commerce",IF((($AL786="Social Sciences and Humanities")+($AL786="Law Studies")+($AL786="Education and Training")+($AL786="Art, Design")+($AL786="Entertainment and Mass Media")+($AL786="Community and Social Service")+($AL786="Personal Care and Services")+($AL786="Government and Public Administration")+($AL786="Defence/ Protective Service")+($AL786="Sports"))&gt;0,"Arts / Humanities",""))))</f>
        <v/>
      </c>
      <c r="BD786" s="5" t="str">
        <f aca="false">IF($B786="","",--(F786&gt;=10)+--(G786&gt;=10)+--(H786&gt;=10)+--(I786&gt;=10)+--(J786&gt;=10)+--(K786&gt;=10)+--(L786&gt;=10)+--(M786&gt;=10)+--(N786&gt;=10)+--(O786&gt;=10))</f>
        <v/>
      </c>
      <c r="BE786" s="5" t="str">
        <f aca="false">IF($B786="","",--(AND(F786&lt;&gt;"",F786&lt;=8))+--(AND(G786&lt;&gt;"",G786&lt;=8))+--(AND(H786&lt;&gt;"",H786&lt;=8))+--(AND(I786&lt;&gt;"",I786&lt;=8))+--(AND(J786&lt;&gt;"",J786&lt;=8))+--(AND(K786&lt;&gt;"",K786&lt;=8))+--(AND(L786&lt;&gt;"",L786&lt;=8))+--(AND(M786&lt;&gt;"",M786&lt;=8))+--(AND(N786&lt;&gt;"",N786&lt;=8))+--(AND(O786&lt;&gt;"",O786&lt;=8)))</f>
        <v/>
      </c>
    </row>
    <row r="787" customFormat="false" ht="15" hidden="false" customHeight="false" outlineLevel="0" collapsed="false">
      <c r="AZ787" s="5" t="str">
        <f aca="false">IF($B787="","",SUMPRODUCT(($AL787:$AO787&lt;&gt;"")*(COUNTIF($AP787:$AX787,$AL787:$AO787)&gt;0)))</f>
        <v/>
      </c>
      <c r="BA787" s="5" t="str">
        <f aca="false">IF($B787="","",IF(AZ787&gt;0,1,0))</f>
        <v/>
      </c>
      <c r="BB787" s="5" t="str">
        <f aca="false">IF($AP787="","",IF((($AP787="Engineering and Technology")+($AP787="Science and Mathematics")+($AP787="Computer Science, IT and Allied Fields")+($AP787="Life Sciences /Medicine and Healthcare")+($AP787="Paramedical")+($AP787="Architecture")+($AP787="Environmental Service")+($AP787="Agriculture, Food Industry and Forestry"))&gt;0,"Science",IF((($AP787="Banking and Finance")+($AP787="Management and Administration")+($AP787="Marketing")+($AP787="Sales")+($AP787="Entrepreneurship")+($AP787="Hospitality and Tourism"))&gt;0,"Commerce",IF((($AP787="Social Sciences and Humanities")+($AP787="Law Studies")+($AP787="Education and Training")+($AP787="Art, Design")+($AP787="Entertainment and Mass Media")+($AP787="Community and Social Service")+($AP787="Personal Care and Services")+($AP787="Government and Public Administration")+($AP787="Defence/ Protective Service")+($AP787="Sports"))&gt;0,"Arts / Humanities",""))))</f>
        <v/>
      </c>
      <c r="BC787" s="5" t="str">
        <f aca="false">IF($AL787="","",IF((($AL787="Engineering and Technology")+($AL787="Science and Mathematics")+($AL787="Computer Science, IT and Allied Fields")+($AL787="Life Sciences /Medicine and Healthcare")+($AL787="Paramedical")+($AL787="Architecture")+($AL787="Environmental Service")+($AL787="Agriculture, Food Industry and Forestry"))&gt;0,"Science",IF((($AL787="Banking and Finance")+($AL787="Management and Administration")+($AL787="Marketing")+($AL787="Sales")+($AL787="Entrepreneurship")+($AL787="Hospitality and Tourism"))&gt;0,"Commerce",IF((($AL787="Social Sciences and Humanities")+($AL787="Law Studies")+($AL787="Education and Training")+($AL787="Art, Design")+($AL787="Entertainment and Mass Media")+($AL787="Community and Social Service")+($AL787="Personal Care and Services")+($AL787="Government and Public Administration")+($AL787="Defence/ Protective Service")+($AL787="Sports"))&gt;0,"Arts / Humanities",""))))</f>
        <v/>
      </c>
      <c r="BD787" s="5" t="str">
        <f aca="false">IF($B787="","",--(F787&gt;=10)+--(G787&gt;=10)+--(H787&gt;=10)+--(I787&gt;=10)+--(J787&gt;=10)+--(K787&gt;=10)+--(L787&gt;=10)+--(M787&gt;=10)+--(N787&gt;=10)+--(O787&gt;=10))</f>
        <v/>
      </c>
      <c r="BE787" s="5" t="str">
        <f aca="false">IF($B787="","",--(AND(F787&lt;&gt;"",F787&lt;=8))+--(AND(G787&lt;&gt;"",G787&lt;=8))+--(AND(H787&lt;&gt;"",H787&lt;=8))+--(AND(I787&lt;&gt;"",I787&lt;=8))+--(AND(J787&lt;&gt;"",J787&lt;=8))+--(AND(K787&lt;&gt;"",K787&lt;=8))+--(AND(L787&lt;&gt;"",L787&lt;=8))+--(AND(M787&lt;&gt;"",M787&lt;=8))+--(AND(N787&lt;&gt;"",N787&lt;=8))+--(AND(O787&lt;&gt;"",O787&lt;=8)))</f>
        <v/>
      </c>
    </row>
    <row r="788" customFormat="false" ht="15" hidden="false" customHeight="false" outlineLevel="0" collapsed="false">
      <c r="AZ788" s="5" t="str">
        <f aca="false">IF($B788="","",SUMPRODUCT(($AL788:$AO788&lt;&gt;"")*(COUNTIF($AP788:$AX788,$AL788:$AO788)&gt;0)))</f>
        <v/>
      </c>
      <c r="BA788" s="5" t="str">
        <f aca="false">IF($B788="","",IF(AZ788&gt;0,1,0))</f>
        <v/>
      </c>
      <c r="BB788" s="5" t="str">
        <f aca="false">IF($AP788="","",IF((($AP788="Engineering and Technology")+($AP788="Science and Mathematics")+($AP788="Computer Science, IT and Allied Fields")+($AP788="Life Sciences /Medicine and Healthcare")+($AP788="Paramedical")+($AP788="Architecture")+($AP788="Environmental Service")+($AP788="Agriculture, Food Industry and Forestry"))&gt;0,"Science",IF((($AP788="Banking and Finance")+($AP788="Management and Administration")+($AP788="Marketing")+($AP788="Sales")+($AP788="Entrepreneurship")+($AP788="Hospitality and Tourism"))&gt;0,"Commerce",IF((($AP788="Social Sciences and Humanities")+($AP788="Law Studies")+($AP788="Education and Training")+($AP788="Art, Design")+($AP788="Entertainment and Mass Media")+($AP788="Community and Social Service")+($AP788="Personal Care and Services")+($AP788="Government and Public Administration")+($AP788="Defence/ Protective Service")+($AP788="Sports"))&gt;0,"Arts / Humanities",""))))</f>
        <v/>
      </c>
      <c r="BC788" s="5" t="str">
        <f aca="false">IF($AL788="","",IF((($AL788="Engineering and Technology")+($AL788="Science and Mathematics")+($AL788="Computer Science, IT and Allied Fields")+($AL788="Life Sciences /Medicine and Healthcare")+($AL788="Paramedical")+($AL788="Architecture")+($AL788="Environmental Service")+($AL788="Agriculture, Food Industry and Forestry"))&gt;0,"Science",IF((($AL788="Banking and Finance")+($AL788="Management and Administration")+($AL788="Marketing")+($AL788="Sales")+($AL788="Entrepreneurship")+($AL788="Hospitality and Tourism"))&gt;0,"Commerce",IF((($AL788="Social Sciences and Humanities")+($AL788="Law Studies")+($AL788="Education and Training")+($AL788="Art, Design")+($AL788="Entertainment and Mass Media")+($AL788="Community and Social Service")+($AL788="Personal Care and Services")+($AL788="Government and Public Administration")+($AL788="Defence/ Protective Service")+($AL788="Sports"))&gt;0,"Arts / Humanities",""))))</f>
        <v/>
      </c>
      <c r="BD788" s="5" t="str">
        <f aca="false">IF($B788="","",--(F788&gt;=10)+--(G788&gt;=10)+--(H788&gt;=10)+--(I788&gt;=10)+--(J788&gt;=10)+--(K788&gt;=10)+--(L788&gt;=10)+--(M788&gt;=10)+--(N788&gt;=10)+--(O788&gt;=10))</f>
        <v/>
      </c>
      <c r="BE788" s="5" t="str">
        <f aca="false">IF($B788="","",--(AND(F788&lt;&gt;"",F788&lt;=8))+--(AND(G788&lt;&gt;"",G788&lt;=8))+--(AND(H788&lt;&gt;"",H788&lt;=8))+--(AND(I788&lt;&gt;"",I788&lt;=8))+--(AND(J788&lt;&gt;"",J788&lt;=8))+--(AND(K788&lt;&gt;"",K788&lt;=8))+--(AND(L788&lt;&gt;"",L788&lt;=8))+--(AND(M788&lt;&gt;"",M788&lt;=8))+--(AND(N788&lt;&gt;"",N788&lt;=8))+--(AND(O788&lt;&gt;"",O788&lt;=8)))</f>
        <v/>
      </c>
    </row>
    <row r="789" customFormat="false" ht="15" hidden="false" customHeight="false" outlineLevel="0" collapsed="false">
      <c r="AZ789" s="5" t="str">
        <f aca="false">IF($B789="","",SUMPRODUCT(($AL789:$AO789&lt;&gt;"")*(COUNTIF($AP789:$AX789,$AL789:$AO789)&gt;0)))</f>
        <v/>
      </c>
      <c r="BA789" s="5" t="str">
        <f aca="false">IF($B789="","",IF(AZ789&gt;0,1,0))</f>
        <v/>
      </c>
      <c r="BB789" s="5" t="str">
        <f aca="false">IF($AP789="","",IF((($AP789="Engineering and Technology")+($AP789="Science and Mathematics")+($AP789="Computer Science, IT and Allied Fields")+($AP789="Life Sciences /Medicine and Healthcare")+($AP789="Paramedical")+($AP789="Architecture")+($AP789="Environmental Service")+($AP789="Agriculture, Food Industry and Forestry"))&gt;0,"Science",IF((($AP789="Banking and Finance")+($AP789="Management and Administration")+($AP789="Marketing")+($AP789="Sales")+($AP789="Entrepreneurship")+($AP789="Hospitality and Tourism"))&gt;0,"Commerce",IF((($AP789="Social Sciences and Humanities")+($AP789="Law Studies")+($AP789="Education and Training")+($AP789="Art, Design")+($AP789="Entertainment and Mass Media")+($AP789="Community and Social Service")+($AP789="Personal Care and Services")+($AP789="Government and Public Administration")+($AP789="Defence/ Protective Service")+($AP789="Sports"))&gt;0,"Arts / Humanities",""))))</f>
        <v/>
      </c>
      <c r="BC789" s="5" t="str">
        <f aca="false">IF($AL789="","",IF((($AL789="Engineering and Technology")+($AL789="Science and Mathematics")+($AL789="Computer Science, IT and Allied Fields")+($AL789="Life Sciences /Medicine and Healthcare")+($AL789="Paramedical")+($AL789="Architecture")+($AL789="Environmental Service")+($AL789="Agriculture, Food Industry and Forestry"))&gt;0,"Science",IF((($AL789="Banking and Finance")+($AL789="Management and Administration")+($AL789="Marketing")+($AL789="Sales")+($AL789="Entrepreneurship")+($AL789="Hospitality and Tourism"))&gt;0,"Commerce",IF((($AL789="Social Sciences and Humanities")+($AL789="Law Studies")+($AL789="Education and Training")+($AL789="Art, Design")+($AL789="Entertainment and Mass Media")+($AL789="Community and Social Service")+($AL789="Personal Care and Services")+($AL789="Government and Public Administration")+($AL789="Defence/ Protective Service")+($AL789="Sports"))&gt;0,"Arts / Humanities",""))))</f>
        <v/>
      </c>
      <c r="BD789" s="5" t="str">
        <f aca="false">IF($B789="","",--(F789&gt;=10)+--(G789&gt;=10)+--(H789&gt;=10)+--(I789&gt;=10)+--(J789&gt;=10)+--(K789&gt;=10)+--(L789&gt;=10)+--(M789&gt;=10)+--(N789&gt;=10)+--(O789&gt;=10))</f>
        <v/>
      </c>
      <c r="BE789" s="5" t="str">
        <f aca="false">IF($B789="","",--(AND(F789&lt;&gt;"",F789&lt;=8))+--(AND(G789&lt;&gt;"",G789&lt;=8))+--(AND(H789&lt;&gt;"",H789&lt;=8))+--(AND(I789&lt;&gt;"",I789&lt;=8))+--(AND(J789&lt;&gt;"",J789&lt;=8))+--(AND(K789&lt;&gt;"",K789&lt;=8))+--(AND(L789&lt;&gt;"",L789&lt;=8))+--(AND(M789&lt;&gt;"",M789&lt;=8))+--(AND(N789&lt;&gt;"",N789&lt;=8))+--(AND(O789&lt;&gt;"",O789&lt;=8)))</f>
        <v/>
      </c>
    </row>
    <row r="790" customFormat="false" ht="15" hidden="false" customHeight="false" outlineLevel="0" collapsed="false">
      <c r="AZ790" s="5" t="str">
        <f aca="false">IF($B790="","",SUMPRODUCT(($AL790:$AO790&lt;&gt;"")*(COUNTIF($AP790:$AX790,$AL790:$AO790)&gt;0)))</f>
        <v/>
      </c>
      <c r="BA790" s="5" t="str">
        <f aca="false">IF($B790="","",IF(AZ790&gt;0,1,0))</f>
        <v/>
      </c>
      <c r="BB790" s="5" t="str">
        <f aca="false">IF($AP790="","",IF((($AP790="Engineering and Technology")+($AP790="Science and Mathematics")+($AP790="Computer Science, IT and Allied Fields")+($AP790="Life Sciences /Medicine and Healthcare")+($AP790="Paramedical")+($AP790="Architecture")+($AP790="Environmental Service")+($AP790="Agriculture, Food Industry and Forestry"))&gt;0,"Science",IF((($AP790="Banking and Finance")+($AP790="Management and Administration")+($AP790="Marketing")+($AP790="Sales")+($AP790="Entrepreneurship")+($AP790="Hospitality and Tourism"))&gt;0,"Commerce",IF((($AP790="Social Sciences and Humanities")+($AP790="Law Studies")+($AP790="Education and Training")+($AP790="Art, Design")+($AP790="Entertainment and Mass Media")+($AP790="Community and Social Service")+($AP790="Personal Care and Services")+($AP790="Government and Public Administration")+($AP790="Defence/ Protective Service")+($AP790="Sports"))&gt;0,"Arts / Humanities",""))))</f>
        <v/>
      </c>
      <c r="BC790" s="5" t="str">
        <f aca="false">IF($AL790="","",IF((($AL790="Engineering and Technology")+($AL790="Science and Mathematics")+($AL790="Computer Science, IT and Allied Fields")+($AL790="Life Sciences /Medicine and Healthcare")+($AL790="Paramedical")+($AL790="Architecture")+($AL790="Environmental Service")+($AL790="Agriculture, Food Industry and Forestry"))&gt;0,"Science",IF((($AL790="Banking and Finance")+($AL790="Management and Administration")+($AL790="Marketing")+($AL790="Sales")+($AL790="Entrepreneurship")+($AL790="Hospitality and Tourism"))&gt;0,"Commerce",IF((($AL790="Social Sciences and Humanities")+($AL790="Law Studies")+($AL790="Education and Training")+($AL790="Art, Design")+($AL790="Entertainment and Mass Media")+($AL790="Community and Social Service")+($AL790="Personal Care and Services")+($AL790="Government and Public Administration")+($AL790="Defence/ Protective Service")+($AL790="Sports"))&gt;0,"Arts / Humanities",""))))</f>
        <v/>
      </c>
      <c r="BD790" s="5" t="str">
        <f aca="false">IF($B790="","",--(F790&gt;=10)+--(G790&gt;=10)+--(H790&gt;=10)+--(I790&gt;=10)+--(J790&gt;=10)+--(K790&gt;=10)+--(L790&gt;=10)+--(M790&gt;=10)+--(N790&gt;=10)+--(O790&gt;=10))</f>
        <v/>
      </c>
      <c r="BE790" s="5" t="str">
        <f aca="false">IF($B790="","",--(AND(F790&lt;&gt;"",F790&lt;=8))+--(AND(G790&lt;&gt;"",G790&lt;=8))+--(AND(H790&lt;&gt;"",H790&lt;=8))+--(AND(I790&lt;&gt;"",I790&lt;=8))+--(AND(J790&lt;&gt;"",J790&lt;=8))+--(AND(K790&lt;&gt;"",K790&lt;=8))+--(AND(L790&lt;&gt;"",L790&lt;=8))+--(AND(M790&lt;&gt;"",M790&lt;=8))+--(AND(N790&lt;&gt;"",N790&lt;=8))+--(AND(O790&lt;&gt;"",O790&lt;=8)))</f>
        <v/>
      </c>
    </row>
    <row r="791" customFormat="false" ht="15" hidden="false" customHeight="false" outlineLevel="0" collapsed="false">
      <c r="AZ791" s="5" t="str">
        <f aca="false">IF($B791="","",SUMPRODUCT(($AL791:$AO791&lt;&gt;"")*(COUNTIF($AP791:$AX791,$AL791:$AO791)&gt;0)))</f>
        <v/>
      </c>
      <c r="BA791" s="5" t="str">
        <f aca="false">IF($B791="","",IF(AZ791&gt;0,1,0))</f>
        <v/>
      </c>
      <c r="BB791" s="5" t="str">
        <f aca="false">IF($AP791="","",IF((($AP791="Engineering and Technology")+($AP791="Science and Mathematics")+($AP791="Computer Science, IT and Allied Fields")+($AP791="Life Sciences /Medicine and Healthcare")+($AP791="Paramedical")+($AP791="Architecture")+($AP791="Environmental Service")+($AP791="Agriculture, Food Industry and Forestry"))&gt;0,"Science",IF((($AP791="Banking and Finance")+($AP791="Management and Administration")+($AP791="Marketing")+($AP791="Sales")+($AP791="Entrepreneurship")+($AP791="Hospitality and Tourism"))&gt;0,"Commerce",IF((($AP791="Social Sciences and Humanities")+($AP791="Law Studies")+($AP791="Education and Training")+($AP791="Art, Design")+($AP791="Entertainment and Mass Media")+($AP791="Community and Social Service")+($AP791="Personal Care and Services")+($AP791="Government and Public Administration")+($AP791="Defence/ Protective Service")+($AP791="Sports"))&gt;0,"Arts / Humanities",""))))</f>
        <v/>
      </c>
      <c r="BC791" s="5" t="str">
        <f aca="false">IF($AL791="","",IF((($AL791="Engineering and Technology")+($AL791="Science and Mathematics")+($AL791="Computer Science, IT and Allied Fields")+($AL791="Life Sciences /Medicine and Healthcare")+($AL791="Paramedical")+($AL791="Architecture")+($AL791="Environmental Service")+($AL791="Agriculture, Food Industry and Forestry"))&gt;0,"Science",IF((($AL791="Banking and Finance")+($AL791="Management and Administration")+($AL791="Marketing")+($AL791="Sales")+($AL791="Entrepreneurship")+($AL791="Hospitality and Tourism"))&gt;0,"Commerce",IF((($AL791="Social Sciences and Humanities")+($AL791="Law Studies")+($AL791="Education and Training")+($AL791="Art, Design")+($AL791="Entertainment and Mass Media")+($AL791="Community and Social Service")+($AL791="Personal Care and Services")+($AL791="Government and Public Administration")+($AL791="Defence/ Protective Service")+($AL791="Sports"))&gt;0,"Arts / Humanities",""))))</f>
        <v/>
      </c>
      <c r="BD791" s="5" t="str">
        <f aca="false">IF($B791="","",--(F791&gt;=10)+--(G791&gt;=10)+--(H791&gt;=10)+--(I791&gt;=10)+--(J791&gt;=10)+--(K791&gt;=10)+--(L791&gt;=10)+--(M791&gt;=10)+--(N791&gt;=10)+--(O791&gt;=10))</f>
        <v/>
      </c>
      <c r="BE791" s="5" t="str">
        <f aca="false">IF($B791="","",--(AND(F791&lt;&gt;"",F791&lt;=8))+--(AND(G791&lt;&gt;"",G791&lt;=8))+--(AND(H791&lt;&gt;"",H791&lt;=8))+--(AND(I791&lt;&gt;"",I791&lt;=8))+--(AND(J791&lt;&gt;"",J791&lt;=8))+--(AND(K791&lt;&gt;"",K791&lt;=8))+--(AND(L791&lt;&gt;"",L791&lt;=8))+--(AND(M791&lt;&gt;"",M791&lt;=8))+--(AND(N791&lt;&gt;"",N791&lt;=8))+--(AND(O791&lt;&gt;"",O791&lt;=8)))</f>
        <v/>
      </c>
    </row>
    <row r="792" customFormat="false" ht="15" hidden="false" customHeight="false" outlineLevel="0" collapsed="false">
      <c r="AZ792" s="5" t="str">
        <f aca="false">IF($B792="","",SUMPRODUCT(($AL792:$AO792&lt;&gt;"")*(COUNTIF($AP792:$AX792,$AL792:$AO792)&gt;0)))</f>
        <v/>
      </c>
      <c r="BA792" s="5" t="str">
        <f aca="false">IF($B792="","",IF(AZ792&gt;0,1,0))</f>
        <v/>
      </c>
      <c r="BB792" s="5" t="str">
        <f aca="false">IF($AP792="","",IF((($AP792="Engineering and Technology")+($AP792="Science and Mathematics")+($AP792="Computer Science, IT and Allied Fields")+($AP792="Life Sciences /Medicine and Healthcare")+($AP792="Paramedical")+($AP792="Architecture")+($AP792="Environmental Service")+($AP792="Agriculture, Food Industry and Forestry"))&gt;0,"Science",IF((($AP792="Banking and Finance")+($AP792="Management and Administration")+($AP792="Marketing")+($AP792="Sales")+($AP792="Entrepreneurship")+($AP792="Hospitality and Tourism"))&gt;0,"Commerce",IF((($AP792="Social Sciences and Humanities")+($AP792="Law Studies")+($AP792="Education and Training")+($AP792="Art, Design")+($AP792="Entertainment and Mass Media")+($AP792="Community and Social Service")+($AP792="Personal Care and Services")+($AP792="Government and Public Administration")+($AP792="Defence/ Protective Service")+($AP792="Sports"))&gt;0,"Arts / Humanities",""))))</f>
        <v/>
      </c>
      <c r="BC792" s="5" t="str">
        <f aca="false">IF($AL792="","",IF((($AL792="Engineering and Technology")+($AL792="Science and Mathematics")+($AL792="Computer Science, IT and Allied Fields")+($AL792="Life Sciences /Medicine and Healthcare")+($AL792="Paramedical")+($AL792="Architecture")+($AL792="Environmental Service")+($AL792="Agriculture, Food Industry and Forestry"))&gt;0,"Science",IF((($AL792="Banking and Finance")+($AL792="Management and Administration")+($AL792="Marketing")+($AL792="Sales")+($AL792="Entrepreneurship")+($AL792="Hospitality and Tourism"))&gt;0,"Commerce",IF((($AL792="Social Sciences and Humanities")+($AL792="Law Studies")+($AL792="Education and Training")+($AL792="Art, Design")+($AL792="Entertainment and Mass Media")+($AL792="Community and Social Service")+($AL792="Personal Care and Services")+($AL792="Government and Public Administration")+($AL792="Defence/ Protective Service")+($AL792="Sports"))&gt;0,"Arts / Humanities",""))))</f>
        <v/>
      </c>
      <c r="BD792" s="5" t="str">
        <f aca="false">IF($B792="","",--(F792&gt;=10)+--(G792&gt;=10)+--(H792&gt;=10)+--(I792&gt;=10)+--(J792&gt;=10)+--(K792&gt;=10)+--(L792&gt;=10)+--(M792&gt;=10)+--(N792&gt;=10)+--(O792&gt;=10))</f>
        <v/>
      </c>
      <c r="BE792" s="5" t="str">
        <f aca="false">IF($B792="","",--(AND(F792&lt;&gt;"",F792&lt;=8))+--(AND(G792&lt;&gt;"",G792&lt;=8))+--(AND(H792&lt;&gt;"",H792&lt;=8))+--(AND(I792&lt;&gt;"",I792&lt;=8))+--(AND(J792&lt;&gt;"",J792&lt;=8))+--(AND(K792&lt;&gt;"",K792&lt;=8))+--(AND(L792&lt;&gt;"",L792&lt;=8))+--(AND(M792&lt;&gt;"",M792&lt;=8))+--(AND(N792&lt;&gt;"",N792&lt;=8))+--(AND(O792&lt;&gt;"",O792&lt;=8)))</f>
        <v/>
      </c>
    </row>
    <row r="793" customFormat="false" ht="15" hidden="false" customHeight="false" outlineLevel="0" collapsed="false">
      <c r="AZ793" s="5" t="str">
        <f aca="false">IF($B793="","",SUMPRODUCT(($AL793:$AO793&lt;&gt;"")*(COUNTIF($AP793:$AX793,$AL793:$AO793)&gt;0)))</f>
        <v/>
      </c>
      <c r="BA793" s="5" t="str">
        <f aca="false">IF($B793="","",IF(AZ793&gt;0,1,0))</f>
        <v/>
      </c>
      <c r="BB793" s="5" t="str">
        <f aca="false">IF($AP793="","",IF((($AP793="Engineering and Technology")+($AP793="Science and Mathematics")+($AP793="Computer Science, IT and Allied Fields")+($AP793="Life Sciences /Medicine and Healthcare")+($AP793="Paramedical")+($AP793="Architecture")+($AP793="Environmental Service")+($AP793="Agriculture, Food Industry and Forestry"))&gt;0,"Science",IF((($AP793="Banking and Finance")+($AP793="Management and Administration")+($AP793="Marketing")+($AP793="Sales")+($AP793="Entrepreneurship")+($AP793="Hospitality and Tourism"))&gt;0,"Commerce",IF((($AP793="Social Sciences and Humanities")+($AP793="Law Studies")+($AP793="Education and Training")+($AP793="Art, Design")+($AP793="Entertainment and Mass Media")+($AP793="Community and Social Service")+($AP793="Personal Care and Services")+($AP793="Government and Public Administration")+($AP793="Defence/ Protective Service")+($AP793="Sports"))&gt;0,"Arts / Humanities",""))))</f>
        <v/>
      </c>
      <c r="BC793" s="5" t="str">
        <f aca="false">IF($AL793="","",IF((($AL793="Engineering and Technology")+($AL793="Science and Mathematics")+($AL793="Computer Science, IT and Allied Fields")+($AL793="Life Sciences /Medicine and Healthcare")+($AL793="Paramedical")+($AL793="Architecture")+($AL793="Environmental Service")+($AL793="Agriculture, Food Industry and Forestry"))&gt;0,"Science",IF((($AL793="Banking and Finance")+($AL793="Management and Administration")+($AL793="Marketing")+($AL793="Sales")+($AL793="Entrepreneurship")+($AL793="Hospitality and Tourism"))&gt;0,"Commerce",IF((($AL793="Social Sciences and Humanities")+($AL793="Law Studies")+($AL793="Education and Training")+($AL793="Art, Design")+($AL793="Entertainment and Mass Media")+($AL793="Community and Social Service")+($AL793="Personal Care and Services")+($AL793="Government and Public Administration")+($AL793="Defence/ Protective Service")+($AL793="Sports"))&gt;0,"Arts / Humanities",""))))</f>
        <v/>
      </c>
      <c r="BD793" s="5" t="str">
        <f aca="false">IF($B793="","",--(F793&gt;=10)+--(G793&gt;=10)+--(H793&gt;=10)+--(I793&gt;=10)+--(J793&gt;=10)+--(K793&gt;=10)+--(L793&gt;=10)+--(M793&gt;=10)+--(N793&gt;=10)+--(O793&gt;=10))</f>
        <v/>
      </c>
      <c r="BE793" s="5" t="str">
        <f aca="false">IF($B793="","",--(AND(F793&lt;&gt;"",F793&lt;=8))+--(AND(G793&lt;&gt;"",G793&lt;=8))+--(AND(H793&lt;&gt;"",H793&lt;=8))+--(AND(I793&lt;&gt;"",I793&lt;=8))+--(AND(J793&lt;&gt;"",J793&lt;=8))+--(AND(K793&lt;&gt;"",K793&lt;=8))+--(AND(L793&lt;&gt;"",L793&lt;=8))+--(AND(M793&lt;&gt;"",M793&lt;=8))+--(AND(N793&lt;&gt;"",N793&lt;=8))+--(AND(O793&lt;&gt;"",O793&lt;=8)))</f>
        <v/>
      </c>
    </row>
    <row r="794" customFormat="false" ht="15" hidden="false" customHeight="false" outlineLevel="0" collapsed="false">
      <c r="AZ794" s="5" t="str">
        <f aca="false">IF($B794="","",SUMPRODUCT(($AL794:$AO794&lt;&gt;"")*(COUNTIF($AP794:$AX794,$AL794:$AO794)&gt;0)))</f>
        <v/>
      </c>
      <c r="BA794" s="5" t="str">
        <f aca="false">IF($B794="","",IF(AZ794&gt;0,1,0))</f>
        <v/>
      </c>
      <c r="BB794" s="5" t="str">
        <f aca="false">IF($AP794="","",IF((($AP794="Engineering and Technology")+($AP794="Science and Mathematics")+($AP794="Computer Science, IT and Allied Fields")+($AP794="Life Sciences /Medicine and Healthcare")+($AP794="Paramedical")+($AP794="Architecture")+($AP794="Environmental Service")+($AP794="Agriculture, Food Industry and Forestry"))&gt;0,"Science",IF((($AP794="Banking and Finance")+($AP794="Management and Administration")+($AP794="Marketing")+($AP794="Sales")+($AP794="Entrepreneurship")+($AP794="Hospitality and Tourism"))&gt;0,"Commerce",IF((($AP794="Social Sciences and Humanities")+($AP794="Law Studies")+($AP794="Education and Training")+($AP794="Art, Design")+($AP794="Entertainment and Mass Media")+($AP794="Community and Social Service")+($AP794="Personal Care and Services")+($AP794="Government and Public Administration")+($AP794="Defence/ Protective Service")+($AP794="Sports"))&gt;0,"Arts / Humanities",""))))</f>
        <v/>
      </c>
      <c r="BC794" s="5" t="str">
        <f aca="false">IF($AL794="","",IF((($AL794="Engineering and Technology")+($AL794="Science and Mathematics")+($AL794="Computer Science, IT and Allied Fields")+($AL794="Life Sciences /Medicine and Healthcare")+($AL794="Paramedical")+($AL794="Architecture")+($AL794="Environmental Service")+($AL794="Agriculture, Food Industry and Forestry"))&gt;0,"Science",IF((($AL794="Banking and Finance")+($AL794="Management and Administration")+($AL794="Marketing")+($AL794="Sales")+($AL794="Entrepreneurship")+($AL794="Hospitality and Tourism"))&gt;0,"Commerce",IF((($AL794="Social Sciences and Humanities")+($AL794="Law Studies")+($AL794="Education and Training")+($AL794="Art, Design")+($AL794="Entertainment and Mass Media")+($AL794="Community and Social Service")+($AL794="Personal Care and Services")+($AL794="Government and Public Administration")+($AL794="Defence/ Protective Service")+($AL794="Sports"))&gt;0,"Arts / Humanities",""))))</f>
        <v/>
      </c>
      <c r="BD794" s="5" t="str">
        <f aca="false">IF($B794="","",--(F794&gt;=10)+--(G794&gt;=10)+--(H794&gt;=10)+--(I794&gt;=10)+--(J794&gt;=10)+--(K794&gt;=10)+--(L794&gt;=10)+--(M794&gt;=10)+--(N794&gt;=10)+--(O794&gt;=10))</f>
        <v/>
      </c>
      <c r="BE794" s="5" t="str">
        <f aca="false">IF($B794="","",--(AND(F794&lt;&gt;"",F794&lt;=8))+--(AND(G794&lt;&gt;"",G794&lt;=8))+--(AND(H794&lt;&gt;"",H794&lt;=8))+--(AND(I794&lt;&gt;"",I794&lt;=8))+--(AND(J794&lt;&gt;"",J794&lt;=8))+--(AND(K794&lt;&gt;"",K794&lt;=8))+--(AND(L794&lt;&gt;"",L794&lt;=8))+--(AND(M794&lt;&gt;"",M794&lt;=8))+--(AND(N794&lt;&gt;"",N794&lt;=8))+--(AND(O794&lt;&gt;"",O794&lt;=8)))</f>
        <v/>
      </c>
    </row>
    <row r="795" customFormat="false" ht="15" hidden="false" customHeight="false" outlineLevel="0" collapsed="false">
      <c r="AZ795" s="5" t="str">
        <f aca="false">IF($B795="","",SUMPRODUCT(($AL795:$AO795&lt;&gt;"")*(COUNTIF($AP795:$AX795,$AL795:$AO795)&gt;0)))</f>
        <v/>
      </c>
      <c r="BA795" s="5" t="str">
        <f aca="false">IF($B795="","",IF(AZ795&gt;0,1,0))</f>
        <v/>
      </c>
      <c r="BB795" s="5" t="str">
        <f aca="false">IF($AP795="","",IF((($AP795="Engineering and Technology")+($AP795="Science and Mathematics")+($AP795="Computer Science, IT and Allied Fields")+($AP795="Life Sciences /Medicine and Healthcare")+($AP795="Paramedical")+($AP795="Architecture")+($AP795="Environmental Service")+($AP795="Agriculture, Food Industry and Forestry"))&gt;0,"Science",IF((($AP795="Banking and Finance")+($AP795="Management and Administration")+($AP795="Marketing")+($AP795="Sales")+($AP795="Entrepreneurship")+($AP795="Hospitality and Tourism"))&gt;0,"Commerce",IF((($AP795="Social Sciences and Humanities")+($AP795="Law Studies")+($AP795="Education and Training")+($AP795="Art, Design")+($AP795="Entertainment and Mass Media")+($AP795="Community and Social Service")+($AP795="Personal Care and Services")+($AP795="Government and Public Administration")+($AP795="Defence/ Protective Service")+($AP795="Sports"))&gt;0,"Arts / Humanities",""))))</f>
        <v/>
      </c>
      <c r="BC795" s="5" t="str">
        <f aca="false">IF($AL795="","",IF((($AL795="Engineering and Technology")+($AL795="Science and Mathematics")+($AL795="Computer Science, IT and Allied Fields")+($AL795="Life Sciences /Medicine and Healthcare")+($AL795="Paramedical")+($AL795="Architecture")+($AL795="Environmental Service")+($AL795="Agriculture, Food Industry and Forestry"))&gt;0,"Science",IF((($AL795="Banking and Finance")+($AL795="Management and Administration")+($AL795="Marketing")+($AL795="Sales")+($AL795="Entrepreneurship")+($AL795="Hospitality and Tourism"))&gt;0,"Commerce",IF((($AL795="Social Sciences and Humanities")+($AL795="Law Studies")+($AL795="Education and Training")+($AL795="Art, Design")+($AL795="Entertainment and Mass Media")+($AL795="Community and Social Service")+($AL795="Personal Care and Services")+($AL795="Government and Public Administration")+($AL795="Defence/ Protective Service")+($AL795="Sports"))&gt;0,"Arts / Humanities",""))))</f>
        <v/>
      </c>
      <c r="BD795" s="5" t="str">
        <f aca="false">IF($B795="","",--(F795&gt;=10)+--(G795&gt;=10)+--(H795&gt;=10)+--(I795&gt;=10)+--(J795&gt;=10)+--(K795&gt;=10)+--(L795&gt;=10)+--(M795&gt;=10)+--(N795&gt;=10)+--(O795&gt;=10))</f>
        <v/>
      </c>
      <c r="BE795" s="5" t="str">
        <f aca="false">IF($B795="","",--(AND(F795&lt;&gt;"",F795&lt;=8))+--(AND(G795&lt;&gt;"",G795&lt;=8))+--(AND(H795&lt;&gt;"",H795&lt;=8))+--(AND(I795&lt;&gt;"",I795&lt;=8))+--(AND(J795&lt;&gt;"",J795&lt;=8))+--(AND(K795&lt;&gt;"",K795&lt;=8))+--(AND(L795&lt;&gt;"",L795&lt;=8))+--(AND(M795&lt;&gt;"",M795&lt;=8))+--(AND(N795&lt;&gt;"",N795&lt;=8))+--(AND(O795&lt;&gt;"",O795&lt;=8)))</f>
        <v/>
      </c>
    </row>
    <row r="796" customFormat="false" ht="15" hidden="false" customHeight="false" outlineLevel="0" collapsed="false">
      <c r="AZ796" s="5" t="str">
        <f aca="false">IF($B796="","",SUMPRODUCT(($AL796:$AO796&lt;&gt;"")*(COUNTIF($AP796:$AX796,$AL796:$AO796)&gt;0)))</f>
        <v/>
      </c>
      <c r="BA796" s="5" t="str">
        <f aca="false">IF($B796="","",IF(AZ796&gt;0,1,0))</f>
        <v/>
      </c>
      <c r="BB796" s="5" t="str">
        <f aca="false">IF($AP796="","",IF((($AP796="Engineering and Technology")+($AP796="Science and Mathematics")+($AP796="Computer Science, IT and Allied Fields")+($AP796="Life Sciences /Medicine and Healthcare")+($AP796="Paramedical")+($AP796="Architecture")+($AP796="Environmental Service")+($AP796="Agriculture, Food Industry and Forestry"))&gt;0,"Science",IF((($AP796="Banking and Finance")+($AP796="Management and Administration")+($AP796="Marketing")+($AP796="Sales")+($AP796="Entrepreneurship")+($AP796="Hospitality and Tourism"))&gt;0,"Commerce",IF((($AP796="Social Sciences and Humanities")+($AP796="Law Studies")+($AP796="Education and Training")+($AP796="Art, Design")+($AP796="Entertainment and Mass Media")+($AP796="Community and Social Service")+($AP796="Personal Care and Services")+($AP796="Government and Public Administration")+($AP796="Defence/ Protective Service")+($AP796="Sports"))&gt;0,"Arts / Humanities",""))))</f>
        <v/>
      </c>
      <c r="BC796" s="5" t="str">
        <f aca="false">IF($AL796="","",IF((($AL796="Engineering and Technology")+($AL796="Science and Mathematics")+($AL796="Computer Science, IT and Allied Fields")+($AL796="Life Sciences /Medicine and Healthcare")+($AL796="Paramedical")+($AL796="Architecture")+($AL796="Environmental Service")+($AL796="Agriculture, Food Industry and Forestry"))&gt;0,"Science",IF((($AL796="Banking and Finance")+($AL796="Management and Administration")+($AL796="Marketing")+($AL796="Sales")+($AL796="Entrepreneurship")+($AL796="Hospitality and Tourism"))&gt;0,"Commerce",IF((($AL796="Social Sciences and Humanities")+($AL796="Law Studies")+($AL796="Education and Training")+($AL796="Art, Design")+($AL796="Entertainment and Mass Media")+($AL796="Community and Social Service")+($AL796="Personal Care and Services")+($AL796="Government and Public Administration")+($AL796="Defence/ Protective Service")+($AL796="Sports"))&gt;0,"Arts / Humanities",""))))</f>
        <v/>
      </c>
      <c r="BD796" s="5" t="str">
        <f aca="false">IF($B796="","",--(F796&gt;=10)+--(G796&gt;=10)+--(H796&gt;=10)+--(I796&gt;=10)+--(J796&gt;=10)+--(K796&gt;=10)+--(L796&gt;=10)+--(M796&gt;=10)+--(N796&gt;=10)+--(O796&gt;=10))</f>
        <v/>
      </c>
      <c r="BE796" s="5" t="str">
        <f aca="false">IF($B796="","",--(AND(F796&lt;&gt;"",F796&lt;=8))+--(AND(G796&lt;&gt;"",G796&lt;=8))+--(AND(H796&lt;&gt;"",H796&lt;=8))+--(AND(I796&lt;&gt;"",I796&lt;=8))+--(AND(J796&lt;&gt;"",J796&lt;=8))+--(AND(K796&lt;&gt;"",K796&lt;=8))+--(AND(L796&lt;&gt;"",L796&lt;=8))+--(AND(M796&lt;&gt;"",M796&lt;=8))+--(AND(N796&lt;&gt;"",N796&lt;=8))+--(AND(O796&lt;&gt;"",O796&lt;=8)))</f>
        <v/>
      </c>
    </row>
    <row r="797" customFormat="false" ht="15" hidden="false" customHeight="false" outlineLevel="0" collapsed="false">
      <c r="AZ797" s="5" t="str">
        <f aca="false">IF($B797="","",SUMPRODUCT(($AL797:$AO797&lt;&gt;"")*(COUNTIF($AP797:$AX797,$AL797:$AO797)&gt;0)))</f>
        <v/>
      </c>
      <c r="BA797" s="5" t="str">
        <f aca="false">IF($B797="","",IF(AZ797&gt;0,1,0))</f>
        <v/>
      </c>
      <c r="BB797" s="5" t="str">
        <f aca="false">IF($AP797="","",IF((($AP797="Engineering and Technology")+($AP797="Science and Mathematics")+($AP797="Computer Science, IT and Allied Fields")+($AP797="Life Sciences /Medicine and Healthcare")+($AP797="Paramedical")+($AP797="Architecture")+($AP797="Environmental Service")+($AP797="Agriculture, Food Industry and Forestry"))&gt;0,"Science",IF((($AP797="Banking and Finance")+($AP797="Management and Administration")+($AP797="Marketing")+($AP797="Sales")+($AP797="Entrepreneurship")+($AP797="Hospitality and Tourism"))&gt;0,"Commerce",IF((($AP797="Social Sciences and Humanities")+($AP797="Law Studies")+($AP797="Education and Training")+($AP797="Art, Design")+($AP797="Entertainment and Mass Media")+($AP797="Community and Social Service")+($AP797="Personal Care and Services")+($AP797="Government and Public Administration")+($AP797="Defence/ Protective Service")+($AP797="Sports"))&gt;0,"Arts / Humanities",""))))</f>
        <v/>
      </c>
      <c r="BC797" s="5" t="str">
        <f aca="false">IF($AL797="","",IF((($AL797="Engineering and Technology")+($AL797="Science and Mathematics")+($AL797="Computer Science, IT and Allied Fields")+($AL797="Life Sciences /Medicine and Healthcare")+($AL797="Paramedical")+($AL797="Architecture")+($AL797="Environmental Service")+($AL797="Agriculture, Food Industry and Forestry"))&gt;0,"Science",IF((($AL797="Banking and Finance")+($AL797="Management and Administration")+($AL797="Marketing")+($AL797="Sales")+($AL797="Entrepreneurship")+($AL797="Hospitality and Tourism"))&gt;0,"Commerce",IF((($AL797="Social Sciences and Humanities")+($AL797="Law Studies")+($AL797="Education and Training")+($AL797="Art, Design")+($AL797="Entertainment and Mass Media")+($AL797="Community and Social Service")+($AL797="Personal Care and Services")+($AL797="Government and Public Administration")+($AL797="Defence/ Protective Service")+($AL797="Sports"))&gt;0,"Arts / Humanities",""))))</f>
        <v/>
      </c>
      <c r="BD797" s="5" t="str">
        <f aca="false">IF($B797="","",--(F797&gt;=10)+--(G797&gt;=10)+--(H797&gt;=10)+--(I797&gt;=10)+--(J797&gt;=10)+--(K797&gt;=10)+--(L797&gt;=10)+--(M797&gt;=10)+--(N797&gt;=10)+--(O797&gt;=10))</f>
        <v/>
      </c>
      <c r="BE797" s="5" t="str">
        <f aca="false">IF($B797="","",--(AND(F797&lt;&gt;"",F797&lt;=8))+--(AND(G797&lt;&gt;"",G797&lt;=8))+--(AND(H797&lt;&gt;"",H797&lt;=8))+--(AND(I797&lt;&gt;"",I797&lt;=8))+--(AND(J797&lt;&gt;"",J797&lt;=8))+--(AND(K797&lt;&gt;"",K797&lt;=8))+--(AND(L797&lt;&gt;"",L797&lt;=8))+--(AND(M797&lt;&gt;"",M797&lt;=8))+--(AND(N797&lt;&gt;"",N797&lt;=8))+--(AND(O797&lt;&gt;"",O797&lt;=8)))</f>
        <v/>
      </c>
    </row>
    <row r="798" customFormat="false" ht="15" hidden="false" customHeight="false" outlineLevel="0" collapsed="false">
      <c r="AZ798" s="5" t="str">
        <f aca="false">IF($B798="","",SUMPRODUCT(($AL798:$AO798&lt;&gt;"")*(COUNTIF($AP798:$AX798,$AL798:$AO798)&gt;0)))</f>
        <v/>
      </c>
      <c r="BA798" s="5" t="str">
        <f aca="false">IF($B798="","",IF(AZ798&gt;0,1,0))</f>
        <v/>
      </c>
      <c r="BB798" s="5" t="str">
        <f aca="false">IF($AP798="","",IF((($AP798="Engineering and Technology")+($AP798="Science and Mathematics")+($AP798="Computer Science, IT and Allied Fields")+($AP798="Life Sciences /Medicine and Healthcare")+($AP798="Paramedical")+($AP798="Architecture")+($AP798="Environmental Service")+($AP798="Agriculture, Food Industry and Forestry"))&gt;0,"Science",IF((($AP798="Banking and Finance")+($AP798="Management and Administration")+($AP798="Marketing")+($AP798="Sales")+($AP798="Entrepreneurship")+($AP798="Hospitality and Tourism"))&gt;0,"Commerce",IF((($AP798="Social Sciences and Humanities")+($AP798="Law Studies")+($AP798="Education and Training")+($AP798="Art, Design")+($AP798="Entertainment and Mass Media")+($AP798="Community and Social Service")+($AP798="Personal Care and Services")+($AP798="Government and Public Administration")+($AP798="Defence/ Protective Service")+($AP798="Sports"))&gt;0,"Arts / Humanities",""))))</f>
        <v/>
      </c>
      <c r="BC798" s="5" t="str">
        <f aca="false">IF($AL798="","",IF((($AL798="Engineering and Technology")+($AL798="Science and Mathematics")+($AL798="Computer Science, IT and Allied Fields")+($AL798="Life Sciences /Medicine and Healthcare")+($AL798="Paramedical")+($AL798="Architecture")+($AL798="Environmental Service")+($AL798="Agriculture, Food Industry and Forestry"))&gt;0,"Science",IF((($AL798="Banking and Finance")+($AL798="Management and Administration")+($AL798="Marketing")+($AL798="Sales")+($AL798="Entrepreneurship")+($AL798="Hospitality and Tourism"))&gt;0,"Commerce",IF((($AL798="Social Sciences and Humanities")+($AL798="Law Studies")+($AL798="Education and Training")+($AL798="Art, Design")+($AL798="Entertainment and Mass Media")+($AL798="Community and Social Service")+($AL798="Personal Care and Services")+($AL798="Government and Public Administration")+($AL798="Defence/ Protective Service")+($AL798="Sports"))&gt;0,"Arts / Humanities",""))))</f>
        <v/>
      </c>
      <c r="BD798" s="5" t="str">
        <f aca="false">IF($B798="","",--(F798&gt;=10)+--(G798&gt;=10)+--(H798&gt;=10)+--(I798&gt;=10)+--(J798&gt;=10)+--(K798&gt;=10)+--(L798&gt;=10)+--(M798&gt;=10)+--(N798&gt;=10)+--(O798&gt;=10))</f>
        <v/>
      </c>
      <c r="BE798" s="5" t="str">
        <f aca="false">IF($B798="","",--(AND(F798&lt;&gt;"",F798&lt;=8))+--(AND(G798&lt;&gt;"",G798&lt;=8))+--(AND(H798&lt;&gt;"",H798&lt;=8))+--(AND(I798&lt;&gt;"",I798&lt;=8))+--(AND(J798&lt;&gt;"",J798&lt;=8))+--(AND(K798&lt;&gt;"",K798&lt;=8))+--(AND(L798&lt;&gt;"",L798&lt;=8))+--(AND(M798&lt;&gt;"",M798&lt;=8))+--(AND(N798&lt;&gt;"",N798&lt;=8))+--(AND(O798&lt;&gt;"",O798&lt;=8)))</f>
        <v/>
      </c>
    </row>
    <row r="799" customFormat="false" ht="15" hidden="false" customHeight="false" outlineLevel="0" collapsed="false">
      <c r="AZ799" s="5" t="str">
        <f aca="false">IF($B799="","",SUMPRODUCT(($AL799:$AO799&lt;&gt;"")*(COUNTIF($AP799:$AX799,$AL799:$AO799)&gt;0)))</f>
        <v/>
      </c>
      <c r="BA799" s="5" t="str">
        <f aca="false">IF($B799="","",IF(AZ799&gt;0,1,0))</f>
        <v/>
      </c>
      <c r="BB799" s="5" t="str">
        <f aca="false">IF($AP799="","",IF((($AP799="Engineering and Technology")+($AP799="Science and Mathematics")+($AP799="Computer Science, IT and Allied Fields")+($AP799="Life Sciences /Medicine and Healthcare")+($AP799="Paramedical")+($AP799="Architecture")+($AP799="Environmental Service")+($AP799="Agriculture, Food Industry and Forestry"))&gt;0,"Science",IF((($AP799="Banking and Finance")+($AP799="Management and Administration")+($AP799="Marketing")+($AP799="Sales")+($AP799="Entrepreneurship")+($AP799="Hospitality and Tourism"))&gt;0,"Commerce",IF((($AP799="Social Sciences and Humanities")+($AP799="Law Studies")+($AP799="Education and Training")+($AP799="Art, Design")+($AP799="Entertainment and Mass Media")+($AP799="Community and Social Service")+($AP799="Personal Care and Services")+($AP799="Government and Public Administration")+($AP799="Defence/ Protective Service")+($AP799="Sports"))&gt;0,"Arts / Humanities",""))))</f>
        <v/>
      </c>
      <c r="BC799" s="5" t="str">
        <f aca="false">IF($AL799="","",IF((($AL799="Engineering and Technology")+($AL799="Science and Mathematics")+($AL799="Computer Science, IT and Allied Fields")+($AL799="Life Sciences /Medicine and Healthcare")+($AL799="Paramedical")+($AL799="Architecture")+($AL799="Environmental Service")+($AL799="Agriculture, Food Industry and Forestry"))&gt;0,"Science",IF((($AL799="Banking and Finance")+($AL799="Management and Administration")+($AL799="Marketing")+($AL799="Sales")+($AL799="Entrepreneurship")+($AL799="Hospitality and Tourism"))&gt;0,"Commerce",IF((($AL799="Social Sciences and Humanities")+($AL799="Law Studies")+($AL799="Education and Training")+($AL799="Art, Design")+($AL799="Entertainment and Mass Media")+($AL799="Community and Social Service")+($AL799="Personal Care and Services")+($AL799="Government and Public Administration")+($AL799="Defence/ Protective Service")+($AL799="Sports"))&gt;0,"Arts / Humanities",""))))</f>
        <v/>
      </c>
      <c r="BD799" s="5" t="str">
        <f aca="false">IF($B799="","",--(F799&gt;=10)+--(G799&gt;=10)+--(H799&gt;=10)+--(I799&gt;=10)+--(J799&gt;=10)+--(K799&gt;=10)+--(L799&gt;=10)+--(M799&gt;=10)+--(N799&gt;=10)+--(O799&gt;=10))</f>
        <v/>
      </c>
      <c r="BE799" s="5" t="str">
        <f aca="false">IF($B799="","",--(AND(F799&lt;&gt;"",F799&lt;=8))+--(AND(G799&lt;&gt;"",G799&lt;=8))+--(AND(H799&lt;&gt;"",H799&lt;=8))+--(AND(I799&lt;&gt;"",I799&lt;=8))+--(AND(J799&lt;&gt;"",J799&lt;=8))+--(AND(K799&lt;&gt;"",K799&lt;=8))+--(AND(L799&lt;&gt;"",L799&lt;=8))+--(AND(M799&lt;&gt;"",M799&lt;=8))+--(AND(N799&lt;&gt;"",N799&lt;=8))+--(AND(O799&lt;&gt;"",O799&lt;=8)))</f>
        <v/>
      </c>
    </row>
    <row r="800" customFormat="false" ht="15" hidden="false" customHeight="false" outlineLevel="0" collapsed="false">
      <c r="AZ800" s="5" t="str">
        <f aca="false">IF($B800="","",SUMPRODUCT(($AL800:$AO800&lt;&gt;"")*(COUNTIF($AP800:$AX800,$AL800:$AO800)&gt;0)))</f>
        <v/>
      </c>
      <c r="BA800" s="5" t="str">
        <f aca="false">IF($B800="","",IF(AZ800&gt;0,1,0))</f>
        <v/>
      </c>
      <c r="BB800" s="5" t="str">
        <f aca="false">IF($AP800="","",IF((($AP800="Engineering and Technology")+($AP800="Science and Mathematics")+($AP800="Computer Science, IT and Allied Fields")+($AP800="Life Sciences /Medicine and Healthcare")+($AP800="Paramedical")+($AP800="Architecture")+($AP800="Environmental Service")+($AP800="Agriculture, Food Industry and Forestry"))&gt;0,"Science",IF((($AP800="Banking and Finance")+($AP800="Management and Administration")+($AP800="Marketing")+($AP800="Sales")+($AP800="Entrepreneurship")+($AP800="Hospitality and Tourism"))&gt;0,"Commerce",IF((($AP800="Social Sciences and Humanities")+($AP800="Law Studies")+($AP800="Education and Training")+($AP800="Art, Design")+($AP800="Entertainment and Mass Media")+($AP800="Community and Social Service")+($AP800="Personal Care and Services")+($AP800="Government and Public Administration")+($AP800="Defence/ Protective Service")+($AP800="Sports"))&gt;0,"Arts / Humanities",""))))</f>
        <v/>
      </c>
      <c r="BC800" s="5" t="str">
        <f aca="false">IF($AL800="","",IF((($AL800="Engineering and Technology")+($AL800="Science and Mathematics")+($AL800="Computer Science, IT and Allied Fields")+($AL800="Life Sciences /Medicine and Healthcare")+($AL800="Paramedical")+($AL800="Architecture")+($AL800="Environmental Service")+($AL800="Agriculture, Food Industry and Forestry"))&gt;0,"Science",IF((($AL800="Banking and Finance")+($AL800="Management and Administration")+($AL800="Marketing")+($AL800="Sales")+($AL800="Entrepreneurship")+($AL800="Hospitality and Tourism"))&gt;0,"Commerce",IF((($AL800="Social Sciences and Humanities")+($AL800="Law Studies")+($AL800="Education and Training")+($AL800="Art, Design")+($AL800="Entertainment and Mass Media")+($AL800="Community and Social Service")+($AL800="Personal Care and Services")+($AL800="Government and Public Administration")+($AL800="Defence/ Protective Service")+($AL800="Sports"))&gt;0,"Arts / Humanities",""))))</f>
        <v/>
      </c>
      <c r="BD800" s="5" t="str">
        <f aca="false">IF($B800="","",--(F800&gt;=10)+--(G800&gt;=10)+--(H800&gt;=10)+--(I800&gt;=10)+--(J800&gt;=10)+--(K800&gt;=10)+--(L800&gt;=10)+--(M800&gt;=10)+--(N800&gt;=10)+--(O800&gt;=10))</f>
        <v/>
      </c>
      <c r="BE800" s="5" t="str">
        <f aca="false">IF($B800="","",--(AND(F800&lt;&gt;"",F800&lt;=8))+--(AND(G800&lt;&gt;"",G800&lt;=8))+--(AND(H800&lt;&gt;"",H800&lt;=8))+--(AND(I800&lt;&gt;"",I800&lt;=8))+--(AND(J800&lt;&gt;"",J800&lt;=8))+--(AND(K800&lt;&gt;"",K800&lt;=8))+--(AND(L800&lt;&gt;"",L800&lt;=8))+--(AND(M800&lt;&gt;"",M800&lt;=8))+--(AND(N800&lt;&gt;"",N800&lt;=8))+--(AND(O800&lt;&gt;"",O800&lt;=8)))</f>
        <v/>
      </c>
    </row>
    <row r="801" customFormat="false" ht="15" hidden="false" customHeight="false" outlineLevel="0" collapsed="false">
      <c r="AZ801" s="5" t="str">
        <f aca="false">IF($B801="","",SUMPRODUCT(($AL801:$AO801&lt;&gt;"")*(COUNTIF($AP801:$AX801,$AL801:$AO801)&gt;0)))</f>
        <v/>
      </c>
      <c r="BA801" s="5" t="str">
        <f aca="false">IF($B801="","",IF(AZ801&gt;0,1,0))</f>
        <v/>
      </c>
      <c r="BB801" s="5" t="str">
        <f aca="false">IF($AP801="","",IF((($AP801="Engineering and Technology")+($AP801="Science and Mathematics")+($AP801="Computer Science, IT and Allied Fields")+($AP801="Life Sciences /Medicine and Healthcare")+($AP801="Paramedical")+($AP801="Architecture")+($AP801="Environmental Service")+($AP801="Agriculture, Food Industry and Forestry"))&gt;0,"Science",IF((($AP801="Banking and Finance")+($AP801="Management and Administration")+($AP801="Marketing")+($AP801="Sales")+($AP801="Entrepreneurship")+($AP801="Hospitality and Tourism"))&gt;0,"Commerce",IF((($AP801="Social Sciences and Humanities")+($AP801="Law Studies")+($AP801="Education and Training")+($AP801="Art, Design")+($AP801="Entertainment and Mass Media")+($AP801="Community and Social Service")+($AP801="Personal Care and Services")+($AP801="Government and Public Administration")+($AP801="Defence/ Protective Service")+($AP801="Sports"))&gt;0,"Arts / Humanities",""))))</f>
        <v/>
      </c>
      <c r="BC801" s="5" t="str">
        <f aca="false">IF($AL801="","",IF((($AL801="Engineering and Technology")+($AL801="Science and Mathematics")+($AL801="Computer Science, IT and Allied Fields")+($AL801="Life Sciences /Medicine and Healthcare")+($AL801="Paramedical")+($AL801="Architecture")+($AL801="Environmental Service")+($AL801="Agriculture, Food Industry and Forestry"))&gt;0,"Science",IF((($AL801="Banking and Finance")+($AL801="Management and Administration")+($AL801="Marketing")+($AL801="Sales")+($AL801="Entrepreneurship")+($AL801="Hospitality and Tourism"))&gt;0,"Commerce",IF((($AL801="Social Sciences and Humanities")+($AL801="Law Studies")+($AL801="Education and Training")+($AL801="Art, Design")+($AL801="Entertainment and Mass Media")+($AL801="Community and Social Service")+($AL801="Personal Care and Services")+($AL801="Government and Public Administration")+($AL801="Defence/ Protective Service")+($AL801="Sports"))&gt;0,"Arts / Humanities",""))))</f>
        <v/>
      </c>
      <c r="BD801" s="5" t="str">
        <f aca="false">IF($B801="","",--(F801&gt;=10)+--(G801&gt;=10)+--(H801&gt;=10)+--(I801&gt;=10)+--(J801&gt;=10)+--(K801&gt;=10)+--(L801&gt;=10)+--(M801&gt;=10)+--(N801&gt;=10)+--(O801&gt;=10))</f>
        <v/>
      </c>
      <c r="BE801" s="5" t="str">
        <f aca="false">IF($B801="","",--(AND(F801&lt;&gt;"",F801&lt;=8))+--(AND(G801&lt;&gt;"",G801&lt;=8))+--(AND(H801&lt;&gt;"",H801&lt;=8))+--(AND(I801&lt;&gt;"",I801&lt;=8))+--(AND(J801&lt;&gt;"",J801&lt;=8))+--(AND(K801&lt;&gt;"",K801&lt;=8))+--(AND(L801&lt;&gt;"",L801&lt;=8))+--(AND(M801&lt;&gt;"",M801&lt;=8))+--(AND(N801&lt;&gt;"",N801&lt;=8))+--(AND(O801&lt;&gt;"",O801&lt;=8)))</f>
        <v/>
      </c>
    </row>
    <row r="802" customFormat="false" ht="15" hidden="false" customHeight="false" outlineLevel="0" collapsed="false">
      <c r="AZ802" s="5" t="str">
        <f aca="false">IF($B802="","",SUMPRODUCT(($AL802:$AO802&lt;&gt;"")*(COUNTIF($AP802:$AX802,$AL802:$AO802)&gt;0)))</f>
        <v/>
      </c>
      <c r="BA802" s="5" t="str">
        <f aca="false">IF($B802="","",IF(AZ802&gt;0,1,0))</f>
        <v/>
      </c>
      <c r="BB802" s="5" t="str">
        <f aca="false">IF($AP802="","",IF((($AP802="Engineering and Technology")+($AP802="Science and Mathematics")+($AP802="Computer Science, IT and Allied Fields")+($AP802="Life Sciences /Medicine and Healthcare")+($AP802="Paramedical")+($AP802="Architecture")+($AP802="Environmental Service")+($AP802="Agriculture, Food Industry and Forestry"))&gt;0,"Science",IF((($AP802="Banking and Finance")+($AP802="Management and Administration")+($AP802="Marketing")+($AP802="Sales")+($AP802="Entrepreneurship")+($AP802="Hospitality and Tourism"))&gt;0,"Commerce",IF((($AP802="Social Sciences and Humanities")+($AP802="Law Studies")+($AP802="Education and Training")+($AP802="Art, Design")+($AP802="Entertainment and Mass Media")+($AP802="Community and Social Service")+($AP802="Personal Care and Services")+($AP802="Government and Public Administration")+($AP802="Defence/ Protective Service")+($AP802="Sports"))&gt;0,"Arts / Humanities",""))))</f>
        <v/>
      </c>
      <c r="BC802" s="5" t="str">
        <f aca="false">IF($AL802="","",IF((($AL802="Engineering and Technology")+($AL802="Science and Mathematics")+($AL802="Computer Science, IT and Allied Fields")+($AL802="Life Sciences /Medicine and Healthcare")+($AL802="Paramedical")+($AL802="Architecture")+($AL802="Environmental Service")+($AL802="Agriculture, Food Industry and Forestry"))&gt;0,"Science",IF((($AL802="Banking and Finance")+($AL802="Management and Administration")+($AL802="Marketing")+($AL802="Sales")+($AL802="Entrepreneurship")+($AL802="Hospitality and Tourism"))&gt;0,"Commerce",IF((($AL802="Social Sciences and Humanities")+($AL802="Law Studies")+($AL802="Education and Training")+($AL802="Art, Design")+($AL802="Entertainment and Mass Media")+($AL802="Community and Social Service")+($AL802="Personal Care and Services")+($AL802="Government and Public Administration")+($AL802="Defence/ Protective Service")+($AL802="Sports"))&gt;0,"Arts / Humanities",""))))</f>
        <v/>
      </c>
      <c r="BD802" s="5" t="str">
        <f aca="false">IF($B802="","",--(F802&gt;=10)+--(G802&gt;=10)+--(H802&gt;=10)+--(I802&gt;=10)+--(J802&gt;=10)+--(K802&gt;=10)+--(L802&gt;=10)+--(M802&gt;=10)+--(N802&gt;=10)+--(O802&gt;=10))</f>
        <v/>
      </c>
      <c r="BE802" s="5" t="str">
        <f aca="false">IF($B802="","",--(AND(F802&lt;&gt;"",F802&lt;=8))+--(AND(G802&lt;&gt;"",G802&lt;=8))+--(AND(H802&lt;&gt;"",H802&lt;=8))+--(AND(I802&lt;&gt;"",I802&lt;=8))+--(AND(J802&lt;&gt;"",J802&lt;=8))+--(AND(K802&lt;&gt;"",K802&lt;=8))+--(AND(L802&lt;&gt;"",L802&lt;=8))+--(AND(M802&lt;&gt;"",M802&lt;=8))+--(AND(N802&lt;&gt;"",N802&lt;=8))+--(AND(O802&lt;&gt;"",O802&lt;=8)))</f>
        <v/>
      </c>
    </row>
    <row r="803" customFormat="false" ht="15" hidden="false" customHeight="false" outlineLevel="0" collapsed="false">
      <c r="AZ803" s="5" t="str">
        <f aca="false">IF($B803="","",SUMPRODUCT(($AL803:$AO803&lt;&gt;"")*(COUNTIF($AP803:$AX803,$AL803:$AO803)&gt;0)))</f>
        <v/>
      </c>
      <c r="BA803" s="5" t="str">
        <f aca="false">IF($B803="","",IF(AZ803&gt;0,1,0))</f>
        <v/>
      </c>
      <c r="BB803" s="5" t="str">
        <f aca="false">IF($AP803="","",IF((($AP803="Engineering and Technology")+($AP803="Science and Mathematics")+($AP803="Computer Science, IT and Allied Fields")+($AP803="Life Sciences /Medicine and Healthcare")+($AP803="Paramedical")+($AP803="Architecture")+($AP803="Environmental Service")+($AP803="Agriculture, Food Industry and Forestry"))&gt;0,"Science",IF((($AP803="Banking and Finance")+($AP803="Management and Administration")+($AP803="Marketing")+($AP803="Sales")+($AP803="Entrepreneurship")+($AP803="Hospitality and Tourism"))&gt;0,"Commerce",IF((($AP803="Social Sciences and Humanities")+($AP803="Law Studies")+($AP803="Education and Training")+($AP803="Art, Design")+($AP803="Entertainment and Mass Media")+($AP803="Community and Social Service")+($AP803="Personal Care and Services")+($AP803="Government and Public Administration")+($AP803="Defence/ Protective Service")+($AP803="Sports"))&gt;0,"Arts / Humanities",""))))</f>
        <v/>
      </c>
      <c r="BC803" s="5" t="str">
        <f aca="false">IF($AL803="","",IF((($AL803="Engineering and Technology")+($AL803="Science and Mathematics")+($AL803="Computer Science, IT and Allied Fields")+($AL803="Life Sciences /Medicine and Healthcare")+($AL803="Paramedical")+($AL803="Architecture")+($AL803="Environmental Service")+($AL803="Agriculture, Food Industry and Forestry"))&gt;0,"Science",IF((($AL803="Banking and Finance")+($AL803="Management and Administration")+($AL803="Marketing")+($AL803="Sales")+($AL803="Entrepreneurship")+($AL803="Hospitality and Tourism"))&gt;0,"Commerce",IF((($AL803="Social Sciences and Humanities")+($AL803="Law Studies")+($AL803="Education and Training")+($AL803="Art, Design")+($AL803="Entertainment and Mass Media")+($AL803="Community and Social Service")+($AL803="Personal Care and Services")+($AL803="Government and Public Administration")+($AL803="Defence/ Protective Service")+($AL803="Sports"))&gt;0,"Arts / Humanities",""))))</f>
        <v/>
      </c>
      <c r="BD803" s="5" t="str">
        <f aca="false">IF($B803="","",--(F803&gt;=10)+--(G803&gt;=10)+--(H803&gt;=10)+--(I803&gt;=10)+--(J803&gt;=10)+--(K803&gt;=10)+--(L803&gt;=10)+--(M803&gt;=10)+--(N803&gt;=10)+--(O803&gt;=10))</f>
        <v/>
      </c>
      <c r="BE803" s="5" t="str">
        <f aca="false">IF($B803="","",--(AND(F803&lt;&gt;"",F803&lt;=8))+--(AND(G803&lt;&gt;"",G803&lt;=8))+--(AND(H803&lt;&gt;"",H803&lt;=8))+--(AND(I803&lt;&gt;"",I803&lt;=8))+--(AND(J803&lt;&gt;"",J803&lt;=8))+--(AND(K803&lt;&gt;"",K803&lt;=8))+--(AND(L803&lt;&gt;"",L803&lt;=8))+--(AND(M803&lt;&gt;"",M803&lt;=8))+--(AND(N803&lt;&gt;"",N803&lt;=8))+--(AND(O803&lt;&gt;"",O803&lt;=8)))</f>
        <v/>
      </c>
    </row>
    <row r="804" customFormat="false" ht="15" hidden="false" customHeight="false" outlineLevel="0" collapsed="false">
      <c r="AZ804" s="5" t="str">
        <f aca="false">IF($B804="","",SUMPRODUCT(($AL804:$AO804&lt;&gt;"")*(COUNTIF($AP804:$AX804,$AL804:$AO804)&gt;0)))</f>
        <v/>
      </c>
      <c r="BA804" s="5" t="str">
        <f aca="false">IF($B804="","",IF(AZ804&gt;0,1,0))</f>
        <v/>
      </c>
      <c r="BB804" s="5" t="str">
        <f aca="false">IF($AP804="","",IF((($AP804="Engineering and Technology")+($AP804="Science and Mathematics")+($AP804="Computer Science, IT and Allied Fields")+($AP804="Life Sciences /Medicine and Healthcare")+($AP804="Paramedical")+($AP804="Architecture")+($AP804="Environmental Service")+($AP804="Agriculture, Food Industry and Forestry"))&gt;0,"Science",IF((($AP804="Banking and Finance")+($AP804="Management and Administration")+($AP804="Marketing")+($AP804="Sales")+($AP804="Entrepreneurship")+($AP804="Hospitality and Tourism"))&gt;0,"Commerce",IF((($AP804="Social Sciences and Humanities")+($AP804="Law Studies")+($AP804="Education and Training")+($AP804="Art, Design")+($AP804="Entertainment and Mass Media")+($AP804="Community and Social Service")+($AP804="Personal Care and Services")+($AP804="Government and Public Administration")+($AP804="Defence/ Protective Service")+($AP804="Sports"))&gt;0,"Arts / Humanities",""))))</f>
        <v/>
      </c>
      <c r="BC804" s="5" t="str">
        <f aca="false">IF($AL804="","",IF((($AL804="Engineering and Technology")+($AL804="Science and Mathematics")+($AL804="Computer Science, IT and Allied Fields")+($AL804="Life Sciences /Medicine and Healthcare")+($AL804="Paramedical")+($AL804="Architecture")+($AL804="Environmental Service")+($AL804="Agriculture, Food Industry and Forestry"))&gt;0,"Science",IF((($AL804="Banking and Finance")+($AL804="Management and Administration")+($AL804="Marketing")+($AL804="Sales")+($AL804="Entrepreneurship")+($AL804="Hospitality and Tourism"))&gt;0,"Commerce",IF((($AL804="Social Sciences and Humanities")+($AL804="Law Studies")+($AL804="Education and Training")+($AL804="Art, Design")+($AL804="Entertainment and Mass Media")+($AL804="Community and Social Service")+($AL804="Personal Care and Services")+($AL804="Government and Public Administration")+($AL804="Defence/ Protective Service")+($AL804="Sports"))&gt;0,"Arts / Humanities",""))))</f>
        <v/>
      </c>
      <c r="BD804" s="5" t="str">
        <f aca="false">IF($B804="","",--(F804&gt;=10)+--(G804&gt;=10)+--(H804&gt;=10)+--(I804&gt;=10)+--(J804&gt;=10)+--(K804&gt;=10)+--(L804&gt;=10)+--(M804&gt;=10)+--(N804&gt;=10)+--(O804&gt;=10))</f>
        <v/>
      </c>
      <c r="BE804" s="5" t="str">
        <f aca="false">IF($B804="","",--(AND(F804&lt;&gt;"",F804&lt;=8))+--(AND(G804&lt;&gt;"",G804&lt;=8))+--(AND(H804&lt;&gt;"",H804&lt;=8))+--(AND(I804&lt;&gt;"",I804&lt;=8))+--(AND(J804&lt;&gt;"",J804&lt;=8))+--(AND(K804&lt;&gt;"",K804&lt;=8))+--(AND(L804&lt;&gt;"",L804&lt;=8))+--(AND(M804&lt;&gt;"",M804&lt;=8))+--(AND(N804&lt;&gt;"",N804&lt;=8))+--(AND(O804&lt;&gt;"",O804&lt;=8)))</f>
        <v/>
      </c>
    </row>
    <row r="805" customFormat="false" ht="15" hidden="false" customHeight="false" outlineLevel="0" collapsed="false">
      <c r="AZ805" s="5" t="str">
        <f aca="false">IF($B805="","",SUMPRODUCT(($AL805:$AO805&lt;&gt;"")*(COUNTIF($AP805:$AX805,$AL805:$AO805)&gt;0)))</f>
        <v/>
      </c>
      <c r="BA805" s="5" t="str">
        <f aca="false">IF($B805="","",IF(AZ805&gt;0,1,0))</f>
        <v/>
      </c>
      <c r="BB805" s="5" t="str">
        <f aca="false">IF($AP805="","",IF((($AP805="Engineering and Technology")+($AP805="Science and Mathematics")+($AP805="Computer Science, IT and Allied Fields")+($AP805="Life Sciences /Medicine and Healthcare")+($AP805="Paramedical")+($AP805="Architecture")+($AP805="Environmental Service")+($AP805="Agriculture, Food Industry and Forestry"))&gt;0,"Science",IF((($AP805="Banking and Finance")+($AP805="Management and Administration")+($AP805="Marketing")+($AP805="Sales")+($AP805="Entrepreneurship")+($AP805="Hospitality and Tourism"))&gt;0,"Commerce",IF((($AP805="Social Sciences and Humanities")+($AP805="Law Studies")+($AP805="Education and Training")+($AP805="Art, Design")+($AP805="Entertainment and Mass Media")+($AP805="Community and Social Service")+($AP805="Personal Care and Services")+($AP805="Government and Public Administration")+($AP805="Defence/ Protective Service")+($AP805="Sports"))&gt;0,"Arts / Humanities",""))))</f>
        <v/>
      </c>
      <c r="BC805" s="5" t="str">
        <f aca="false">IF($AL805="","",IF((($AL805="Engineering and Technology")+($AL805="Science and Mathematics")+($AL805="Computer Science, IT and Allied Fields")+($AL805="Life Sciences /Medicine and Healthcare")+($AL805="Paramedical")+($AL805="Architecture")+($AL805="Environmental Service")+($AL805="Agriculture, Food Industry and Forestry"))&gt;0,"Science",IF((($AL805="Banking and Finance")+($AL805="Management and Administration")+($AL805="Marketing")+($AL805="Sales")+($AL805="Entrepreneurship")+($AL805="Hospitality and Tourism"))&gt;0,"Commerce",IF((($AL805="Social Sciences and Humanities")+($AL805="Law Studies")+($AL805="Education and Training")+($AL805="Art, Design")+($AL805="Entertainment and Mass Media")+($AL805="Community and Social Service")+($AL805="Personal Care and Services")+($AL805="Government and Public Administration")+($AL805="Defence/ Protective Service")+($AL805="Sports"))&gt;0,"Arts / Humanities",""))))</f>
        <v/>
      </c>
      <c r="BD805" s="5" t="str">
        <f aca="false">IF($B805="","",--(F805&gt;=10)+--(G805&gt;=10)+--(H805&gt;=10)+--(I805&gt;=10)+--(J805&gt;=10)+--(K805&gt;=10)+--(L805&gt;=10)+--(M805&gt;=10)+--(N805&gt;=10)+--(O805&gt;=10))</f>
        <v/>
      </c>
      <c r="BE805" s="5" t="str">
        <f aca="false">IF($B805="","",--(AND(F805&lt;&gt;"",F805&lt;=8))+--(AND(G805&lt;&gt;"",G805&lt;=8))+--(AND(H805&lt;&gt;"",H805&lt;=8))+--(AND(I805&lt;&gt;"",I805&lt;=8))+--(AND(J805&lt;&gt;"",J805&lt;=8))+--(AND(K805&lt;&gt;"",K805&lt;=8))+--(AND(L805&lt;&gt;"",L805&lt;=8))+--(AND(M805&lt;&gt;"",M805&lt;=8))+--(AND(N805&lt;&gt;"",N805&lt;=8))+--(AND(O805&lt;&gt;"",O805&lt;=8)))</f>
        <v/>
      </c>
    </row>
    <row r="806" customFormat="false" ht="15" hidden="false" customHeight="false" outlineLevel="0" collapsed="false">
      <c r="AZ806" s="5" t="str">
        <f aca="false">IF($B806="","",SUMPRODUCT(($AL806:$AO806&lt;&gt;"")*(COUNTIF($AP806:$AX806,$AL806:$AO806)&gt;0)))</f>
        <v/>
      </c>
      <c r="BA806" s="5" t="str">
        <f aca="false">IF($B806="","",IF(AZ806&gt;0,1,0))</f>
        <v/>
      </c>
      <c r="BB806" s="5" t="str">
        <f aca="false">IF($AP806="","",IF((($AP806="Engineering and Technology")+($AP806="Science and Mathematics")+($AP806="Computer Science, IT and Allied Fields")+($AP806="Life Sciences /Medicine and Healthcare")+($AP806="Paramedical")+($AP806="Architecture")+($AP806="Environmental Service")+($AP806="Agriculture, Food Industry and Forestry"))&gt;0,"Science",IF((($AP806="Banking and Finance")+($AP806="Management and Administration")+($AP806="Marketing")+($AP806="Sales")+($AP806="Entrepreneurship")+($AP806="Hospitality and Tourism"))&gt;0,"Commerce",IF((($AP806="Social Sciences and Humanities")+($AP806="Law Studies")+($AP806="Education and Training")+($AP806="Art, Design")+($AP806="Entertainment and Mass Media")+($AP806="Community and Social Service")+($AP806="Personal Care and Services")+($AP806="Government and Public Administration")+($AP806="Defence/ Protective Service")+($AP806="Sports"))&gt;0,"Arts / Humanities",""))))</f>
        <v/>
      </c>
      <c r="BC806" s="5" t="str">
        <f aca="false">IF($AL806="","",IF((($AL806="Engineering and Technology")+($AL806="Science and Mathematics")+($AL806="Computer Science, IT and Allied Fields")+($AL806="Life Sciences /Medicine and Healthcare")+($AL806="Paramedical")+($AL806="Architecture")+($AL806="Environmental Service")+($AL806="Agriculture, Food Industry and Forestry"))&gt;0,"Science",IF((($AL806="Banking and Finance")+($AL806="Management and Administration")+($AL806="Marketing")+($AL806="Sales")+($AL806="Entrepreneurship")+($AL806="Hospitality and Tourism"))&gt;0,"Commerce",IF((($AL806="Social Sciences and Humanities")+($AL806="Law Studies")+($AL806="Education and Training")+($AL806="Art, Design")+($AL806="Entertainment and Mass Media")+($AL806="Community and Social Service")+($AL806="Personal Care and Services")+($AL806="Government and Public Administration")+($AL806="Defence/ Protective Service")+($AL806="Sports"))&gt;0,"Arts / Humanities",""))))</f>
        <v/>
      </c>
      <c r="BD806" s="5" t="str">
        <f aca="false">IF($B806="","",--(F806&gt;=10)+--(G806&gt;=10)+--(H806&gt;=10)+--(I806&gt;=10)+--(J806&gt;=10)+--(K806&gt;=10)+--(L806&gt;=10)+--(M806&gt;=10)+--(N806&gt;=10)+--(O806&gt;=10))</f>
        <v/>
      </c>
      <c r="BE806" s="5" t="str">
        <f aca="false">IF($B806="","",--(AND(F806&lt;&gt;"",F806&lt;=8))+--(AND(G806&lt;&gt;"",G806&lt;=8))+--(AND(H806&lt;&gt;"",H806&lt;=8))+--(AND(I806&lt;&gt;"",I806&lt;=8))+--(AND(J806&lt;&gt;"",J806&lt;=8))+--(AND(K806&lt;&gt;"",K806&lt;=8))+--(AND(L806&lt;&gt;"",L806&lt;=8))+--(AND(M806&lt;&gt;"",M806&lt;=8))+--(AND(N806&lt;&gt;"",N806&lt;=8))+--(AND(O806&lt;&gt;"",O806&lt;=8)))</f>
        <v/>
      </c>
    </row>
    <row r="807" customFormat="false" ht="15" hidden="false" customHeight="false" outlineLevel="0" collapsed="false">
      <c r="AZ807" s="5" t="str">
        <f aca="false">IF($B807="","",SUMPRODUCT(($AL807:$AO807&lt;&gt;"")*(COUNTIF($AP807:$AX807,$AL807:$AO807)&gt;0)))</f>
        <v/>
      </c>
      <c r="BA807" s="5" t="str">
        <f aca="false">IF($B807="","",IF(AZ807&gt;0,1,0))</f>
        <v/>
      </c>
      <c r="BB807" s="5" t="str">
        <f aca="false">IF($AP807="","",IF((($AP807="Engineering and Technology")+($AP807="Science and Mathematics")+($AP807="Computer Science, IT and Allied Fields")+($AP807="Life Sciences /Medicine and Healthcare")+($AP807="Paramedical")+($AP807="Architecture")+($AP807="Environmental Service")+($AP807="Agriculture, Food Industry and Forestry"))&gt;0,"Science",IF((($AP807="Banking and Finance")+($AP807="Management and Administration")+($AP807="Marketing")+($AP807="Sales")+($AP807="Entrepreneurship")+($AP807="Hospitality and Tourism"))&gt;0,"Commerce",IF((($AP807="Social Sciences and Humanities")+($AP807="Law Studies")+($AP807="Education and Training")+($AP807="Art, Design")+($AP807="Entertainment and Mass Media")+($AP807="Community and Social Service")+($AP807="Personal Care and Services")+($AP807="Government and Public Administration")+($AP807="Defence/ Protective Service")+($AP807="Sports"))&gt;0,"Arts / Humanities",""))))</f>
        <v/>
      </c>
      <c r="BC807" s="5" t="str">
        <f aca="false">IF($AL807="","",IF((($AL807="Engineering and Technology")+($AL807="Science and Mathematics")+($AL807="Computer Science, IT and Allied Fields")+($AL807="Life Sciences /Medicine and Healthcare")+($AL807="Paramedical")+($AL807="Architecture")+($AL807="Environmental Service")+($AL807="Agriculture, Food Industry and Forestry"))&gt;0,"Science",IF((($AL807="Banking and Finance")+($AL807="Management and Administration")+($AL807="Marketing")+($AL807="Sales")+($AL807="Entrepreneurship")+($AL807="Hospitality and Tourism"))&gt;0,"Commerce",IF((($AL807="Social Sciences and Humanities")+($AL807="Law Studies")+($AL807="Education and Training")+($AL807="Art, Design")+($AL807="Entertainment and Mass Media")+($AL807="Community and Social Service")+($AL807="Personal Care and Services")+($AL807="Government and Public Administration")+($AL807="Defence/ Protective Service")+($AL807="Sports"))&gt;0,"Arts / Humanities",""))))</f>
        <v/>
      </c>
      <c r="BD807" s="5" t="str">
        <f aca="false">IF($B807="","",--(F807&gt;=10)+--(G807&gt;=10)+--(H807&gt;=10)+--(I807&gt;=10)+--(J807&gt;=10)+--(K807&gt;=10)+--(L807&gt;=10)+--(M807&gt;=10)+--(N807&gt;=10)+--(O807&gt;=10))</f>
        <v/>
      </c>
      <c r="BE807" s="5" t="str">
        <f aca="false">IF($B807="","",--(AND(F807&lt;&gt;"",F807&lt;=8))+--(AND(G807&lt;&gt;"",G807&lt;=8))+--(AND(H807&lt;&gt;"",H807&lt;=8))+--(AND(I807&lt;&gt;"",I807&lt;=8))+--(AND(J807&lt;&gt;"",J807&lt;=8))+--(AND(K807&lt;&gt;"",K807&lt;=8))+--(AND(L807&lt;&gt;"",L807&lt;=8))+--(AND(M807&lt;&gt;"",M807&lt;=8))+--(AND(N807&lt;&gt;"",N807&lt;=8))+--(AND(O807&lt;&gt;"",O807&lt;=8)))</f>
        <v/>
      </c>
    </row>
    <row r="808" customFormat="false" ht="15" hidden="false" customHeight="false" outlineLevel="0" collapsed="false">
      <c r="AZ808" s="5" t="str">
        <f aca="false">IF($B808="","",SUMPRODUCT(($AL808:$AO808&lt;&gt;"")*(COUNTIF($AP808:$AX808,$AL808:$AO808)&gt;0)))</f>
        <v/>
      </c>
      <c r="BA808" s="5" t="str">
        <f aca="false">IF($B808="","",IF(AZ808&gt;0,1,0))</f>
        <v/>
      </c>
      <c r="BB808" s="5" t="str">
        <f aca="false">IF($AP808="","",IF((($AP808="Engineering and Technology")+($AP808="Science and Mathematics")+($AP808="Computer Science, IT and Allied Fields")+($AP808="Life Sciences /Medicine and Healthcare")+($AP808="Paramedical")+($AP808="Architecture")+($AP808="Environmental Service")+($AP808="Agriculture, Food Industry and Forestry"))&gt;0,"Science",IF((($AP808="Banking and Finance")+($AP808="Management and Administration")+($AP808="Marketing")+($AP808="Sales")+($AP808="Entrepreneurship")+($AP808="Hospitality and Tourism"))&gt;0,"Commerce",IF((($AP808="Social Sciences and Humanities")+($AP808="Law Studies")+($AP808="Education and Training")+($AP808="Art, Design")+($AP808="Entertainment and Mass Media")+($AP808="Community and Social Service")+($AP808="Personal Care and Services")+($AP808="Government and Public Administration")+($AP808="Defence/ Protective Service")+($AP808="Sports"))&gt;0,"Arts / Humanities",""))))</f>
        <v/>
      </c>
      <c r="BC808" s="5" t="str">
        <f aca="false">IF($AL808="","",IF((($AL808="Engineering and Technology")+($AL808="Science and Mathematics")+($AL808="Computer Science, IT and Allied Fields")+($AL808="Life Sciences /Medicine and Healthcare")+($AL808="Paramedical")+($AL808="Architecture")+($AL808="Environmental Service")+($AL808="Agriculture, Food Industry and Forestry"))&gt;0,"Science",IF((($AL808="Banking and Finance")+($AL808="Management and Administration")+($AL808="Marketing")+($AL808="Sales")+($AL808="Entrepreneurship")+($AL808="Hospitality and Tourism"))&gt;0,"Commerce",IF((($AL808="Social Sciences and Humanities")+($AL808="Law Studies")+($AL808="Education and Training")+($AL808="Art, Design")+($AL808="Entertainment and Mass Media")+($AL808="Community and Social Service")+($AL808="Personal Care and Services")+($AL808="Government and Public Administration")+($AL808="Defence/ Protective Service")+($AL808="Sports"))&gt;0,"Arts / Humanities",""))))</f>
        <v/>
      </c>
      <c r="BD808" s="5" t="str">
        <f aca="false">IF($B808="","",--(F808&gt;=10)+--(G808&gt;=10)+--(H808&gt;=10)+--(I808&gt;=10)+--(J808&gt;=10)+--(K808&gt;=10)+--(L808&gt;=10)+--(M808&gt;=10)+--(N808&gt;=10)+--(O808&gt;=10))</f>
        <v/>
      </c>
      <c r="BE808" s="5" t="str">
        <f aca="false">IF($B808="","",--(AND(F808&lt;&gt;"",F808&lt;=8))+--(AND(G808&lt;&gt;"",G808&lt;=8))+--(AND(H808&lt;&gt;"",H808&lt;=8))+--(AND(I808&lt;&gt;"",I808&lt;=8))+--(AND(J808&lt;&gt;"",J808&lt;=8))+--(AND(K808&lt;&gt;"",K808&lt;=8))+--(AND(L808&lt;&gt;"",L808&lt;=8))+--(AND(M808&lt;&gt;"",M808&lt;=8))+--(AND(N808&lt;&gt;"",N808&lt;=8))+--(AND(O808&lt;&gt;"",O808&lt;=8)))</f>
        <v/>
      </c>
    </row>
    <row r="809" customFormat="false" ht="15" hidden="false" customHeight="false" outlineLevel="0" collapsed="false">
      <c r="AZ809" s="5" t="str">
        <f aca="false">IF($B809="","",SUMPRODUCT(($AL809:$AO809&lt;&gt;"")*(COUNTIF($AP809:$AX809,$AL809:$AO809)&gt;0)))</f>
        <v/>
      </c>
      <c r="BA809" s="5" t="str">
        <f aca="false">IF($B809="","",IF(AZ809&gt;0,1,0))</f>
        <v/>
      </c>
      <c r="BB809" s="5" t="str">
        <f aca="false">IF($AP809="","",IF((($AP809="Engineering and Technology")+($AP809="Science and Mathematics")+($AP809="Computer Science, IT and Allied Fields")+($AP809="Life Sciences /Medicine and Healthcare")+($AP809="Paramedical")+($AP809="Architecture")+($AP809="Environmental Service")+($AP809="Agriculture, Food Industry and Forestry"))&gt;0,"Science",IF((($AP809="Banking and Finance")+($AP809="Management and Administration")+($AP809="Marketing")+($AP809="Sales")+($AP809="Entrepreneurship")+($AP809="Hospitality and Tourism"))&gt;0,"Commerce",IF((($AP809="Social Sciences and Humanities")+($AP809="Law Studies")+($AP809="Education and Training")+($AP809="Art, Design")+($AP809="Entertainment and Mass Media")+($AP809="Community and Social Service")+($AP809="Personal Care and Services")+($AP809="Government and Public Administration")+($AP809="Defence/ Protective Service")+($AP809="Sports"))&gt;0,"Arts / Humanities",""))))</f>
        <v/>
      </c>
      <c r="BC809" s="5" t="str">
        <f aca="false">IF($AL809="","",IF((($AL809="Engineering and Technology")+($AL809="Science and Mathematics")+($AL809="Computer Science, IT and Allied Fields")+($AL809="Life Sciences /Medicine and Healthcare")+($AL809="Paramedical")+($AL809="Architecture")+($AL809="Environmental Service")+($AL809="Agriculture, Food Industry and Forestry"))&gt;0,"Science",IF((($AL809="Banking and Finance")+($AL809="Management and Administration")+($AL809="Marketing")+($AL809="Sales")+($AL809="Entrepreneurship")+($AL809="Hospitality and Tourism"))&gt;0,"Commerce",IF((($AL809="Social Sciences and Humanities")+($AL809="Law Studies")+($AL809="Education and Training")+($AL809="Art, Design")+($AL809="Entertainment and Mass Media")+($AL809="Community and Social Service")+($AL809="Personal Care and Services")+($AL809="Government and Public Administration")+($AL809="Defence/ Protective Service")+($AL809="Sports"))&gt;0,"Arts / Humanities",""))))</f>
        <v/>
      </c>
      <c r="BD809" s="5" t="str">
        <f aca="false">IF($B809="","",--(F809&gt;=10)+--(G809&gt;=10)+--(H809&gt;=10)+--(I809&gt;=10)+--(J809&gt;=10)+--(K809&gt;=10)+--(L809&gt;=10)+--(M809&gt;=10)+--(N809&gt;=10)+--(O809&gt;=10))</f>
        <v/>
      </c>
      <c r="BE809" s="5" t="str">
        <f aca="false">IF($B809="","",--(AND(F809&lt;&gt;"",F809&lt;=8))+--(AND(G809&lt;&gt;"",G809&lt;=8))+--(AND(H809&lt;&gt;"",H809&lt;=8))+--(AND(I809&lt;&gt;"",I809&lt;=8))+--(AND(J809&lt;&gt;"",J809&lt;=8))+--(AND(K809&lt;&gt;"",K809&lt;=8))+--(AND(L809&lt;&gt;"",L809&lt;=8))+--(AND(M809&lt;&gt;"",M809&lt;=8))+--(AND(N809&lt;&gt;"",N809&lt;=8))+--(AND(O809&lt;&gt;"",O809&lt;=8)))</f>
        <v/>
      </c>
    </row>
    <row r="810" customFormat="false" ht="15" hidden="false" customHeight="false" outlineLevel="0" collapsed="false">
      <c r="AZ810" s="5" t="str">
        <f aca="false">IF($B810="","",SUMPRODUCT(($AL810:$AO810&lt;&gt;"")*(COUNTIF($AP810:$AX810,$AL810:$AO810)&gt;0)))</f>
        <v/>
      </c>
      <c r="BA810" s="5" t="str">
        <f aca="false">IF($B810="","",IF(AZ810&gt;0,1,0))</f>
        <v/>
      </c>
      <c r="BB810" s="5" t="str">
        <f aca="false">IF($AP810="","",IF((($AP810="Engineering and Technology")+($AP810="Science and Mathematics")+($AP810="Computer Science, IT and Allied Fields")+($AP810="Life Sciences /Medicine and Healthcare")+($AP810="Paramedical")+($AP810="Architecture")+($AP810="Environmental Service")+($AP810="Agriculture, Food Industry and Forestry"))&gt;0,"Science",IF((($AP810="Banking and Finance")+($AP810="Management and Administration")+($AP810="Marketing")+($AP810="Sales")+($AP810="Entrepreneurship")+($AP810="Hospitality and Tourism"))&gt;0,"Commerce",IF((($AP810="Social Sciences and Humanities")+($AP810="Law Studies")+($AP810="Education and Training")+($AP810="Art, Design")+($AP810="Entertainment and Mass Media")+($AP810="Community and Social Service")+($AP810="Personal Care and Services")+($AP810="Government and Public Administration")+($AP810="Defence/ Protective Service")+($AP810="Sports"))&gt;0,"Arts / Humanities",""))))</f>
        <v/>
      </c>
      <c r="BC810" s="5" t="str">
        <f aca="false">IF($AL810="","",IF((($AL810="Engineering and Technology")+($AL810="Science and Mathematics")+($AL810="Computer Science, IT and Allied Fields")+($AL810="Life Sciences /Medicine and Healthcare")+($AL810="Paramedical")+($AL810="Architecture")+($AL810="Environmental Service")+($AL810="Agriculture, Food Industry and Forestry"))&gt;0,"Science",IF((($AL810="Banking and Finance")+($AL810="Management and Administration")+($AL810="Marketing")+($AL810="Sales")+($AL810="Entrepreneurship")+($AL810="Hospitality and Tourism"))&gt;0,"Commerce",IF((($AL810="Social Sciences and Humanities")+($AL810="Law Studies")+($AL810="Education and Training")+($AL810="Art, Design")+($AL810="Entertainment and Mass Media")+($AL810="Community and Social Service")+($AL810="Personal Care and Services")+($AL810="Government and Public Administration")+($AL810="Defence/ Protective Service")+($AL810="Sports"))&gt;0,"Arts / Humanities",""))))</f>
        <v/>
      </c>
      <c r="BD810" s="5" t="str">
        <f aca="false">IF($B810="","",--(F810&gt;=10)+--(G810&gt;=10)+--(H810&gt;=10)+--(I810&gt;=10)+--(J810&gt;=10)+--(K810&gt;=10)+--(L810&gt;=10)+--(M810&gt;=10)+--(N810&gt;=10)+--(O810&gt;=10))</f>
        <v/>
      </c>
      <c r="BE810" s="5" t="str">
        <f aca="false">IF($B810="","",--(AND(F810&lt;&gt;"",F810&lt;=8))+--(AND(G810&lt;&gt;"",G810&lt;=8))+--(AND(H810&lt;&gt;"",H810&lt;=8))+--(AND(I810&lt;&gt;"",I810&lt;=8))+--(AND(J810&lt;&gt;"",J810&lt;=8))+--(AND(K810&lt;&gt;"",K810&lt;=8))+--(AND(L810&lt;&gt;"",L810&lt;=8))+--(AND(M810&lt;&gt;"",M810&lt;=8))+--(AND(N810&lt;&gt;"",N810&lt;=8))+--(AND(O810&lt;&gt;"",O810&lt;=8)))</f>
        <v/>
      </c>
    </row>
    <row r="811" customFormat="false" ht="15" hidden="false" customHeight="false" outlineLevel="0" collapsed="false">
      <c r="AZ811" s="5" t="str">
        <f aca="false">IF($B811="","",SUMPRODUCT(($AL811:$AO811&lt;&gt;"")*(COUNTIF($AP811:$AX811,$AL811:$AO811)&gt;0)))</f>
        <v/>
      </c>
      <c r="BA811" s="5" t="str">
        <f aca="false">IF($B811="","",IF(AZ811&gt;0,1,0))</f>
        <v/>
      </c>
      <c r="BB811" s="5" t="str">
        <f aca="false">IF($AP811="","",IF((($AP811="Engineering and Technology")+($AP811="Science and Mathematics")+($AP811="Computer Science, IT and Allied Fields")+($AP811="Life Sciences /Medicine and Healthcare")+($AP811="Paramedical")+($AP811="Architecture")+($AP811="Environmental Service")+($AP811="Agriculture, Food Industry and Forestry"))&gt;0,"Science",IF((($AP811="Banking and Finance")+($AP811="Management and Administration")+($AP811="Marketing")+($AP811="Sales")+($AP811="Entrepreneurship")+($AP811="Hospitality and Tourism"))&gt;0,"Commerce",IF((($AP811="Social Sciences and Humanities")+($AP811="Law Studies")+($AP811="Education and Training")+($AP811="Art, Design")+($AP811="Entertainment and Mass Media")+($AP811="Community and Social Service")+($AP811="Personal Care and Services")+($AP811="Government and Public Administration")+($AP811="Defence/ Protective Service")+($AP811="Sports"))&gt;0,"Arts / Humanities",""))))</f>
        <v/>
      </c>
      <c r="BC811" s="5" t="str">
        <f aca="false">IF($AL811="","",IF((($AL811="Engineering and Technology")+($AL811="Science and Mathematics")+($AL811="Computer Science, IT and Allied Fields")+($AL811="Life Sciences /Medicine and Healthcare")+($AL811="Paramedical")+($AL811="Architecture")+($AL811="Environmental Service")+($AL811="Agriculture, Food Industry and Forestry"))&gt;0,"Science",IF((($AL811="Banking and Finance")+($AL811="Management and Administration")+($AL811="Marketing")+($AL811="Sales")+($AL811="Entrepreneurship")+($AL811="Hospitality and Tourism"))&gt;0,"Commerce",IF((($AL811="Social Sciences and Humanities")+($AL811="Law Studies")+($AL811="Education and Training")+($AL811="Art, Design")+($AL811="Entertainment and Mass Media")+($AL811="Community and Social Service")+($AL811="Personal Care and Services")+($AL811="Government and Public Administration")+($AL811="Defence/ Protective Service")+($AL811="Sports"))&gt;0,"Arts / Humanities",""))))</f>
        <v/>
      </c>
      <c r="BD811" s="5" t="str">
        <f aca="false">IF($B811="","",--(F811&gt;=10)+--(G811&gt;=10)+--(H811&gt;=10)+--(I811&gt;=10)+--(J811&gt;=10)+--(K811&gt;=10)+--(L811&gt;=10)+--(M811&gt;=10)+--(N811&gt;=10)+--(O811&gt;=10))</f>
        <v/>
      </c>
      <c r="BE811" s="5" t="str">
        <f aca="false">IF($B811="","",--(AND(F811&lt;&gt;"",F811&lt;=8))+--(AND(G811&lt;&gt;"",G811&lt;=8))+--(AND(H811&lt;&gt;"",H811&lt;=8))+--(AND(I811&lt;&gt;"",I811&lt;=8))+--(AND(J811&lt;&gt;"",J811&lt;=8))+--(AND(K811&lt;&gt;"",K811&lt;=8))+--(AND(L811&lt;&gt;"",L811&lt;=8))+--(AND(M811&lt;&gt;"",M811&lt;=8))+--(AND(N811&lt;&gt;"",N811&lt;=8))+--(AND(O811&lt;&gt;"",O811&lt;=8)))</f>
        <v/>
      </c>
    </row>
    <row r="812" customFormat="false" ht="15" hidden="false" customHeight="false" outlineLevel="0" collapsed="false">
      <c r="AZ812" s="5" t="str">
        <f aca="false">IF($B812="","",SUMPRODUCT(($AL812:$AO812&lt;&gt;"")*(COUNTIF($AP812:$AX812,$AL812:$AO812)&gt;0)))</f>
        <v/>
      </c>
      <c r="BA812" s="5" t="str">
        <f aca="false">IF($B812="","",IF(AZ812&gt;0,1,0))</f>
        <v/>
      </c>
      <c r="BB812" s="5" t="str">
        <f aca="false">IF($AP812="","",IF((($AP812="Engineering and Technology")+($AP812="Science and Mathematics")+($AP812="Computer Science, IT and Allied Fields")+($AP812="Life Sciences /Medicine and Healthcare")+($AP812="Paramedical")+($AP812="Architecture")+($AP812="Environmental Service")+($AP812="Agriculture, Food Industry and Forestry"))&gt;0,"Science",IF((($AP812="Banking and Finance")+($AP812="Management and Administration")+($AP812="Marketing")+($AP812="Sales")+($AP812="Entrepreneurship")+($AP812="Hospitality and Tourism"))&gt;0,"Commerce",IF((($AP812="Social Sciences and Humanities")+($AP812="Law Studies")+($AP812="Education and Training")+($AP812="Art, Design")+($AP812="Entertainment and Mass Media")+($AP812="Community and Social Service")+($AP812="Personal Care and Services")+($AP812="Government and Public Administration")+($AP812="Defence/ Protective Service")+($AP812="Sports"))&gt;0,"Arts / Humanities",""))))</f>
        <v/>
      </c>
      <c r="BC812" s="5" t="str">
        <f aca="false">IF($AL812="","",IF((($AL812="Engineering and Technology")+($AL812="Science and Mathematics")+($AL812="Computer Science, IT and Allied Fields")+($AL812="Life Sciences /Medicine and Healthcare")+($AL812="Paramedical")+($AL812="Architecture")+($AL812="Environmental Service")+($AL812="Agriculture, Food Industry and Forestry"))&gt;0,"Science",IF((($AL812="Banking and Finance")+($AL812="Management and Administration")+($AL812="Marketing")+($AL812="Sales")+($AL812="Entrepreneurship")+($AL812="Hospitality and Tourism"))&gt;0,"Commerce",IF((($AL812="Social Sciences and Humanities")+($AL812="Law Studies")+($AL812="Education and Training")+($AL812="Art, Design")+($AL812="Entertainment and Mass Media")+($AL812="Community and Social Service")+($AL812="Personal Care and Services")+($AL812="Government and Public Administration")+($AL812="Defence/ Protective Service")+($AL812="Sports"))&gt;0,"Arts / Humanities",""))))</f>
        <v/>
      </c>
      <c r="BD812" s="5" t="str">
        <f aca="false">IF($B812="","",--(F812&gt;=10)+--(G812&gt;=10)+--(H812&gt;=10)+--(I812&gt;=10)+--(J812&gt;=10)+--(K812&gt;=10)+--(L812&gt;=10)+--(M812&gt;=10)+--(N812&gt;=10)+--(O812&gt;=10))</f>
        <v/>
      </c>
      <c r="BE812" s="5" t="str">
        <f aca="false">IF($B812="","",--(AND(F812&lt;&gt;"",F812&lt;=8))+--(AND(G812&lt;&gt;"",G812&lt;=8))+--(AND(H812&lt;&gt;"",H812&lt;=8))+--(AND(I812&lt;&gt;"",I812&lt;=8))+--(AND(J812&lt;&gt;"",J812&lt;=8))+--(AND(K812&lt;&gt;"",K812&lt;=8))+--(AND(L812&lt;&gt;"",L812&lt;=8))+--(AND(M812&lt;&gt;"",M812&lt;=8))+--(AND(N812&lt;&gt;"",N812&lt;=8))+--(AND(O812&lt;&gt;"",O812&lt;=8)))</f>
        <v/>
      </c>
    </row>
    <row r="813" customFormat="false" ht="15" hidden="false" customHeight="false" outlineLevel="0" collapsed="false">
      <c r="AZ813" s="5" t="str">
        <f aca="false">IF($B813="","",SUMPRODUCT(($AL813:$AO813&lt;&gt;"")*(COUNTIF($AP813:$AX813,$AL813:$AO813)&gt;0)))</f>
        <v/>
      </c>
      <c r="BA813" s="5" t="str">
        <f aca="false">IF($B813="","",IF(AZ813&gt;0,1,0))</f>
        <v/>
      </c>
      <c r="BB813" s="5" t="str">
        <f aca="false">IF($AP813="","",IF((($AP813="Engineering and Technology")+($AP813="Science and Mathematics")+($AP813="Computer Science, IT and Allied Fields")+($AP813="Life Sciences /Medicine and Healthcare")+($AP813="Paramedical")+($AP813="Architecture")+($AP813="Environmental Service")+($AP813="Agriculture, Food Industry and Forestry"))&gt;0,"Science",IF((($AP813="Banking and Finance")+($AP813="Management and Administration")+($AP813="Marketing")+($AP813="Sales")+($AP813="Entrepreneurship")+($AP813="Hospitality and Tourism"))&gt;0,"Commerce",IF((($AP813="Social Sciences and Humanities")+($AP813="Law Studies")+($AP813="Education and Training")+($AP813="Art, Design")+($AP813="Entertainment and Mass Media")+($AP813="Community and Social Service")+($AP813="Personal Care and Services")+($AP813="Government and Public Administration")+($AP813="Defence/ Protective Service")+($AP813="Sports"))&gt;0,"Arts / Humanities",""))))</f>
        <v/>
      </c>
      <c r="BC813" s="5" t="str">
        <f aca="false">IF($AL813="","",IF((($AL813="Engineering and Technology")+($AL813="Science and Mathematics")+($AL813="Computer Science, IT and Allied Fields")+($AL813="Life Sciences /Medicine and Healthcare")+($AL813="Paramedical")+($AL813="Architecture")+($AL813="Environmental Service")+($AL813="Agriculture, Food Industry and Forestry"))&gt;0,"Science",IF((($AL813="Banking and Finance")+($AL813="Management and Administration")+($AL813="Marketing")+($AL813="Sales")+($AL813="Entrepreneurship")+($AL813="Hospitality and Tourism"))&gt;0,"Commerce",IF((($AL813="Social Sciences and Humanities")+($AL813="Law Studies")+($AL813="Education and Training")+($AL813="Art, Design")+($AL813="Entertainment and Mass Media")+($AL813="Community and Social Service")+($AL813="Personal Care and Services")+($AL813="Government and Public Administration")+($AL813="Defence/ Protective Service")+($AL813="Sports"))&gt;0,"Arts / Humanities",""))))</f>
        <v/>
      </c>
      <c r="BD813" s="5" t="str">
        <f aca="false">IF($B813="","",--(F813&gt;=10)+--(G813&gt;=10)+--(H813&gt;=10)+--(I813&gt;=10)+--(J813&gt;=10)+--(K813&gt;=10)+--(L813&gt;=10)+--(M813&gt;=10)+--(N813&gt;=10)+--(O813&gt;=10))</f>
        <v/>
      </c>
      <c r="BE813" s="5" t="str">
        <f aca="false">IF($B813="","",--(AND(F813&lt;&gt;"",F813&lt;=8))+--(AND(G813&lt;&gt;"",G813&lt;=8))+--(AND(H813&lt;&gt;"",H813&lt;=8))+--(AND(I813&lt;&gt;"",I813&lt;=8))+--(AND(J813&lt;&gt;"",J813&lt;=8))+--(AND(K813&lt;&gt;"",K813&lt;=8))+--(AND(L813&lt;&gt;"",L813&lt;=8))+--(AND(M813&lt;&gt;"",M813&lt;=8))+--(AND(N813&lt;&gt;"",N813&lt;=8))+--(AND(O813&lt;&gt;"",O813&lt;=8)))</f>
        <v/>
      </c>
    </row>
    <row r="814" customFormat="false" ht="15" hidden="false" customHeight="false" outlineLevel="0" collapsed="false">
      <c r="AZ814" s="5" t="str">
        <f aca="false">IF($B814="","",SUMPRODUCT(($AL814:$AO814&lt;&gt;"")*(COUNTIF($AP814:$AX814,$AL814:$AO814)&gt;0)))</f>
        <v/>
      </c>
      <c r="BA814" s="5" t="str">
        <f aca="false">IF($B814="","",IF(AZ814&gt;0,1,0))</f>
        <v/>
      </c>
      <c r="BB814" s="5" t="str">
        <f aca="false">IF($AP814="","",IF((($AP814="Engineering and Technology")+($AP814="Science and Mathematics")+($AP814="Computer Science, IT and Allied Fields")+($AP814="Life Sciences /Medicine and Healthcare")+($AP814="Paramedical")+($AP814="Architecture")+($AP814="Environmental Service")+($AP814="Agriculture, Food Industry and Forestry"))&gt;0,"Science",IF((($AP814="Banking and Finance")+($AP814="Management and Administration")+($AP814="Marketing")+($AP814="Sales")+($AP814="Entrepreneurship")+($AP814="Hospitality and Tourism"))&gt;0,"Commerce",IF((($AP814="Social Sciences and Humanities")+($AP814="Law Studies")+($AP814="Education and Training")+($AP814="Art, Design")+($AP814="Entertainment and Mass Media")+($AP814="Community and Social Service")+($AP814="Personal Care and Services")+($AP814="Government and Public Administration")+($AP814="Defence/ Protective Service")+($AP814="Sports"))&gt;0,"Arts / Humanities",""))))</f>
        <v/>
      </c>
      <c r="BC814" s="5" t="str">
        <f aca="false">IF($AL814="","",IF((($AL814="Engineering and Technology")+($AL814="Science and Mathematics")+($AL814="Computer Science, IT and Allied Fields")+($AL814="Life Sciences /Medicine and Healthcare")+($AL814="Paramedical")+($AL814="Architecture")+($AL814="Environmental Service")+($AL814="Agriculture, Food Industry and Forestry"))&gt;0,"Science",IF((($AL814="Banking and Finance")+($AL814="Management and Administration")+($AL814="Marketing")+($AL814="Sales")+($AL814="Entrepreneurship")+($AL814="Hospitality and Tourism"))&gt;0,"Commerce",IF((($AL814="Social Sciences and Humanities")+($AL814="Law Studies")+($AL814="Education and Training")+($AL814="Art, Design")+($AL814="Entertainment and Mass Media")+($AL814="Community and Social Service")+($AL814="Personal Care and Services")+($AL814="Government and Public Administration")+($AL814="Defence/ Protective Service")+($AL814="Sports"))&gt;0,"Arts / Humanities",""))))</f>
        <v/>
      </c>
      <c r="BD814" s="5" t="str">
        <f aca="false">IF($B814="","",--(F814&gt;=10)+--(G814&gt;=10)+--(H814&gt;=10)+--(I814&gt;=10)+--(J814&gt;=10)+--(K814&gt;=10)+--(L814&gt;=10)+--(M814&gt;=10)+--(N814&gt;=10)+--(O814&gt;=10))</f>
        <v/>
      </c>
      <c r="BE814" s="5" t="str">
        <f aca="false">IF($B814="","",--(AND(F814&lt;&gt;"",F814&lt;=8))+--(AND(G814&lt;&gt;"",G814&lt;=8))+--(AND(H814&lt;&gt;"",H814&lt;=8))+--(AND(I814&lt;&gt;"",I814&lt;=8))+--(AND(J814&lt;&gt;"",J814&lt;=8))+--(AND(K814&lt;&gt;"",K814&lt;=8))+--(AND(L814&lt;&gt;"",L814&lt;=8))+--(AND(M814&lt;&gt;"",M814&lt;=8))+--(AND(N814&lt;&gt;"",N814&lt;=8))+--(AND(O814&lt;&gt;"",O814&lt;=8)))</f>
        <v/>
      </c>
    </row>
    <row r="815" customFormat="false" ht="15" hidden="false" customHeight="false" outlineLevel="0" collapsed="false">
      <c r="AZ815" s="5" t="str">
        <f aca="false">IF($B815="","",SUMPRODUCT(($AL815:$AO815&lt;&gt;"")*(COUNTIF($AP815:$AX815,$AL815:$AO815)&gt;0)))</f>
        <v/>
      </c>
      <c r="BA815" s="5" t="str">
        <f aca="false">IF($B815="","",IF(AZ815&gt;0,1,0))</f>
        <v/>
      </c>
      <c r="BB815" s="5" t="str">
        <f aca="false">IF($AP815="","",IF((($AP815="Engineering and Technology")+($AP815="Science and Mathematics")+($AP815="Computer Science, IT and Allied Fields")+($AP815="Life Sciences /Medicine and Healthcare")+($AP815="Paramedical")+($AP815="Architecture")+($AP815="Environmental Service")+($AP815="Agriculture, Food Industry and Forestry"))&gt;0,"Science",IF((($AP815="Banking and Finance")+($AP815="Management and Administration")+($AP815="Marketing")+($AP815="Sales")+($AP815="Entrepreneurship")+($AP815="Hospitality and Tourism"))&gt;0,"Commerce",IF((($AP815="Social Sciences and Humanities")+($AP815="Law Studies")+($AP815="Education and Training")+($AP815="Art, Design")+($AP815="Entertainment and Mass Media")+($AP815="Community and Social Service")+($AP815="Personal Care and Services")+($AP815="Government and Public Administration")+($AP815="Defence/ Protective Service")+($AP815="Sports"))&gt;0,"Arts / Humanities",""))))</f>
        <v/>
      </c>
      <c r="BC815" s="5" t="str">
        <f aca="false">IF($AL815="","",IF((($AL815="Engineering and Technology")+($AL815="Science and Mathematics")+($AL815="Computer Science, IT and Allied Fields")+($AL815="Life Sciences /Medicine and Healthcare")+($AL815="Paramedical")+($AL815="Architecture")+($AL815="Environmental Service")+($AL815="Agriculture, Food Industry and Forestry"))&gt;0,"Science",IF((($AL815="Banking and Finance")+($AL815="Management and Administration")+($AL815="Marketing")+($AL815="Sales")+($AL815="Entrepreneurship")+($AL815="Hospitality and Tourism"))&gt;0,"Commerce",IF((($AL815="Social Sciences and Humanities")+($AL815="Law Studies")+($AL815="Education and Training")+($AL815="Art, Design")+($AL815="Entertainment and Mass Media")+($AL815="Community and Social Service")+($AL815="Personal Care and Services")+($AL815="Government and Public Administration")+($AL815="Defence/ Protective Service")+($AL815="Sports"))&gt;0,"Arts / Humanities",""))))</f>
        <v/>
      </c>
      <c r="BD815" s="5" t="str">
        <f aca="false">IF($B815="","",--(F815&gt;=10)+--(G815&gt;=10)+--(H815&gt;=10)+--(I815&gt;=10)+--(J815&gt;=10)+--(K815&gt;=10)+--(L815&gt;=10)+--(M815&gt;=10)+--(N815&gt;=10)+--(O815&gt;=10))</f>
        <v/>
      </c>
      <c r="BE815" s="5" t="str">
        <f aca="false">IF($B815="","",--(AND(F815&lt;&gt;"",F815&lt;=8))+--(AND(G815&lt;&gt;"",G815&lt;=8))+--(AND(H815&lt;&gt;"",H815&lt;=8))+--(AND(I815&lt;&gt;"",I815&lt;=8))+--(AND(J815&lt;&gt;"",J815&lt;=8))+--(AND(K815&lt;&gt;"",K815&lt;=8))+--(AND(L815&lt;&gt;"",L815&lt;=8))+--(AND(M815&lt;&gt;"",M815&lt;=8))+--(AND(N815&lt;&gt;"",N815&lt;=8))+--(AND(O815&lt;&gt;"",O815&lt;=8)))</f>
        <v/>
      </c>
    </row>
    <row r="816" customFormat="false" ht="15" hidden="false" customHeight="false" outlineLevel="0" collapsed="false">
      <c r="AZ816" s="5" t="str">
        <f aca="false">IF($B816="","",SUMPRODUCT(($AL816:$AO816&lt;&gt;"")*(COUNTIF($AP816:$AX816,$AL816:$AO816)&gt;0)))</f>
        <v/>
      </c>
      <c r="BA816" s="5" t="str">
        <f aca="false">IF($B816="","",IF(AZ816&gt;0,1,0))</f>
        <v/>
      </c>
      <c r="BB816" s="5" t="str">
        <f aca="false">IF($AP816="","",IF((($AP816="Engineering and Technology")+($AP816="Science and Mathematics")+($AP816="Computer Science, IT and Allied Fields")+($AP816="Life Sciences /Medicine and Healthcare")+($AP816="Paramedical")+($AP816="Architecture")+($AP816="Environmental Service")+($AP816="Agriculture, Food Industry and Forestry"))&gt;0,"Science",IF((($AP816="Banking and Finance")+($AP816="Management and Administration")+($AP816="Marketing")+($AP816="Sales")+($AP816="Entrepreneurship")+($AP816="Hospitality and Tourism"))&gt;0,"Commerce",IF((($AP816="Social Sciences and Humanities")+($AP816="Law Studies")+($AP816="Education and Training")+($AP816="Art, Design")+($AP816="Entertainment and Mass Media")+($AP816="Community and Social Service")+($AP816="Personal Care and Services")+($AP816="Government and Public Administration")+($AP816="Defence/ Protective Service")+($AP816="Sports"))&gt;0,"Arts / Humanities",""))))</f>
        <v/>
      </c>
      <c r="BC816" s="5" t="str">
        <f aca="false">IF($AL816="","",IF((($AL816="Engineering and Technology")+($AL816="Science and Mathematics")+($AL816="Computer Science, IT and Allied Fields")+($AL816="Life Sciences /Medicine and Healthcare")+($AL816="Paramedical")+($AL816="Architecture")+($AL816="Environmental Service")+($AL816="Agriculture, Food Industry and Forestry"))&gt;0,"Science",IF((($AL816="Banking and Finance")+($AL816="Management and Administration")+($AL816="Marketing")+($AL816="Sales")+($AL816="Entrepreneurship")+($AL816="Hospitality and Tourism"))&gt;0,"Commerce",IF((($AL816="Social Sciences and Humanities")+($AL816="Law Studies")+($AL816="Education and Training")+($AL816="Art, Design")+($AL816="Entertainment and Mass Media")+($AL816="Community and Social Service")+($AL816="Personal Care and Services")+($AL816="Government and Public Administration")+($AL816="Defence/ Protective Service")+($AL816="Sports"))&gt;0,"Arts / Humanities",""))))</f>
        <v/>
      </c>
      <c r="BD816" s="5" t="str">
        <f aca="false">IF($B816="","",--(F816&gt;=10)+--(G816&gt;=10)+--(H816&gt;=10)+--(I816&gt;=10)+--(J816&gt;=10)+--(K816&gt;=10)+--(L816&gt;=10)+--(M816&gt;=10)+--(N816&gt;=10)+--(O816&gt;=10))</f>
        <v/>
      </c>
      <c r="BE816" s="5" t="str">
        <f aca="false">IF($B816="","",--(AND(F816&lt;&gt;"",F816&lt;=8))+--(AND(G816&lt;&gt;"",G816&lt;=8))+--(AND(H816&lt;&gt;"",H816&lt;=8))+--(AND(I816&lt;&gt;"",I816&lt;=8))+--(AND(J816&lt;&gt;"",J816&lt;=8))+--(AND(K816&lt;&gt;"",K816&lt;=8))+--(AND(L816&lt;&gt;"",L816&lt;=8))+--(AND(M816&lt;&gt;"",M816&lt;=8))+--(AND(N816&lt;&gt;"",N816&lt;=8))+--(AND(O816&lt;&gt;"",O816&lt;=8)))</f>
        <v/>
      </c>
    </row>
    <row r="817" customFormat="false" ht="15" hidden="false" customHeight="false" outlineLevel="0" collapsed="false">
      <c r="AZ817" s="5" t="str">
        <f aca="false">IF($B817="","",SUMPRODUCT(($AL817:$AO817&lt;&gt;"")*(COUNTIF($AP817:$AX817,$AL817:$AO817)&gt;0)))</f>
        <v/>
      </c>
      <c r="BA817" s="5" t="str">
        <f aca="false">IF($B817="","",IF(AZ817&gt;0,1,0))</f>
        <v/>
      </c>
      <c r="BB817" s="5" t="str">
        <f aca="false">IF($AP817="","",IF((($AP817="Engineering and Technology")+($AP817="Science and Mathematics")+($AP817="Computer Science, IT and Allied Fields")+($AP817="Life Sciences /Medicine and Healthcare")+($AP817="Paramedical")+($AP817="Architecture")+($AP817="Environmental Service")+($AP817="Agriculture, Food Industry and Forestry"))&gt;0,"Science",IF((($AP817="Banking and Finance")+($AP817="Management and Administration")+($AP817="Marketing")+($AP817="Sales")+($AP817="Entrepreneurship")+($AP817="Hospitality and Tourism"))&gt;0,"Commerce",IF((($AP817="Social Sciences and Humanities")+($AP817="Law Studies")+($AP817="Education and Training")+($AP817="Art, Design")+($AP817="Entertainment and Mass Media")+($AP817="Community and Social Service")+($AP817="Personal Care and Services")+($AP817="Government and Public Administration")+($AP817="Defence/ Protective Service")+($AP817="Sports"))&gt;0,"Arts / Humanities",""))))</f>
        <v/>
      </c>
      <c r="BC817" s="5" t="str">
        <f aca="false">IF($AL817="","",IF((($AL817="Engineering and Technology")+($AL817="Science and Mathematics")+($AL817="Computer Science, IT and Allied Fields")+($AL817="Life Sciences /Medicine and Healthcare")+($AL817="Paramedical")+($AL817="Architecture")+($AL817="Environmental Service")+($AL817="Agriculture, Food Industry and Forestry"))&gt;0,"Science",IF((($AL817="Banking and Finance")+($AL817="Management and Administration")+($AL817="Marketing")+($AL817="Sales")+($AL817="Entrepreneurship")+($AL817="Hospitality and Tourism"))&gt;0,"Commerce",IF((($AL817="Social Sciences and Humanities")+($AL817="Law Studies")+($AL817="Education and Training")+($AL817="Art, Design")+($AL817="Entertainment and Mass Media")+($AL817="Community and Social Service")+($AL817="Personal Care and Services")+($AL817="Government and Public Administration")+($AL817="Defence/ Protective Service")+($AL817="Sports"))&gt;0,"Arts / Humanities",""))))</f>
        <v/>
      </c>
      <c r="BD817" s="5" t="str">
        <f aca="false">IF($B817="","",--(F817&gt;=10)+--(G817&gt;=10)+--(H817&gt;=10)+--(I817&gt;=10)+--(J817&gt;=10)+--(K817&gt;=10)+--(L817&gt;=10)+--(M817&gt;=10)+--(N817&gt;=10)+--(O817&gt;=10))</f>
        <v/>
      </c>
      <c r="BE817" s="5" t="str">
        <f aca="false">IF($B817="","",--(AND(F817&lt;&gt;"",F817&lt;=8))+--(AND(G817&lt;&gt;"",G817&lt;=8))+--(AND(H817&lt;&gt;"",H817&lt;=8))+--(AND(I817&lt;&gt;"",I817&lt;=8))+--(AND(J817&lt;&gt;"",J817&lt;=8))+--(AND(K817&lt;&gt;"",K817&lt;=8))+--(AND(L817&lt;&gt;"",L817&lt;=8))+--(AND(M817&lt;&gt;"",M817&lt;=8))+--(AND(N817&lt;&gt;"",N817&lt;=8))+--(AND(O817&lt;&gt;"",O817&lt;=8)))</f>
        <v/>
      </c>
    </row>
    <row r="818" customFormat="false" ht="15" hidden="false" customHeight="false" outlineLevel="0" collapsed="false">
      <c r="AZ818" s="5" t="str">
        <f aca="false">IF($B818="","",SUMPRODUCT(($AL818:$AO818&lt;&gt;"")*(COUNTIF($AP818:$AX818,$AL818:$AO818)&gt;0)))</f>
        <v/>
      </c>
      <c r="BA818" s="5" t="str">
        <f aca="false">IF($B818="","",IF(AZ818&gt;0,1,0))</f>
        <v/>
      </c>
      <c r="BB818" s="5" t="str">
        <f aca="false">IF($AP818="","",IF((($AP818="Engineering and Technology")+($AP818="Science and Mathematics")+($AP818="Computer Science, IT and Allied Fields")+($AP818="Life Sciences /Medicine and Healthcare")+($AP818="Paramedical")+($AP818="Architecture")+($AP818="Environmental Service")+($AP818="Agriculture, Food Industry and Forestry"))&gt;0,"Science",IF((($AP818="Banking and Finance")+($AP818="Management and Administration")+($AP818="Marketing")+($AP818="Sales")+($AP818="Entrepreneurship")+($AP818="Hospitality and Tourism"))&gt;0,"Commerce",IF((($AP818="Social Sciences and Humanities")+($AP818="Law Studies")+($AP818="Education and Training")+($AP818="Art, Design")+($AP818="Entertainment and Mass Media")+($AP818="Community and Social Service")+($AP818="Personal Care and Services")+($AP818="Government and Public Administration")+($AP818="Defence/ Protective Service")+($AP818="Sports"))&gt;0,"Arts / Humanities",""))))</f>
        <v/>
      </c>
      <c r="BC818" s="5" t="str">
        <f aca="false">IF($AL818="","",IF((($AL818="Engineering and Technology")+($AL818="Science and Mathematics")+($AL818="Computer Science, IT and Allied Fields")+($AL818="Life Sciences /Medicine and Healthcare")+($AL818="Paramedical")+($AL818="Architecture")+($AL818="Environmental Service")+($AL818="Agriculture, Food Industry and Forestry"))&gt;0,"Science",IF((($AL818="Banking and Finance")+($AL818="Management and Administration")+($AL818="Marketing")+($AL818="Sales")+($AL818="Entrepreneurship")+($AL818="Hospitality and Tourism"))&gt;0,"Commerce",IF((($AL818="Social Sciences and Humanities")+($AL818="Law Studies")+($AL818="Education and Training")+($AL818="Art, Design")+($AL818="Entertainment and Mass Media")+($AL818="Community and Social Service")+($AL818="Personal Care and Services")+($AL818="Government and Public Administration")+($AL818="Defence/ Protective Service")+($AL818="Sports"))&gt;0,"Arts / Humanities",""))))</f>
        <v/>
      </c>
      <c r="BD818" s="5" t="str">
        <f aca="false">IF($B818="","",--(F818&gt;=10)+--(G818&gt;=10)+--(H818&gt;=10)+--(I818&gt;=10)+--(J818&gt;=10)+--(K818&gt;=10)+--(L818&gt;=10)+--(M818&gt;=10)+--(N818&gt;=10)+--(O818&gt;=10))</f>
        <v/>
      </c>
      <c r="BE818" s="5" t="str">
        <f aca="false">IF($B818="","",--(AND(F818&lt;&gt;"",F818&lt;=8))+--(AND(G818&lt;&gt;"",G818&lt;=8))+--(AND(H818&lt;&gt;"",H818&lt;=8))+--(AND(I818&lt;&gt;"",I818&lt;=8))+--(AND(J818&lt;&gt;"",J818&lt;=8))+--(AND(K818&lt;&gt;"",K818&lt;=8))+--(AND(L818&lt;&gt;"",L818&lt;=8))+--(AND(M818&lt;&gt;"",M818&lt;=8))+--(AND(N818&lt;&gt;"",N818&lt;=8))+--(AND(O818&lt;&gt;"",O818&lt;=8)))</f>
        <v/>
      </c>
    </row>
    <row r="819" customFormat="false" ht="15" hidden="false" customHeight="false" outlineLevel="0" collapsed="false">
      <c r="AZ819" s="5" t="str">
        <f aca="false">IF($B819="","",SUMPRODUCT(($AL819:$AO819&lt;&gt;"")*(COUNTIF($AP819:$AX819,$AL819:$AO819)&gt;0)))</f>
        <v/>
      </c>
      <c r="BA819" s="5" t="str">
        <f aca="false">IF($B819="","",IF(AZ819&gt;0,1,0))</f>
        <v/>
      </c>
      <c r="BB819" s="5" t="str">
        <f aca="false">IF($AP819="","",IF((($AP819="Engineering and Technology")+($AP819="Science and Mathematics")+($AP819="Computer Science, IT and Allied Fields")+($AP819="Life Sciences /Medicine and Healthcare")+($AP819="Paramedical")+($AP819="Architecture")+($AP819="Environmental Service")+($AP819="Agriculture, Food Industry and Forestry"))&gt;0,"Science",IF((($AP819="Banking and Finance")+($AP819="Management and Administration")+($AP819="Marketing")+($AP819="Sales")+($AP819="Entrepreneurship")+($AP819="Hospitality and Tourism"))&gt;0,"Commerce",IF((($AP819="Social Sciences and Humanities")+($AP819="Law Studies")+($AP819="Education and Training")+($AP819="Art, Design")+($AP819="Entertainment and Mass Media")+($AP819="Community and Social Service")+($AP819="Personal Care and Services")+($AP819="Government and Public Administration")+($AP819="Defence/ Protective Service")+($AP819="Sports"))&gt;0,"Arts / Humanities",""))))</f>
        <v/>
      </c>
      <c r="BC819" s="5" t="str">
        <f aca="false">IF($AL819="","",IF((($AL819="Engineering and Technology")+($AL819="Science and Mathematics")+($AL819="Computer Science, IT and Allied Fields")+($AL819="Life Sciences /Medicine and Healthcare")+($AL819="Paramedical")+($AL819="Architecture")+($AL819="Environmental Service")+($AL819="Agriculture, Food Industry and Forestry"))&gt;0,"Science",IF((($AL819="Banking and Finance")+($AL819="Management and Administration")+($AL819="Marketing")+($AL819="Sales")+($AL819="Entrepreneurship")+($AL819="Hospitality and Tourism"))&gt;0,"Commerce",IF((($AL819="Social Sciences and Humanities")+($AL819="Law Studies")+($AL819="Education and Training")+($AL819="Art, Design")+($AL819="Entertainment and Mass Media")+($AL819="Community and Social Service")+($AL819="Personal Care and Services")+($AL819="Government and Public Administration")+($AL819="Defence/ Protective Service")+($AL819="Sports"))&gt;0,"Arts / Humanities",""))))</f>
        <v/>
      </c>
      <c r="BD819" s="5" t="str">
        <f aca="false">IF($B819="","",--(F819&gt;=10)+--(G819&gt;=10)+--(H819&gt;=10)+--(I819&gt;=10)+--(J819&gt;=10)+--(K819&gt;=10)+--(L819&gt;=10)+--(M819&gt;=10)+--(N819&gt;=10)+--(O819&gt;=10))</f>
        <v/>
      </c>
      <c r="BE819" s="5" t="str">
        <f aca="false">IF($B819="","",--(AND(F819&lt;&gt;"",F819&lt;=8))+--(AND(G819&lt;&gt;"",G819&lt;=8))+--(AND(H819&lt;&gt;"",H819&lt;=8))+--(AND(I819&lt;&gt;"",I819&lt;=8))+--(AND(J819&lt;&gt;"",J819&lt;=8))+--(AND(K819&lt;&gt;"",K819&lt;=8))+--(AND(L819&lt;&gt;"",L819&lt;=8))+--(AND(M819&lt;&gt;"",M819&lt;=8))+--(AND(N819&lt;&gt;"",N819&lt;=8))+--(AND(O819&lt;&gt;"",O819&lt;=8)))</f>
        <v/>
      </c>
    </row>
    <row r="820" customFormat="false" ht="15" hidden="false" customHeight="false" outlineLevel="0" collapsed="false">
      <c r="AZ820" s="5" t="str">
        <f aca="false">IF($B820="","",SUMPRODUCT(($AL820:$AO820&lt;&gt;"")*(COUNTIF($AP820:$AX820,$AL820:$AO820)&gt;0)))</f>
        <v/>
      </c>
      <c r="BA820" s="5" t="str">
        <f aca="false">IF($B820="","",IF(AZ820&gt;0,1,0))</f>
        <v/>
      </c>
      <c r="BB820" s="5" t="str">
        <f aca="false">IF($AP820="","",IF((($AP820="Engineering and Technology")+($AP820="Science and Mathematics")+($AP820="Computer Science, IT and Allied Fields")+($AP820="Life Sciences /Medicine and Healthcare")+($AP820="Paramedical")+($AP820="Architecture")+($AP820="Environmental Service")+($AP820="Agriculture, Food Industry and Forestry"))&gt;0,"Science",IF((($AP820="Banking and Finance")+($AP820="Management and Administration")+($AP820="Marketing")+($AP820="Sales")+($AP820="Entrepreneurship")+($AP820="Hospitality and Tourism"))&gt;0,"Commerce",IF((($AP820="Social Sciences and Humanities")+($AP820="Law Studies")+($AP820="Education and Training")+($AP820="Art, Design")+($AP820="Entertainment and Mass Media")+($AP820="Community and Social Service")+($AP820="Personal Care and Services")+($AP820="Government and Public Administration")+($AP820="Defence/ Protective Service")+($AP820="Sports"))&gt;0,"Arts / Humanities",""))))</f>
        <v/>
      </c>
      <c r="BC820" s="5" t="str">
        <f aca="false">IF($AL820="","",IF((($AL820="Engineering and Technology")+($AL820="Science and Mathematics")+($AL820="Computer Science, IT and Allied Fields")+($AL820="Life Sciences /Medicine and Healthcare")+($AL820="Paramedical")+($AL820="Architecture")+($AL820="Environmental Service")+($AL820="Agriculture, Food Industry and Forestry"))&gt;0,"Science",IF((($AL820="Banking and Finance")+($AL820="Management and Administration")+($AL820="Marketing")+($AL820="Sales")+($AL820="Entrepreneurship")+($AL820="Hospitality and Tourism"))&gt;0,"Commerce",IF((($AL820="Social Sciences and Humanities")+($AL820="Law Studies")+($AL820="Education and Training")+($AL820="Art, Design")+($AL820="Entertainment and Mass Media")+($AL820="Community and Social Service")+($AL820="Personal Care and Services")+($AL820="Government and Public Administration")+($AL820="Defence/ Protective Service")+($AL820="Sports"))&gt;0,"Arts / Humanities",""))))</f>
        <v/>
      </c>
      <c r="BD820" s="5" t="str">
        <f aca="false">IF($B820="","",--(F820&gt;=10)+--(G820&gt;=10)+--(H820&gt;=10)+--(I820&gt;=10)+--(J820&gt;=10)+--(K820&gt;=10)+--(L820&gt;=10)+--(M820&gt;=10)+--(N820&gt;=10)+--(O820&gt;=10))</f>
        <v/>
      </c>
      <c r="BE820" s="5" t="str">
        <f aca="false">IF($B820="","",--(AND(F820&lt;&gt;"",F820&lt;=8))+--(AND(G820&lt;&gt;"",G820&lt;=8))+--(AND(H820&lt;&gt;"",H820&lt;=8))+--(AND(I820&lt;&gt;"",I820&lt;=8))+--(AND(J820&lt;&gt;"",J820&lt;=8))+--(AND(K820&lt;&gt;"",K820&lt;=8))+--(AND(L820&lt;&gt;"",L820&lt;=8))+--(AND(M820&lt;&gt;"",M820&lt;=8))+--(AND(N820&lt;&gt;"",N820&lt;=8))+--(AND(O820&lt;&gt;"",O820&lt;=8)))</f>
        <v/>
      </c>
    </row>
    <row r="821" customFormat="false" ht="15" hidden="false" customHeight="false" outlineLevel="0" collapsed="false">
      <c r="AZ821" s="5" t="str">
        <f aca="false">IF($B821="","",SUMPRODUCT(($AL821:$AO821&lt;&gt;"")*(COUNTIF($AP821:$AX821,$AL821:$AO821)&gt;0)))</f>
        <v/>
      </c>
      <c r="BA821" s="5" t="str">
        <f aca="false">IF($B821="","",IF(AZ821&gt;0,1,0))</f>
        <v/>
      </c>
      <c r="BB821" s="5" t="str">
        <f aca="false">IF($AP821="","",IF((($AP821="Engineering and Technology")+($AP821="Science and Mathematics")+($AP821="Computer Science, IT and Allied Fields")+($AP821="Life Sciences /Medicine and Healthcare")+($AP821="Paramedical")+($AP821="Architecture")+($AP821="Environmental Service")+($AP821="Agriculture, Food Industry and Forestry"))&gt;0,"Science",IF((($AP821="Banking and Finance")+($AP821="Management and Administration")+($AP821="Marketing")+($AP821="Sales")+($AP821="Entrepreneurship")+($AP821="Hospitality and Tourism"))&gt;0,"Commerce",IF((($AP821="Social Sciences and Humanities")+($AP821="Law Studies")+($AP821="Education and Training")+($AP821="Art, Design")+($AP821="Entertainment and Mass Media")+($AP821="Community and Social Service")+($AP821="Personal Care and Services")+($AP821="Government and Public Administration")+($AP821="Defence/ Protective Service")+($AP821="Sports"))&gt;0,"Arts / Humanities",""))))</f>
        <v/>
      </c>
      <c r="BC821" s="5" t="str">
        <f aca="false">IF($AL821="","",IF((($AL821="Engineering and Technology")+($AL821="Science and Mathematics")+($AL821="Computer Science, IT and Allied Fields")+($AL821="Life Sciences /Medicine and Healthcare")+($AL821="Paramedical")+($AL821="Architecture")+($AL821="Environmental Service")+($AL821="Agriculture, Food Industry and Forestry"))&gt;0,"Science",IF((($AL821="Banking and Finance")+($AL821="Management and Administration")+($AL821="Marketing")+($AL821="Sales")+($AL821="Entrepreneurship")+($AL821="Hospitality and Tourism"))&gt;0,"Commerce",IF((($AL821="Social Sciences and Humanities")+($AL821="Law Studies")+($AL821="Education and Training")+($AL821="Art, Design")+($AL821="Entertainment and Mass Media")+($AL821="Community and Social Service")+($AL821="Personal Care and Services")+($AL821="Government and Public Administration")+($AL821="Defence/ Protective Service")+($AL821="Sports"))&gt;0,"Arts / Humanities",""))))</f>
        <v/>
      </c>
      <c r="BD821" s="5" t="str">
        <f aca="false">IF($B821="","",--(F821&gt;=10)+--(G821&gt;=10)+--(H821&gt;=10)+--(I821&gt;=10)+--(J821&gt;=10)+--(K821&gt;=10)+--(L821&gt;=10)+--(M821&gt;=10)+--(N821&gt;=10)+--(O821&gt;=10))</f>
        <v/>
      </c>
      <c r="BE821" s="5" t="str">
        <f aca="false">IF($B821="","",--(AND(F821&lt;&gt;"",F821&lt;=8))+--(AND(G821&lt;&gt;"",G821&lt;=8))+--(AND(H821&lt;&gt;"",H821&lt;=8))+--(AND(I821&lt;&gt;"",I821&lt;=8))+--(AND(J821&lt;&gt;"",J821&lt;=8))+--(AND(K821&lt;&gt;"",K821&lt;=8))+--(AND(L821&lt;&gt;"",L821&lt;=8))+--(AND(M821&lt;&gt;"",M821&lt;=8))+--(AND(N821&lt;&gt;"",N821&lt;=8))+--(AND(O821&lt;&gt;"",O821&lt;=8)))</f>
        <v/>
      </c>
    </row>
    <row r="822" customFormat="false" ht="15" hidden="false" customHeight="false" outlineLevel="0" collapsed="false">
      <c r="AZ822" s="5" t="str">
        <f aca="false">IF($B822="","",SUMPRODUCT(($AL822:$AO822&lt;&gt;"")*(COUNTIF($AP822:$AX822,$AL822:$AO822)&gt;0)))</f>
        <v/>
      </c>
      <c r="BA822" s="5" t="str">
        <f aca="false">IF($B822="","",IF(AZ822&gt;0,1,0))</f>
        <v/>
      </c>
      <c r="BB822" s="5" t="str">
        <f aca="false">IF($AP822="","",IF((($AP822="Engineering and Technology")+($AP822="Science and Mathematics")+($AP822="Computer Science, IT and Allied Fields")+($AP822="Life Sciences /Medicine and Healthcare")+($AP822="Paramedical")+($AP822="Architecture")+($AP822="Environmental Service")+($AP822="Agriculture, Food Industry and Forestry"))&gt;0,"Science",IF((($AP822="Banking and Finance")+($AP822="Management and Administration")+($AP822="Marketing")+($AP822="Sales")+($AP822="Entrepreneurship")+($AP822="Hospitality and Tourism"))&gt;0,"Commerce",IF((($AP822="Social Sciences and Humanities")+($AP822="Law Studies")+($AP822="Education and Training")+($AP822="Art, Design")+($AP822="Entertainment and Mass Media")+($AP822="Community and Social Service")+($AP822="Personal Care and Services")+($AP822="Government and Public Administration")+($AP822="Defence/ Protective Service")+($AP822="Sports"))&gt;0,"Arts / Humanities",""))))</f>
        <v/>
      </c>
      <c r="BC822" s="5" t="str">
        <f aca="false">IF($AL822="","",IF((($AL822="Engineering and Technology")+($AL822="Science and Mathematics")+($AL822="Computer Science, IT and Allied Fields")+($AL822="Life Sciences /Medicine and Healthcare")+($AL822="Paramedical")+($AL822="Architecture")+($AL822="Environmental Service")+($AL822="Agriculture, Food Industry and Forestry"))&gt;0,"Science",IF((($AL822="Banking and Finance")+($AL822="Management and Administration")+($AL822="Marketing")+($AL822="Sales")+($AL822="Entrepreneurship")+($AL822="Hospitality and Tourism"))&gt;0,"Commerce",IF((($AL822="Social Sciences and Humanities")+($AL822="Law Studies")+($AL822="Education and Training")+($AL822="Art, Design")+($AL822="Entertainment and Mass Media")+($AL822="Community and Social Service")+($AL822="Personal Care and Services")+($AL822="Government and Public Administration")+($AL822="Defence/ Protective Service")+($AL822="Sports"))&gt;0,"Arts / Humanities",""))))</f>
        <v/>
      </c>
      <c r="BD822" s="5" t="str">
        <f aca="false">IF($B822="","",--(F822&gt;=10)+--(G822&gt;=10)+--(H822&gt;=10)+--(I822&gt;=10)+--(J822&gt;=10)+--(K822&gt;=10)+--(L822&gt;=10)+--(M822&gt;=10)+--(N822&gt;=10)+--(O822&gt;=10))</f>
        <v/>
      </c>
      <c r="BE822" s="5" t="str">
        <f aca="false">IF($B822="","",--(AND(F822&lt;&gt;"",F822&lt;=8))+--(AND(G822&lt;&gt;"",G822&lt;=8))+--(AND(H822&lt;&gt;"",H822&lt;=8))+--(AND(I822&lt;&gt;"",I822&lt;=8))+--(AND(J822&lt;&gt;"",J822&lt;=8))+--(AND(K822&lt;&gt;"",K822&lt;=8))+--(AND(L822&lt;&gt;"",L822&lt;=8))+--(AND(M822&lt;&gt;"",M822&lt;=8))+--(AND(N822&lt;&gt;"",N822&lt;=8))+--(AND(O822&lt;&gt;"",O822&lt;=8)))</f>
        <v/>
      </c>
    </row>
    <row r="823" customFormat="false" ht="15" hidden="false" customHeight="false" outlineLevel="0" collapsed="false">
      <c r="AZ823" s="5" t="str">
        <f aca="false">IF($B823="","",SUMPRODUCT(($AL823:$AO823&lt;&gt;"")*(COUNTIF($AP823:$AX823,$AL823:$AO823)&gt;0)))</f>
        <v/>
      </c>
      <c r="BA823" s="5" t="str">
        <f aca="false">IF($B823="","",IF(AZ823&gt;0,1,0))</f>
        <v/>
      </c>
      <c r="BB823" s="5" t="str">
        <f aca="false">IF($AP823="","",IF((($AP823="Engineering and Technology")+($AP823="Science and Mathematics")+($AP823="Computer Science, IT and Allied Fields")+($AP823="Life Sciences /Medicine and Healthcare")+($AP823="Paramedical")+($AP823="Architecture")+($AP823="Environmental Service")+($AP823="Agriculture, Food Industry and Forestry"))&gt;0,"Science",IF((($AP823="Banking and Finance")+($AP823="Management and Administration")+($AP823="Marketing")+($AP823="Sales")+($AP823="Entrepreneurship")+($AP823="Hospitality and Tourism"))&gt;0,"Commerce",IF((($AP823="Social Sciences and Humanities")+($AP823="Law Studies")+($AP823="Education and Training")+($AP823="Art, Design")+($AP823="Entertainment and Mass Media")+($AP823="Community and Social Service")+($AP823="Personal Care and Services")+($AP823="Government and Public Administration")+($AP823="Defence/ Protective Service")+($AP823="Sports"))&gt;0,"Arts / Humanities",""))))</f>
        <v/>
      </c>
      <c r="BC823" s="5" t="str">
        <f aca="false">IF($AL823="","",IF((($AL823="Engineering and Technology")+($AL823="Science and Mathematics")+($AL823="Computer Science, IT and Allied Fields")+($AL823="Life Sciences /Medicine and Healthcare")+($AL823="Paramedical")+($AL823="Architecture")+($AL823="Environmental Service")+($AL823="Agriculture, Food Industry and Forestry"))&gt;0,"Science",IF((($AL823="Banking and Finance")+($AL823="Management and Administration")+($AL823="Marketing")+($AL823="Sales")+($AL823="Entrepreneurship")+($AL823="Hospitality and Tourism"))&gt;0,"Commerce",IF((($AL823="Social Sciences and Humanities")+($AL823="Law Studies")+($AL823="Education and Training")+($AL823="Art, Design")+($AL823="Entertainment and Mass Media")+($AL823="Community and Social Service")+($AL823="Personal Care and Services")+($AL823="Government and Public Administration")+($AL823="Defence/ Protective Service")+($AL823="Sports"))&gt;0,"Arts / Humanities",""))))</f>
        <v/>
      </c>
      <c r="BD823" s="5" t="str">
        <f aca="false">IF($B823="","",--(F823&gt;=10)+--(G823&gt;=10)+--(H823&gt;=10)+--(I823&gt;=10)+--(J823&gt;=10)+--(K823&gt;=10)+--(L823&gt;=10)+--(M823&gt;=10)+--(N823&gt;=10)+--(O823&gt;=10))</f>
        <v/>
      </c>
      <c r="BE823" s="5" t="str">
        <f aca="false">IF($B823="","",--(AND(F823&lt;&gt;"",F823&lt;=8))+--(AND(G823&lt;&gt;"",G823&lt;=8))+--(AND(H823&lt;&gt;"",H823&lt;=8))+--(AND(I823&lt;&gt;"",I823&lt;=8))+--(AND(J823&lt;&gt;"",J823&lt;=8))+--(AND(K823&lt;&gt;"",K823&lt;=8))+--(AND(L823&lt;&gt;"",L823&lt;=8))+--(AND(M823&lt;&gt;"",M823&lt;=8))+--(AND(N823&lt;&gt;"",N823&lt;=8))+--(AND(O823&lt;&gt;"",O823&lt;=8)))</f>
        <v/>
      </c>
    </row>
    <row r="824" customFormat="false" ht="15" hidden="false" customHeight="false" outlineLevel="0" collapsed="false">
      <c r="AZ824" s="5" t="str">
        <f aca="false">IF($B824="","",SUMPRODUCT(($AL824:$AO824&lt;&gt;"")*(COUNTIF($AP824:$AX824,$AL824:$AO824)&gt;0)))</f>
        <v/>
      </c>
      <c r="BA824" s="5" t="str">
        <f aca="false">IF($B824="","",IF(AZ824&gt;0,1,0))</f>
        <v/>
      </c>
      <c r="BB824" s="5" t="str">
        <f aca="false">IF($AP824="","",IF((($AP824="Engineering and Technology")+($AP824="Science and Mathematics")+($AP824="Computer Science, IT and Allied Fields")+($AP824="Life Sciences /Medicine and Healthcare")+($AP824="Paramedical")+($AP824="Architecture")+($AP824="Environmental Service")+($AP824="Agriculture, Food Industry and Forestry"))&gt;0,"Science",IF((($AP824="Banking and Finance")+($AP824="Management and Administration")+($AP824="Marketing")+($AP824="Sales")+($AP824="Entrepreneurship")+($AP824="Hospitality and Tourism"))&gt;0,"Commerce",IF((($AP824="Social Sciences and Humanities")+($AP824="Law Studies")+($AP824="Education and Training")+($AP824="Art, Design")+($AP824="Entertainment and Mass Media")+($AP824="Community and Social Service")+($AP824="Personal Care and Services")+($AP824="Government and Public Administration")+($AP824="Defence/ Protective Service")+($AP824="Sports"))&gt;0,"Arts / Humanities",""))))</f>
        <v/>
      </c>
      <c r="BC824" s="5" t="str">
        <f aca="false">IF($AL824="","",IF((($AL824="Engineering and Technology")+($AL824="Science and Mathematics")+($AL824="Computer Science, IT and Allied Fields")+($AL824="Life Sciences /Medicine and Healthcare")+($AL824="Paramedical")+($AL824="Architecture")+($AL824="Environmental Service")+($AL824="Agriculture, Food Industry and Forestry"))&gt;0,"Science",IF((($AL824="Banking and Finance")+($AL824="Management and Administration")+($AL824="Marketing")+($AL824="Sales")+($AL824="Entrepreneurship")+($AL824="Hospitality and Tourism"))&gt;0,"Commerce",IF((($AL824="Social Sciences and Humanities")+($AL824="Law Studies")+($AL824="Education and Training")+($AL824="Art, Design")+($AL824="Entertainment and Mass Media")+($AL824="Community and Social Service")+($AL824="Personal Care and Services")+($AL824="Government and Public Administration")+($AL824="Defence/ Protective Service")+($AL824="Sports"))&gt;0,"Arts / Humanities",""))))</f>
        <v/>
      </c>
      <c r="BD824" s="5" t="str">
        <f aca="false">IF($B824="","",--(F824&gt;=10)+--(G824&gt;=10)+--(H824&gt;=10)+--(I824&gt;=10)+--(J824&gt;=10)+--(K824&gt;=10)+--(L824&gt;=10)+--(M824&gt;=10)+--(N824&gt;=10)+--(O824&gt;=10))</f>
        <v/>
      </c>
      <c r="BE824" s="5" t="str">
        <f aca="false">IF($B824="","",--(AND(F824&lt;&gt;"",F824&lt;=8))+--(AND(G824&lt;&gt;"",G824&lt;=8))+--(AND(H824&lt;&gt;"",H824&lt;=8))+--(AND(I824&lt;&gt;"",I824&lt;=8))+--(AND(J824&lt;&gt;"",J824&lt;=8))+--(AND(K824&lt;&gt;"",K824&lt;=8))+--(AND(L824&lt;&gt;"",L824&lt;=8))+--(AND(M824&lt;&gt;"",M824&lt;=8))+--(AND(N824&lt;&gt;"",N824&lt;=8))+--(AND(O824&lt;&gt;"",O824&lt;=8)))</f>
        <v/>
      </c>
    </row>
    <row r="825" customFormat="false" ht="15" hidden="false" customHeight="false" outlineLevel="0" collapsed="false">
      <c r="AZ825" s="5" t="str">
        <f aca="false">IF($B825="","",SUMPRODUCT(($AL825:$AO825&lt;&gt;"")*(COUNTIF($AP825:$AX825,$AL825:$AO825)&gt;0)))</f>
        <v/>
      </c>
      <c r="BA825" s="5" t="str">
        <f aca="false">IF($B825="","",IF(AZ825&gt;0,1,0))</f>
        <v/>
      </c>
      <c r="BB825" s="5" t="str">
        <f aca="false">IF($AP825="","",IF((($AP825="Engineering and Technology")+($AP825="Science and Mathematics")+($AP825="Computer Science, IT and Allied Fields")+($AP825="Life Sciences /Medicine and Healthcare")+($AP825="Paramedical")+($AP825="Architecture")+($AP825="Environmental Service")+($AP825="Agriculture, Food Industry and Forestry"))&gt;0,"Science",IF((($AP825="Banking and Finance")+($AP825="Management and Administration")+($AP825="Marketing")+($AP825="Sales")+($AP825="Entrepreneurship")+($AP825="Hospitality and Tourism"))&gt;0,"Commerce",IF((($AP825="Social Sciences and Humanities")+($AP825="Law Studies")+($AP825="Education and Training")+($AP825="Art, Design")+($AP825="Entertainment and Mass Media")+($AP825="Community and Social Service")+($AP825="Personal Care and Services")+($AP825="Government and Public Administration")+($AP825="Defence/ Protective Service")+($AP825="Sports"))&gt;0,"Arts / Humanities",""))))</f>
        <v/>
      </c>
      <c r="BC825" s="5" t="str">
        <f aca="false">IF($AL825="","",IF((($AL825="Engineering and Technology")+($AL825="Science and Mathematics")+($AL825="Computer Science, IT and Allied Fields")+($AL825="Life Sciences /Medicine and Healthcare")+($AL825="Paramedical")+($AL825="Architecture")+($AL825="Environmental Service")+($AL825="Agriculture, Food Industry and Forestry"))&gt;0,"Science",IF((($AL825="Banking and Finance")+($AL825="Management and Administration")+($AL825="Marketing")+($AL825="Sales")+($AL825="Entrepreneurship")+($AL825="Hospitality and Tourism"))&gt;0,"Commerce",IF((($AL825="Social Sciences and Humanities")+($AL825="Law Studies")+($AL825="Education and Training")+($AL825="Art, Design")+($AL825="Entertainment and Mass Media")+($AL825="Community and Social Service")+($AL825="Personal Care and Services")+($AL825="Government and Public Administration")+($AL825="Defence/ Protective Service")+($AL825="Sports"))&gt;0,"Arts / Humanities",""))))</f>
        <v/>
      </c>
      <c r="BD825" s="5" t="str">
        <f aca="false">IF($B825="","",--(F825&gt;=10)+--(G825&gt;=10)+--(H825&gt;=10)+--(I825&gt;=10)+--(J825&gt;=10)+--(K825&gt;=10)+--(L825&gt;=10)+--(M825&gt;=10)+--(N825&gt;=10)+--(O825&gt;=10))</f>
        <v/>
      </c>
      <c r="BE825" s="5" t="str">
        <f aca="false">IF($B825="","",--(AND(F825&lt;&gt;"",F825&lt;=8))+--(AND(G825&lt;&gt;"",G825&lt;=8))+--(AND(H825&lt;&gt;"",H825&lt;=8))+--(AND(I825&lt;&gt;"",I825&lt;=8))+--(AND(J825&lt;&gt;"",J825&lt;=8))+--(AND(K825&lt;&gt;"",K825&lt;=8))+--(AND(L825&lt;&gt;"",L825&lt;=8))+--(AND(M825&lt;&gt;"",M825&lt;=8))+--(AND(N825&lt;&gt;"",N825&lt;=8))+--(AND(O825&lt;&gt;"",O825&lt;=8)))</f>
        <v/>
      </c>
    </row>
    <row r="826" customFormat="false" ht="15" hidden="false" customHeight="false" outlineLevel="0" collapsed="false">
      <c r="AZ826" s="5" t="str">
        <f aca="false">IF($B826="","",SUMPRODUCT(($AL826:$AO826&lt;&gt;"")*(COUNTIF($AP826:$AX826,$AL826:$AO826)&gt;0)))</f>
        <v/>
      </c>
      <c r="BA826" s="5" t="str">
        <f aca="false">IF($B826="","",IF(AZ826&gt;0,1,0))</f>
        <v/>
      </c>
      <c r="BB826" s="5" t="str">
        <f aca="false">IF($AP826="","",IF((($AP826="Engineering and Technology")+($AP826="Science and Mathematics")+($AP826="Computer Science, IT and Allied Fields")+($AP826="Life Sciences /Medicine and Healthcare")+($AP826="Paramedical")+($AP826="Architecture")+($AP826="Environmental Service")+($AP826="Agriculture, Food Industry and Forestry"))&gt;0,"Science",IF((($AP826="Banking and Finance")+($AP826="Management and Administration")+($AP826="Marketing")+($AP826="Sales")+($AP826="Entrepreneurship")+($AP826="Hospitality and Tourism"))&gt;0,"Commerce",IF((($AP826="Social Sciences and Humanities")+($AP826="Law Studies")+($AP826="Education and Training")+($AP826="Art, Design")+($AP826="Entertainment and Mass Media")+($AP826="Community and Social Service")+($AP826="Personal Care and Services")+($AP826="Government and Public Administration")+($AP826="Defence/ Protective Service")+($AP826="Sports"))&gt;0,"Arts / Humanities",""))))</f>
        <v/>
      </c>
      <c r="BC826" s="5" t="str">
        <f aca="false">IF($AL826="","",IF((($AL826="Engineering and Technology")+($AL826="Science and Mathematics")+($AL826="Computer Science, IT and Allied Fields")+($AL826="Life Sciences /Medicine and Healthcare")+($AL826="Paramedical")+($AL826="Architecture")+($AL826="Environmental Service")+($AL826="Agriculture, Food Industry and Forestry"))&gt;0,"Science",IF((($AL826="Banking and Finance")+($AL826="Management and Administration")+($AL826="Marketing")+($AL826="Sales")+($AL826="Entrepreneurship")+($AL826="Hospitality and Tourism"))&gt;0,"Commerce",IF((($AL826="Social Sciences and Humanities")+($AL826="Law Studies")+($AL826="Education and Training")+($AL826="Art, Design")+($AL826="Entertainment and Mass Media")+($AL826="Community and Social Service")+($AL826="Personal Care and Services")+($AL826="Government and Public Administration")+($AL826="Defence/ Protective Service")+($AL826="Sports"))&gt;0,"Arts / Humanities",""))))</f>
        <v/>
      </c>
      <c r="BD826" s="5" t="str">
        <f aca="false">IF($B826="","",--(F826&gt;=10)+--(G826&gt;=10)+--(H826&gt;=10)+--(I826&gt;=10)+--(J826&gt;=10)+--(K826&gt;=10)+--(L826&gt;=10)+--(M826&gt;=10)+--(N826&gt;=10)+--(O826&gt;=10))</f>
        <v/>
      </c>
      <c r="BE826" s="5" t="str">
        <f aca="false">IF($B826="","",--(AND(F826&lt;&gt;"",F826&lt;=8))+--(AND(G826&lt;&gt;"",G826&lt;=8))+--(AND(H826&lt;&gt;"",H826&lt;=8))+--(AND(I826&lt;&gt;"",I826&lt;=8))+--(AND(J826&lt;&gt;"",J826&lt;=8))+--(AND(K826&lt;&gt;"",K826&lt;=8))+--(AND(L826&lt;&gt;"",L826&lt;=8))+--(AND(M826&lt;&gt;"",M826&lt;=8))+--(AND(N826&lt;&gt;"",N826&lt;=8))+--(AND(O826&lt;&gt;"",O826&lt;=8)))</f>
        <v/>
      </c>
    </row>
    <row r="827" customFormat="false" ht="15" hidden="false" customHeight="false" outlineLevel="0" collapsed="false">
      <c r="AZ827" s="5" t="str">
        <f aca="false">IF($B827="","",SUMPRODUCT(($AL827:$AO827&lt;&gt;"")*(COUNTIF($AP827:$AX827,$AL827:$AO827)&gt;0)))</f>
        <v/>
      </c>
      <c r="BA827" s="5" t="str">
        <f aca="false">IF($B827="","",IF(AZ827&gt;0,1,0))</f>
        <v/>
      </c>
      <c r="BB827" s="5" t="str">
        <f aca="false">IF($AP827="","",IF((($AP827="Engineering and Technology")+($AP827="Science and Mathematics")+($AP827="Computer Science, IT and Allied Fields")+($AP827="Life Sciences /Medicine and Healthcare")+($AP827="Paramedical")+($AP827="Architecture")+($AP827="Environmental Service")+($AP827="Agriculture, Food Industry and Forestry"))&gt;0,"Science",IF((($AP827="Banking and Finance")+($AP827="Management and Administration")+($AP827="Marketing")+($AP827="Sales")+($AP827="Entrepreneurship")+($AP827="Hospitality and Tourism"))&gt;0,"Commerce",IF((($AP827="Social Sciences and Humanities")+($AP827="Law Studies")+($AP827="Education and Training")+($AP827="Art, Design")+($AP827="Entertainment and Mass Media")+($AP827="Community and Social Service")+($AP827="Personal Care and Services")+($AP827="Government and Public Administration")+($AP827="Defence/ Protective Service")+($AP827="Sports"))&gt;0,"Arts / Humanities",""))))</f>
        <v/>
      </c>
      <c r="BC827" s="5" t="str">
        <f aca="false">IF($AL827="","",IF((($AL827="Engineering and Technology")+($AL827="Science and Mathematics")+($AL827="Computer Science, IT and Allied Fields")+($AL827="Life Sciences /Medicine and Healthcare")+($AL827="Paramedical")+($AL827="Architecture")+($AL827="Environmental Service")+($AL827="Agriculture, Food Industry and Forestry"))&gt;0,"Science",IF((($AL827="Banking and Finance")+($AL827="Management and Administration")+($AL827="Marketing")+($AL827="Sales")+($AL827="Entrepreneurship")+($AL827="Hospitality and Tourism"))&gt;0,"Commerce",IF((($AL827="Social Sciences and Humanities")+($AL827="Law Studies")+($AL827="Education and Training")+($AL827="Art, Design")+($AL827="Entertainment and Mass Media")+($AL827="Community and Social Service")+($AL827="Personal Care and Services")+($AL827="Government and Public Administration")+($AL827="Defence/ Protective Service")+($AL827="Sports"))&gt;0,"Arts / Humanities",""))))</f>
        <v/>
      </c>
      <c r="BD827" s="5" t="str">
        <f aca="false">IF($B827="","",--(F827&gt;=10)+--(G827&gt;=10)+--(H827&gt;=10)+--(I827&gt;=10)+--(J827&gt;=10)+--(K827&gt;=10)+--(L827&gt;=10)+--(M827&gt;=10)+--(N827&gt;=10)+--(O827&gt;=10))</f>
        <v/>
      </c>
      <c r="BE827" s="5" t="str">
        <f aca="false">IF($B827="","",--(AND(F827&lt;&gt;"",F827&lt;=8))+--(AND(G827&lt;&gt;"",G827&lt;=8))+--(AND(H827&lt;&gt;"",H827&lt;=8))+--(AND(I827&lt;&gt;"",I827&lt;=8))+--(AND(J827&lt;&gt;"",J827&lt;=8))+--(AND(K827&lt;&gt;"",K827&lt;=8))+--(AND(L827&lt;&gt;"",L827&lt;=8))+--(AND(M827&lt;&gt;"",M827&lt;=8))+--(AND(N827&lt;&gt;"",N827&lt;=8))+--(AND(O827&lt;&gt;"",O827&lt;=8)))</f>
        <v/>
      </c>
    </row>
    <row r="828" customFormat="false" ht="15" hidden="false" customHeight="false" outlineLevel="0" collapsed="false">
      <c r="AZ828" s="5" t="str">
        <f aca="false">IF($B828="","",SUMPRODUCT(($AL828:$AO828&lt;&gt;"")*(COUNTIF($AP828:$AX828,$AL828:$AO828)&gt;0)))</f>
        <v/>
      </c>
      <c r="BA828" s="5" t="str">
        <f aca="false">IF($B828="","",IF(AZ828&gt;0,1,0))</f>
        <v/>
      </c>
      <c r="BB828" s="5" t="str">
        <f aca="false">IF($AP828="","",IF((($AP828="Engineering and Technology")+($AP828="Science and Mathematics")+($AP828="Computer Science, IT and Allied Fields")+($AP828="Life Sciences /Medicine and Healthcare")+($AP828="Paramedical")+($AP828="Architecture")+($AP828="Environmental Service")+($AP828="Agriculture, Food Industry and Forestry"))&gt;0,"Science",IF((($AP828="Banking and Finance")+($AP828="Management and Administration")+($AP828="Marketing")+($AP828="Sales")+($AP828="Entrepreneurship")+($AP828="Hospitality and Tourism"))&gt;0,"Commerce",IF((($AP828="Social Sciences and Humanities")+($AP828="Law Studies")+($AP828="Education and Training")+($AP828="Art, Design")+($AP828="Entertainment and Mass Media")+($AP828="Community and Social Service")+($AP828="Personal Care and Services")+($AP828="Government and Public Administration")+($AP828="Defence/ Protective Service")+($AP828="Sports"))&gt;0,"Arts / Humanities",""))))</f>
        <v/>
      </c>
      <c r="BC828" s="5" t="str">
        <f aca="false">IF($AL828="","",IF((($AL828="Engineering and Technology")+($AL828="Science and Mathematics")+($AL828="Computer Science, IT and Allied Fields")+($AL828="Life Sciences /Medicine and Healthcare")+($AL828="Paramedical")+($AL828="Architecture")+($AL828="Environmental Service")+($AL828="Agriculture, Food Industry and Forestry"))&gt;0,"Science",IF((($AL828="Banking and Finance")+($AL828="Management and Administration")+($AL828="Marketing")+($AL828="Sales")+($AL828="Entrepreneurship")+($AL828="Hospitality and Tourism"))&gt;0,"Commerce",IF((($AL828="Social Sciences and Humanities")+($AL828="Law Studies")+($AL828="Education and Training")+($AL828="Art, Design")+($AL828="Entertainment and Mass Media")+($AL828="Community and Social Service")+($AL828="Personal Care and Services")+($AL828="Government and Public Administration")+($AL828="Defence/ Protective Service")+($AL828="Sports"))&gt;0,"Arts / Humanities",""))))</f>
        <v/>
      </c>
      <c r="BD828" s="5" t="str">
        <f aca="false">IF($B828="","",--(F828&gt;=10)+--(G828&gt;=10)+--(H828&gt;=10)+--(I828&gt;=10)+--(J828&gt;=10)+--(K828&gt;=10)+--(L828&gt;=10)+--(M828&gt;=10)+--(N828&gt;=10)+--(O828&gt;=10))</f>
        <v/>
      </c>
      <c r="BE828" s="5" t="str">
        <f aca="false">IF($B828="","",--(AND(F828&lt;&gt;"",F828&lt;=8))+--(AND(G828&lt;&gt;"",G828&lt;=8))+--(AND(H828&lt;&gt;"",H828&lt;=8))+--(AND(I828&lt;&gt;"",I828&lt;=8))+--(AND(J828&lt;&gt;"",J828&lt;=8))+--(AND(K828&lt;&gt;"",K828&lt;=8))+--(AND(L828&lt;&gt;"",L828&lt;=8))+--(AND(M828&lt;&gt;"",M828&lt;=8))+--(AND(N828&lt;&gt;"",N828&lt;=8))+--(AND(O828&lt;&gt;"",O828&lt;=8)))</f>
        <v/>
      </c>
    </row>
    <row r="829" customFormat="false" ht="15" hidden="false" customHeight="false" outlineLevel="0" collapsed="false">
      <c r="AZ829" s="5" t="str">
        <f aca="false">IF($B829="","",SUMPRODUCT(($AL829:$AO829&lt;&gt;"")*(COUNTIF($AP829:$AX829,$AL829:$AO829)&gt;0)))</f>
        <v/>
      </c>
      <c r="BA829" s="5" t="str">
        <f aca="false">IF($B829="","",IF(AZ829&gt;0,1,0))</f>
        <v/>
      </c>
      <c r="BB829" s="5" t="str">
        <f aca="false">IF($AP829="","",IF((($AP829="Engineering and Technology")+($AP829="Science and Mathematics")+($AP829="Computer Science, IT and Allied Fields")+($AP829="Life Sciences /Medicine and Healthcare")+($AP829="Paramedical")+($AP829="Architecture")+($AP829="Environmental Service")+($AP829="Agriculture, Food Industry and Forestry"))&gt;0,"Science",IF((($AP829="Banking and Finance")+($AP829="Management and Administration")+($AP829="Marketing")+($AP829="Sales")+($AP829="Entrepreneurship")+($AP829="Hospitality and Tourism"))&gt;0,"Commerce",IF((($AP829="Social Sciences and Humanities")+($AP829="Law Studies")+($AP829="Education and Training")+($AP829="Art, Design")+($AP829="Entertainment and Mass Media")+($AP829="Community and Social Service")+($AP829="Personal Care and Services")+($AP829="Government and Public Administration")+($AP829="Defence/ Protective Service")+($AP829="Sports"))&gt;0,"Arts / Humanities",""))))</f>
        <v/>
      </c>
      <c r="BC829" s="5" t="str">
        <f aca="false">IF($AL829="","",IF((($AL829="Engineering and Technology")+($AL829="Science and Mathematics")+($AL829="Computer Science, IT and Allied Fields")+($AL829="Life Sciences /Medicine and Healthcare")+($AL829="Paramedical")+($AL829="Architecture")+($AL829="Environmental Service")+($AL829="Agriculture, Food Industry and Forestry"))&gt;0,"Science",IF((($AL829="Banking and Finance")+($AL829="Management and Administration")+($AL829="Marketing")+($AL829="Sales")+($AL829="Entrepreneurship")+($AL829="Hospitality and Tourism"))&gt;0,"Commerce",IF((($AL829="Social Sciences and Humanities")+($AL829="Law Studies")+($AL829="Education and Training")+($AL829="Art, Design")+($AL829="Entertainment and Mass Media")+($AL829="Community and Social Service")+($AL829="Personal Care and Services")+($AL829="Government and Public Administration")+($AL829="Defence/ Protective Service")+($AL829="Sports"))&gt;0,"Arts / Humanities",""))))</f>
        <v/>
      </c>
      <c r="BD829" s="5" t="str">
        <f aca="false">IF($B829="","",--(F829&gt;=10)+--(G829&gt;=10)+--(H829&gt;=10)+--(I829&gt;=10)+--(J829&gt;=10)+--(K829&gt;=10)+--(L829&gt;=10)+--(M829&gt;=10)+--(N829&gt;=10)+--(O829&gt;=10))</f>
        <v/>
      </c>
      <c r="BE829" s="5" t="str">
        <f aca="false">IF($B829="","",--(AND(F829&lt;&gt;"",F829&lt;=8))+--(AND(G829&lt;&gt;"",G829&lt;=8))+--(AND(H829&lt;&gt;"",H829&lt;=8))+--(AND(I829&lt;&gt;"",I829&lt;=8))+--(AND(J829&lt;&gt;"",J829&lt;=8))+--(AND(K829&lt;&gt;"",K829&lt;=8))+--(AND(L829&lt;&gt;"",L829&lt;=8))+--(AND(M829&lt;&gt;"",M829&lt;=8))+--(AND(N829&lt;&gt;"",N829&lt;=8))+--(AND(O829&lt;&gt;"",O829&lt;=8)))</f>
        <v/>
      </c>
    </row>
    <row r="830" customFormat="false" ht="15" hidden="false" customHeight="false" outlineLevel="0" collapsed="false">
      <c r="AZ830" s="5" t="str">
        <f aca="false">IF($B830="","",SUMPRODUCT(($AL830:$AO830&lt;&gt;"")*(COUNTIF($AP830:$AX830,$AL830:$AO830)&gt;0)))</f>
        <v/>
      </c>
      <c r="BA830" s="5" t="str">
        <f aca="false">IF($B830="","",IF(AZ830&gt;0,1,0))</f>
        <v/>
      </c>
      <c r="BB830" s="5" t="str">
        <f aca="false">IF($AP830="","",IF((($AP830="Engineering and Technology")+($AP830="Science and Mathematics")+($AP830="Computer Science, IT and Allied Fields")+($AP830="Life Sciences /Medicine and Healthcare")+($AP830="Paramedical")+($AP830="Architecture")+($AP830="Environmental Service")+($AP830="Agriculture, Food Industry and Forestry"))&gt;0,"Science",IF((($AP830="Banking and Finance")+($AP830="Management and Administration")+($AP830="Marketing")+($AP830="Sales")+($AP830="Entrepreneurship")+($AP830="Hospitality and Tourism"))&gt;0,"Commerce",IF((($AP830="Social Sciences and Humanities")+($AP830="Law Studies")+($AP830="Education and Training")+($AP830="Art, Design")+($AP830="Entertainment and Mass Media")+($AP830="Community and Social Service")+($AP830="Personal Care and Services")+($AP830="Government and Public Administration")+($AP830="Defence/ Protective Service")+($AP830="Sports"))&gt;0,"Arts / Humanities",""))))</f>
        <v/>
      </c>
      <c r="BC830" s="5" t="str">
        <f aca="false">IF($AL830="","",IF((($AL830="Engineering and Technology")+($AL830="Science and Mathematics")+($AL830="Computer Science, IT and Allied Fields")+($AL830="Life Sciences /Medicine and Healthcare")+($AL830="Paramedical")+($AL830="Architecture")+($AL830="Environmental Service")+($AL830="Agriculture, Food Industry and Forestry"))&gt;0,"Science",IF((($AL830="Banking and Finance")+($AL830="Management and Administration")+($AL830="Marketing")+($AL830="Sales")+($AL830="Entrepreneurship")+($AL830="Hospitality and Tourism"))&gt;0,"Commerce",IF((($AL830="Social Sciences and Humanities")+($AL830="Law Studies")+($AL830="Education and Training")+($AL830="Art, Design")+($AL830="Entertainment and Mass Media")+($AL830="Community and Social Service")+($AL830="Personal Care and Services")+($AL830="Government and Public Administration")+($AL830="Defence/ Protective Service")+($AL830="Sports"))&gt;0,"Arts / Humanities",""))))</f>
        <v/>
      </c>
      <c r="BD830" s="5" t="str">
        <f aca="false">IF($B830="","",--(F830&gt;=10)+--(G830&gt;=10)+--(H830&gt;=10)+--(I830&gt;=10)+--(J830&gt;=10)+--(K830&gt;=10)+--(L830&gt;=10)+--(M830&gt;=10)+--(N830&gt;=10)+--(O830&gt;=10))</f>
        <v/>
      </c>
      <c r="BE830" s="5" t="str">
        <f aca="false">IF($B830="","",--(AND(F830&lt;&gt;"",F830&lt;=8))+--(AND(G830&lt;&gt;"",G830&lt;=8))+--(AND(H830&lt;&gt;"",H830&lt;=8))+--(AND(I830&lt;&gt;"",I830&lt;=8))+--(AND(J830&lt;&gt;"",J830&lt;=8))+--(AND(K830&lt;&gt;"",K830&lt;=8))+--(AND(L830&lt;&gt;"",L830&lt;=8))+--(AND(M830&lt;&gt;"",M830&lt;=8))+--(AND(N830&lt;&gt;"",N830&lt;=8))+--(AND(O830&lt;&gt;"",O830&lt;=8)))</f>
        <v/>
      </c>
    </row>
    <row r="831" customFormat="false" ht="15" hidden="false" customHeight="false" outlineLevel="0" collapsed="false">
      <c r="AZ831" s="5" t="str">
        <f aca="false">IF($B831="","",SUMPRODUCT(($AL831:$AO831&lt;&gt;"")*(COUNTIF($AP831:$AX831,$AL831:$AO831)&gt;0)))</f>
        <v/>
      </c>
      <c r="BA831" s="5" t="str">
        <f aca="false">IF($B831="","",IF(AZ831&gt;0,1,0))</f>
        <v/>
      </c>
      <c r="BB831" s="5" t="str">
        <f aca="false">IF($AP831="","",IF((($AP831="Engineering and Technology")+($AP831="Science and Mathematics")+($AP831="Computer Science, IT and Allied Fields")+($AP831="Life Sciences /Medicine and Healthcare")+($AP831="Paramedical")+($AP831="Architecture")+($AP831="Environmental Service")+($AP831="Agriculture, Food Industry and Forestry"))&gt;0,"Science",IF((($AP831="Banking and Finance")+($AP831="Management and Administration")+($AP831="Marketing")+($AP831="Sales")+($AP831="Entrepreneurship")+($AP831="Hospitality and Tourism"))&gt;0,"Commerce",IF((($AP831="Social Sciences and Humanities")+($AP831="Law Studies")+($AP831="Education and Training")+($AP831="Art, Design")+($AP831="Entertainment and Mass Media")+($AP831="Community and Social Service")+($AP831="Personal Care and Services")+($AP831="Government and Public Administration")+($AP831="Defence/ Protective Service")+($AP831="Sports"))&gt;0,"Arts / Humanities",""))))</f>
        <v/>
      </c>
      <c r="BC831" s="5" t="str">
        <f aca="false">IF($AL831="","",IF((($AL831="Engineering and Technology")+($AL831="Science and Mathematics")+($AL831="Computer Science, IT and Allied Fields")+($AL831="Life Sciences /Medicine and Healthcare")+($AL831="Paramedical")+($AL831="Architecture")+($AL831="Environmental Service")+($AL831="Agriculture, Food Industry and Forestry"))&gt;0,"Science",IF((($AL831="Banking and Finance")+($AL831="Management and Administration")+($AL831="Marketing")+($AL831="Sales")+($AL831="Entrepreneurship")+($AL831="Hospitality and Tourism"))&gt;0,"Commerce",IF((($AL831="Social Sciences and Humanities")+($AL831="Law Studies")+($AL831="Education and Training")+($AL831="Art, Design")+($AL831="Entertainment and Mass Media")+($AL831="Community and Social Service")+($AL831="Personal Care and Services")+($AL831="Government and Public Administration")+($AL831="Defence/ Protective Service")+($AL831="Sports"))&gt;0,"Arts / Humanities",""))))</f>
        <v/>
      </c>
      <c r="BD831" s="5" t="str">
        <f aca="false">IF($B831="","",--(F831&gt;=10)+--(G831&gt;=10)+--(H831&gt;=10)+--(I831&gt;=10)+--(J831&gt;=10)+--(K831&gt;=10)+--(L831&gt;=10)+--(M831&gt;=10)+--(N831&gt;=10)+--(O831&gt;=10))</f>
        <v/>
      </c>
      <c r="BE831" s="5" t="str">
        <f aca="false">IF($B831="","",--(AND(F831&lt;&gt;"",F831&lt;=8))+--(AND(G831&lt;&gt;"",G831&lt;=8))+--(AND(H831&lt;&gt;"",H831&lt;=8))+--(AND(I831&lt;&gt;"",I831&lt;=8))+--(AND(J831&lt;&gt;"",J831&lt;=8))+--(AND(K831&lt;&gt;"",K831&lt;=8))+--(AND(L831&lt;&gt;"",L831&lt;=8))+--(AND(M831&lt;&gt;"",M831&lt;=8))+--(AND(N831&lt;&gt;"",N831&lt;=8))+--(AND(O831&lt;&gt;"",O831&lt;=8)))</f>
        <v/>
      </c>
    </row>
    <row r="832" customFormat="false" ht="15" hidden="false" customHeight="false" outlineLevel="0" collapsed="false">
      <c r="AZ832" s="5" t="str">
        <f aca="false">IF($B832="","",SUMPRODUCT(($AL832:$AO832&lt;&gt;"")*(COUNTIF($AP832:$AX832,$AL832:$AO832)&gt;0)))</f>
        <v/>
      </c>
      <c r="BA832" s="5" t="str">
        <f aca="false">IF($B832="","",IF(AZ832&gt;0,1,0))</f>
        <v/>
      </c>
      <c r="BB832" s="5" t="str">
        <f aca="false">IF($AP832="","",IF((($AP832="Engineering and Technology")+($AP832="Science and Mathematics")+($AP832="Computer Science, IT and Allied Fields")+($AP832="Life Sciences /Medicine and Healthcare")+($AP832="Paramedical")+($AP832="Architecture")+($AP832="Environmental Service")+($AP832="Agriculture, Food Industry and Forestry"))&gt;0,"Science",IF((($AP832="Banking and Finance")+($AP832="Management and Administration")+($AP832="Marketing")+($AP832="Sales")+($AP832="Entrepreneurship")+($AP832="Hospitality and Tourism"))&gt;0,"Commerce",IF((($AP832="Social Sciences and Humanities")+($AP832="Law Studies")+($AP832="Education and Training")+($AP832="Art, Design")+($AP832="Entertainment and Mass Media")+($AP832="Community and Social Service")+($AP832="Personal Care and Services")+($AP832="Government and Public Administration")+($AP832="Defence/ Protective Service")+($AP832="Sports"))&gt;0,"Arts / Humanities",""))))</f>
        <v/>
      </c>
      <c r="BC832" s="5" t="str">
        <f aca="false">IF($AL832="","",IF((($AL832="Engineering and Technology")+($AL832="Science and Mathematics")+($AL832="Computer Science, IT and Allied Fields")+($AL832="Life Sciences /Medicine and Healthcare")+($AL832="Paramedical")+($AL832="Architecture")+($AL832="Environmental Service")+($AL832="Agriculture, Food Industry and Forestry"))&gt;0,"Science",IF((($AL832="Banking and Finance")+($AL832="Management and Administration")+($AL832="Marketing")+($AL832="Sales")+($AL832="Entrepreneurship")+($AL832="Hospitality and Tourism"))&gt;0,"Commerce",IF((($AL832="Social Sciences and Humanities")+($AL832="Law Studies")+($AL832="Education and Training")+($AL832="Art, Design")+($AL832="Entertainment and Mass Media")+($AL832="Community and Social Service")+($AL832="Personal Care and Services")+($AL832="Government and Public Administration")+($AL832="Defence/ Protective Service")+($AL832="Sports"))&gt;0,"Arts / Humanities",""))))</f>
        <v/>
      </c>
      <c r="BD832" s="5" t="str">
        <f aca="false">IF($B832="","",--(F832&gt;=10)+--(G832&gt;=10)+--(H832&gt;=10)+--(I832&gt;=10)+--(J832&gt;=10)+--(K832&gt;=10)+--(L832&gt;=10)+--(M832&gt;=10)+--(N832&gt;=10)+--(O832&gt;=10))</f>
        <v/>
      </c>
      <c r="BE832" s="5" t="str">
        <f aca="false">IF($B832="","",--(AND(F832&lt;&gt;"",F832&lt;=8))+--(AND(G832&lt;&gt;"",G832&lt;=8))+--(AND(H832&lt;&gt;"",H832&lt;=8))+--(AND(I832&lt;&gt;"",I832&lt;=8))+--(AND(J832&lt;&gt;"",J832&lt;=8))+--(AND(K832&lt;&gt;"",K832&lt;=8))+--(AND(L832&lt;&gt;"",L832&lt;=8))+--(AND(M832&lt;&gt;"",M832&lt;=8))+--(AND(N832&lt;&gt;"",N832&lt;=8))+--(AND(O832&lt;&gt;"",O832&lt;=8)))</f>
        <v/>
      </c>
    </row>
    <row r="833" customFormat="false" ht="15" hidden="false" customHeight="false" outlineLevel="0" collapsed="false">
      <c r="AZ833" s="5" t="str">
        <f aca="false">IF($B833="","",SUMPRODUCT(($AL833:$AO833&lt;&gt;"")*(COUNTIF($AP833:$AX833,$AL833:$AO833)&gt;0)))</f>
        <v/>
      </c>
      <c r="BA833" s="5" t="str">
        <f aca="false">IF($B833="","",IF(AZ833&gt;0,1,0))</f>
        <v/>
      </c>
      <c r="BB833" s="5" t="str">
        <f aca="false">IF($AP833="","",IF((($AP833="Engineering and Technology")+($AP833="Science and Mathematics")+($AP833="Computer Science, IT and Allied Fields")+($AP833="Life Sciences /Medicine and Healthcare")+($AP833="Paramedical")+($AP833="Architecture")+($AP833="Environmental Service")+($AP833="Agriculture, Food Industry and Forestry"))&gt;0,"Science",IF((($AP833="Banking and Finance")+($AP833="Management and Administration")+($AP833="Marketing")+($AP833="Sales")+($AP833="Entrepreneurship")+($AP833="Hospitality and Tourism"))&gt;0,"Commerce",IF((($AP833="Social Sciences and Humanities")+($AP833="Law Studies")+($AP833="Education and Training")+($AP833="Art, Design")+($AP833="Entertainment and Mass Media")+($AP833="Community and Social Service")+($AP833="Personal Care and Services")+($AP833="Government and Public Administration")+($AP833="Defence/ Protective Service")+($AP833="Sports"))&gt;0,"Arts / Humanities",""))))</f>
        <v/>
      </c>
      <c r="BC833" s="5" t="str">
        <f aca="false">IF($AL833="","",IF((($AL833="Engineering and Technology")+($AL833="Science and Mathematics")+($AL833="Computer Science, IT and Allied Fields")+($AL833="Life Sciences /Medicine and Healthcare")+($AL833="Paramedical")+($AL833="Architecture")+($AL833="Environmental Service")+($AL833="Agriculture, Food Industry and Forestry"))&gt;0,"Science",IF((($AL833="Banking and Finance")+($AL833="Management and Administration")+($AL833="Marketing")+($AL833="Sales")+($AL833="Entrepreneurship")+($AL833="Hospitality and Tourism"))&gt;0,"Commerce",IF((($AL833="Social Sciences and Humanities")+($AL833="Law Studies")+($AL833="Education and Training")+($AL833="Art, Design")+($AL833="Entertainment and Mass Media")+($AL833="Community and Social Service")+($AL833="Personal Care and Services")+($AL833="Government and Public Administration")+($AL833="Defence/ Protective Service")+($AL833="Sports"))&gt;0,"Arts / Humanities",""))))</f>
        <v/>
      </c>
      <c r="BD833" s="5" t="str">
        <f aca="false">IF($B833="","",--(F833&gt;=10)+--(G833&gt;=10)+--(H833&gt;=10)+--(I833&gt;=10)+--(J833&gt;=10)+--(K833&gt;=10)+--(L833&gt;=10)+--(M833&gt;=10)+--(N833&gt;=10)+--(O833&gt;=10))</f>
        <v/>
      </c>
      <c r="BE833" s="5" t="str">
        <f aca="false">IF($B833="","",--(AND(F833&lt;&gt;"",F833&lt;=8))+--(AND(G833&lt;&gt;"",G833&lt;=8))+--(AND(H833&lt;&gt;"",H833&lt;=8))+--(AND(I833&lt;&gt;"",I833&lt;=8))+--(AND(J833&lt;&gt;"",J833&lt;=8))+--(AND(K833&lt;&gt;"",K833&lt;=8))+--(AND(L833&lt;&gt;"",L833&lt;=8))+--(AND(M833&lt;&gt;"",M833&lt;=8))+--(AND(N833&lt;&gt;"",N833&lt;=8))+--(AND(O833&lt;&gt;"",O833&lt;=8)))</f>
        <v/>
      </c>
    </row>
    <row r="834" customFormat="false" ht="15" hidden="false" customHeight="false" outlineLevel="0" collapsed="false">
      <c r="AZ834" s="5" t="str">
        <f aca="false">IF($B834="","",SUMPRODUCT(($AL834:$AO834&lt;&gt;"")*(COUNTIF($AP834:$AX834,$AL834:$AO834)&gt;0)))</f>
        <v/>
      </c>
      <c r="BA834" s="5" t="str">
        <f aca="false">IF($B834="","",IF(AZ834&gt;0,1,0))</f>
        <v/>
      </c>
      <c r="BB834" s="5" t="str">
        <f aca="false">IF($AP834="","",IF((($AP834="Engineering and Technology")+($AP834="Science and Mathematics")+($AP834="Computer Science, IT and Allied Fields")+($AP834="Life Sciences /Medicine and Healthcare")+($AP834="Paramedical")+($AP834="Architecture")+($AP834="Environmental Service")+($AP834="Agriculture, Food Industry and Forestry"))&gt;0,"Science",IF((($AP834="Banking and Finance")+($AP834="Management and Administration")+($AP834="Marketing")+($AP834="Sales")+($AP834="Entrepreneurship")+($AP834="Hospitality and Tourism"))&gt;0,"Commerce",IF((($AP834="Social Sciences and Humanities")+($AP834="Law Studies")+($AP834="Education and Training")+($AP834="Art, Design")+($AP834="Entertainment and Mass Media")+($AP834="Community and Social Service")+($AP834="Personal Care and Services")+($AP834="Government and Public Administration")+($AP834="Defence/ Protective Service")+($AP834="Sports"))&gt;0,"Arts / Humanities",""))))</f>
        <v/>
      </c>
      <c r="BC834" s="5" t="str">
        <f aca="false">IF($AL834="","",IF((($AL834="Engineering and Technology")+($AL834="Science and Mathematics")+($AL834="Computer Science, IT and Allied Fields")+($AL834="Life Sciences /Medicine and Healthcare")+($AL834="Paramedical")+($AL834="Architecture")+($AL834="Environmental Service")+($AL834="Agriculture, Food Industry and Forestry"))&gt;0,"Science",IF((($AL834="Banking and Finance")+($AL834="Management and Administration")+($AL834="Marketing")+($AL834="Sales")+($AL834="Entrepreneurship")+($AL834="Hospitality and Tourism"))&gt;0,"Commerce",IF((($AL834="Social Sciences and Humanities")+($AL834="Law Studies")+($AL834="Education and Training")+($AL834="Art, Design")+($AL834="Entertainment and Mass Media")+($AL834="Community and Social Service")+($AL834="Personal Care and Services")+($AL834="Government and Public Administration")+($AL834="Defence/ Protective Service")+($AL834="Sports"))&gt;0,"Arts / Humanities",""))))</f>
        <v/>
      </c>
      <c r="BD834" s="5" t="str">
        <f aca="false">IF($B834="","",--(F834&gt;=10)+--(G834&gt;=10)+--(H834&gt;=10)+--(I834&gt;=10)+--(J834&gt;=10)+--(K834&gt;=10)+--(L834&gt;=10)+--(M834&gt;=10)+--(N834&gt;=10)+--(O834&gt;=10))</f>
        <v/>
      </c>
      <c r="BE834" s="5" t="str">
        <f aca="false">IF($B834="","",--(AND(F834&lt;&gt;"",F834&lt;=8))+--(AND(G834&lt;&gt;"",G834&lt;=8))+--(AND(H834&lt;&gt;"",H834&lt;=8))+--(AND(I834&lt;&gt;"",I834&lt;=8))+--(AND(J834&lt;&gt;"",J834&lt;=8))+--(AND(K834&lt;&gt;"",K834&lt;=8))+--(AND(L834&lt;&gt;"",L834&lt;=8))+--(AND(M834&lt;&gt;"",M834&lt;=8))+--(AND(N834&lt;&gt;"",N834&lt;=8))+--(AND(O834&lt;&gt;"",O834&lt;=8)))</f>
        <v/>
      </c>
    </row>
    <row r="835" customFormat="false" ht="15" hidden="false" customHeight="false" outlineLevel="0" collapsed="false">
      <c r="AZ835" s="5" t="str">
        <f aca="false">IF($B835="","",SUMPRODUCT(($AL835:$AO835&lt;&gt;"")*(COUNTIF($AP835:$AX835,$AL835:$AO835)&gt;0)))</f>
        <v/>
      </c>
      <c r="BA835" s="5" t="str">
        <f aca="false">IF($B835="","",IF(AZ835&gt;0,1,0))</f>
        <v/>
      </c>
      <c r="BB835" s="5" t="str">
        <f aca="false">IF($AP835="","",IF((($AP835="Engineering and Technology")+($AP835="Science and Mathematics")+($AP835="Computer Science, IT and Allied Fields")+($AP835="Life Sciences /Medicine and Healthcare")+($AP835="Paramedical")+($AP835="Architecture")+($AP835="Environmental Service")+($AP835="Agriculture, Food Industry and Forestry"))&gt;0,"Science",IF((($AP835="Banking and Finance")+($AP835="Management and Administration")+($AP835="Marketing")+($AP835="Sales")+($AP835="Entrepreneurship")+($AP835="Hospitality and Tourism"))&gt;0,"Commerce",IF((($AP835="Social Sciences and Humanities")+($AP835="Law Studies")+($AP835="Education and Training")+($AP835="Art, Design")+($AP835="Entertainment and Mass Media")+($AP835="Community and Social Service")+($AP835="Personal Care and Services")+($AP835="Government and Public Administration")+($AP835="Defence/ Protective Service")+($AP835="Sports"))&gt;0,"Arts / Humanities",""))))</f>
        <v/>
      </c>
      <c r="BC835" s="5" t="str">
        <f aca="false">IF($AL835="","",IF((($AL835="Engineering and Technology")+($AL835="Science and Mathematics")+($AL835="Computer Science, IT and Allied Fields")+($AL835="Life Sciences /Medicine and Healthcare")+($AL835="Paramedical")+($AL835="Architecture")+($AL835="Environmental Service")+($AL835="Agriculture, Food Industry and Forestry"))&gt;0,"Science",IF((($AL835="Banking and Finance")+($AL835="Management and Administration")+($AL835="Marketing")+($AL835="Sales")+($AL835="Entrepreneurship")+($AL835="Hospitality and Tourism"))&gt;0,"Commerce",IF((($AL835="Social Sciences and Humanities")+($AL835="Law Studies")+($AL835="Education and Training")+($AL835="Art, Design")+($AL835="Entertainment and Mass Media")+($AL835="Community and Social Service")+($AL835="Personal Care and Services")+($AL835="Government and Public Administration")+($AL835="Defence/ Protective Service")+($AL835="Sports"))&gt;0,"Arts / Humanities",""))))</f>
        <v/>
      </c>
      <c r="BD835" s="5" t="str">
        <f aca="false">IF($B835="","",--(F835&gt;=10)+--(G835&gt;=10)+--(H835&gt;=10)+--(I835&gt;=10)+--(J835&gt;=10)+--(K835&gt;=10)+--(L835&gt;=10)+--(M835&gt;=10)+--(N835&gt;=10)+--(O835&gt;=10))</f>
        <v/>
      </c>
      <c r="BE835" s="5" t="str">
        <f aca="false">IF($B835="","",--(AND(F835&lt;&gt;"",F835&lt;=8))+--(AND(G835&lt;&gt;"",G835&lt;=8))+--(AND(H835&lt;&gt;"",H835&lt;=8))+--(AND(I835&lt;&gt;"",I835&lt;=8))+--(AND(J835&lt;&gt;"",J835&lt;=8))+--(AND(K835&lt;&gt;"",K835&lt;=8))+--(AND(L835&lt;&gt;"",L835&lt;=8))+--(AND(M835&lt;&gt;"",M835&lt;=8))+--(AND(N835&lt;&gt;"",N835&lt;=8))+--(AND(O835&lt;&gt;"",O835&lt;=8)))</f>
        <v/>
      </c>
    </row>
    <row r="836" customFormat="false" ht="15" hidden="false" customHeight="false" outlineLevel="0" collapsed="false">
      <c r="AZ836" s="5" t="str">
        <f aca="false">IF($B836="","",SUMPRODUCT(($AL836:$AO836&lt;&gt;"")*(COUNTIF($AP836:$AX836,$AL836:$AO836)&gt;0)))</f>
        <v/>
      </c>
      <c r="BA836" s="5" t="str">
        <f aca="false">IF($B836="","",IF(AZ836&gt;0,1,0))</f>
        <v/>
      </c>
      <c r="BB836" s="5" t="str">
        <f aca="false">IF($AP836="","",IF((($AP836="Engineering and Technology")+($AP836="Science and Mathematics")+($AP836="Computer Science, IT and Allied Fields")+($AP836="Life Sciences /Medicine and Healthcare")+($AP836="Paramedical")+($AP836="Architecture")+($AP836="Environmental Service")+($AP836="Agriculture, Food Industry and Forestry"))&gt;0,"Science",IF((($AP836="Banking and Finance")+($AP836="Management and Administration")+($AP836="Marketing")+($AP836="Sales")+($AP836="Entrepreneurship")+($AP836="Hospitality and Tourism"))&gt;0,"Commerce",IF((($AP836="Social Sciences and Humanities")+($AP836="Law Studies")+($AP836="Education and Training")+($AP836="Art, Design")+($AP836="Entertainment and Mass Media")+($AP836="Community and Social Service")+($AP836="Personal Care and Services")+($AP836="Government and Public Administration")+($AP836="Defence/ Protective Service")+($AP836="Sports"))&gt;0,"Arts / Humanities",""))))</f>
        <v/>
      </c>
      <c r="BC836" s="5" t="str">
        <f aca="false">IF($AL836="","",IF((($AL836="Engineering and Technology")+($AL836="Science and Mathematics")+($AL836="Computer Science, IT and Allied Fields")+($AL836="Life Sciences /Medicine and Healthcare")+($AL836="Paramedical")+($AL836="Architecture")+($AL836="Environmental Service")+($AL836="Agriculture, Food Industry and Forestry"))&gt;0,"Science",IF((($AL836="Banking and Finance")+($AL836="Management and Administration")+($AL836="Marketing")+($AL836="Sales")+($AL836="Entrepreneurship")+($AL836="Hospitality and Tourism"))&gt;0,"Commerce",IF((($AL836="Social Sciences and Humanities")+($AL836="Law Studies")+($AL836="Education and Training")+($AL836="Art, Design")+($AL836="Entertainment and Mass Media")+($AL836="Community and Social Service")+($AL836="Personal Care and Services")+($AL836="Government and Public Administration")+($AL836="Defence/ Protective Service")+($AL836="Sports"))&gt;0,"Arts / Humanities",""))))</f>
        <v/>
      </c>
      <c r="BD836" s="5" t="str">
        <f aca="false">IF($B836="","",--(F836&gt;=10)+--(G836&gt;=10)+--(H836&gt;=10)+--(I836&gt;=10)+--(J836&gt;=10)+--(K836&gt;=10)+--(L836&gt;=10)+--(M836&gt;=10)+--(N836&gt;=10)+--(O836&gt;=10))</f>
        <v/>
      </c>
      <c r="BE836" s="5" t="str">
        <f aca="false">IF($B836="","",--(AND(F836&lt;&gt;"",F836&lt;=8))+--(AND(G836&lt;&gt;"",G836&lt;=8))+--(AND(H836&lt;&gt;"",H836&lt;=8))+--(AND(I836&lt;&gt;"",I836&lt;=8))+--(AND(J836&lt;&gt;"",J836&lt;=8))+--(AND(K836&lt;&gt;"",K836&lt;=8))+--(AND(L836&lt;&gt;"",L836&lt;=8))+--(AND(M836&lt;&gt;"",M836&lt;=8))+--(AND(N836&lt;&gt;"",N836&lt;=8))+--(AND(O836&lt;&gt;"",O836&lt;=8)))</f>
        <v/>
      </c>
    </row>
    <row r="837" customFormat="false" ht="15" hidden="false" customHeight="false" outlineLevel="0" collapsed="false">
      <c r="AZ837" s="5" t="str">
        <f aca="false">IF($B837="","",SUMPRODUCT(($AL837:$AO837&lt;&gt;"")*(COUNTIF($AP837:$AX837,$AL837:$AO837)&gt;0)))</f>
        <v/>
      </c>
      <c r="BA837" s="5" t="str">
        <f aca="false">IF($B837="","",IF(AZ837&gt;0,1,0))</f>
        <v/>
      </c>
      <c r="BB837" s="5" t="str">
        <f aca="false">IF($AP837="","",IF((($AP837="Engineering and Technology")+($AP837="Science and Mathematics")+($AP837="Computer Science, IT and Allied Fields")+($AP837="Life Sciences /Medicine and Healthcare")+($AP837="Paramedical")+($AP837="Architecture")+($AP837="Environmental Service")+($AP837="Agriculture, Food Industry and Forestry"))&gt;0,"Science",IF((($AP837="Banking and Finance")+($AP837="Management and Administration")+($AP837="Marketing")+($AP837="Sales")+($AP837="Entrepreneurship")+($AP837="Hospitality and Tourism"))&gt;0,"Commerce",IF((($AP837="Social Sciences and Humanities")+($AP837="Law Studies")+($AP837="Education and Training")+($AP837="Art, Design")+($AP837="Entertainment and Mass Media")+($AP837="Community and Social Service")+($AP837="Personal Care and Services")+($AP837="Government and Public Administration")+($AP837="Defence/ Protective Service")+($AP837="Sports"))&gt;0,"Arts / Humanities",""))))</f>
        <v/>
      </c>
      <c r="BC837" s="5" t="str">
        <f aca="false">IF($AL837="","",IF((($AL837="Engineering and Technology")+($AL837="Science and Mathematics")+($AL837="Computer Science, IT and Allied Fields")+($AL837="Life Sciences /Medicine and Healthcare")+($AL837="Paramedical")+($AL837="Architecture")+($AL837="Environmental Service")+($AL837="Agriculture, Food Industry and Forestry"))&gt;0,"Science",IF((($AL837="Banking and Finance")+($AL837="Management and Administration")+($AL837="Marketing")+($AL837="Sales")+($AL837="Entrepreneurship")+($AL837="Hospitality and Tourism"))&gt;0,"Commerce",IF((($AL837="Social Sciences and Humanities")+($AL837="Law Studies")+($AL837="Education and Training")+($AL837="Art, Design")+($AL837="Entertainment and Mass Media")+($AL837="Community and Social Service")+($AL837="Personal Care and Services")+($AL837="Government and Public Administration")+($AL837="Defence/ Protective Service")+($AL837="Sports"))&gt;0,"Arts / Humanities",""))))</f>
        <v/>
      </c>
      <c r="BD837" s="5" t="str">
        <f aca="false">IF($B837="","",--(F837&gt;=10)+--(G837&gt;=10)+--(H837&gt;=10)+--(I837&gt;=10)+--(J837&gt;=10)+--(K837&gt;=10)+--(L837&gt;=10)+--(M837&gt;=10)+--(N837&gt;=10)+--(O837&gt;=10))</f>
        <v/>
      </c>
      <c r="BE837" s="5" t="str">
        <f aca="false">IF($B837="","",--(AND(F837&lt;&gt;"",F837&lt;=8))+--(AND(G837&lt;&gt;"",G837&lt;=8))+--(AND(H837&lt;&gt;"",H837&lt;=8))+--(AND(I837&lt;&gt;"",I837&lt;=8))+--(AND(J837&lt;&gt;"",J837&lt;=8))+--(AND(K837&lt;&gt;"",K837&lt;=8))+--(AND(L837&lt;&gt;"",L837&lt;=8))+--(AND(M837&lt;&gt;"",M837&lt;=8))+--(AND(N837&lt;&gt;"",N837&lt;=8))+--(AND(O837&lt;&gt;"",O837&lt;=8)))</f>
        <v/>
      </c>
    </row>
    <row r="838" customFormat="false" ht="15" hidden="false" customHeight="false" outlineLevel="0" collapsed="false">
      <c r="AZ838" s="5" t="str">
        <f aca="false">IF($B838="","",SUMPRODUCT(($AL838:$AO838&lt;&gt;"")*(COUNTIF($AP838:$AX838,$AL838:$AO838)&gt;0)))</f>
        <v/>
      </c>
      <c r="BA838" s="5" t="str">
        <f aca="false">IF($B838="","",IF(AZ838&gt;0,1,0))</f>
        <v/>
      </c>
      <c r="BB838" s="5" t="str">
        <f aca="false">IF($AP838="","",IF((($AP838="Engineering and Technology")+($AP838="Science and Mathematics")+($AP838="Computer Science, IT and Allied Fields")+($AP838="Life Sciences /Medicine and Healthcare")+($AP838="Paramedical")+($AP838="Architecture")+($AP838="Environmental Service")+($AP838="Agriculture, Food Industry and Forestry"))&gt;0,"Science",IF((($AP838="Banking and Finance")+($AP838="Management and Administration")+($AP838="Marketing")+($AP838="Sales")+($AP838="Entrepreneurship")+($AP838="Hospitality and Tourism"))&gt;0,"Commerce",IF((($AP838="Social Sciences and Humanities")+($AP838="Law Studies")+($AP838="Education and Training")+($AP838="Art, Design")+($AP838="Entertainment and Mass Media")+($AP838="Community and Social Service")+($AP838="Personal Care and Services")+($AP838="Government and Public Administration")+($AP838="Defence/ Protective Service")+($AP838="Sports"))&gt;0,"Arts / Humanities",""))))</f>
        <v/>
      </c>
      <c r="BC838" s="5" t="str">
        <f aca="false">IF($AL838="","",IF((($AL838="Engineering and Technology")+($AL838="Science and Mathematics")+($AL838="Computer Science, IT and Allied Fields")+($AL838="Life Sciences /Medicine and Healthcare")+($AL838="Paramedical")+($AL838="Architecture")+($AL838="Environmental Service")+($AL838="Agriculture, Food Industry and Forestry"))&gt;0,"Science",IF((($AL838="Banking and Finance")+($AL838="Management and Administration")+($AL838="Marketing")+($AL838="Sales")+($AL838="Entrepreneurship")+($AL838="Hospitality and Tourism"))&gt;0,"Commerce",IF((($AL838="Social Sciences and Humanities")+($AL838="Law Studies")+($AL838="Education and Training")+($AL838="Art, Design")+($AL838="Entertainment and Mass Media")+($AL838="Community and Social Service")+($AL838="Personal Care and Services")+($AL838="Government and Public Administration")+($AL838="Defence/ Protective Service")+($AL838="Sports"))&gt;0,"Arts / Humanities",""))))</f>
        <v/>
      </c>
      <c r="BD838" s="5" t="str">
        <f aca="false">IF($B838="","",--(F838&gt;=10)+--(G838&gt;=10)+--(H838&gt;=10)+--(I838&gt;=10)+--(J838&gt;=10)+--(K838&gt;=10)+--(L838&gt;=10)+--(M838&gt;=10)+--(N838&gt;=10)+--(O838&gt;=10))</f>
        <v/>
      </c>
      <c r="BE838" s="5" t="str">
        <f aca="false">IF($B838="","",--(AND(F838&lt;&gt;"",F838&lt;=8))+--(AND(G838&lt;&gt;"",G838&lt;=8))+--(AND(H838&lt;&gt;"",H838&lt;=8))+--(AND(I838&lt;&gt;"",I838&lt;=8))+--(AND(J838&lt;&gt;"",J838&lt;=8))+--(AND(K838&lt;&gt;"",K838&lt;=8))+--(AND(L838&lt;&gt;"",L838&lt;=8))+--(AND(M838&lt;&gt;"",M838&lt;=8))+--(AND(N838&lt;&gt;"",N838&lt;=8))+--(AND(O838&lt;&gt;"",O838&lt;=8)))</f>
        <v/>
      </c>
    </row>
    <row r="839" customFormat="false" ht="15" hidden="false" customHeight="false" outlineLevel="0" collapsed="false">
      <c r="AZ839" s="5" t="str">
        <f aca="false">IF($B839="","",SUMPRODUCT(($AL839:$AO839&lt;&gt;"")*(COUNTIF($AP839:$AX839,$AL839:$AO839)&gt;0)))</f>
        <v/>
      </c>
      <c r="BA839" s="5" t="str">
        <f aca="false">IF($B839="","",IF(AZ839&gt;0,1,0))</f>
        <v/>
      </c>
      <c r="BB839" s="5" t="str">
        <f aca="false">IF($AP839="","",IF((($AP839="Engineering and Technology")+($AP839="Science and Mathematics")+($AP839="Computer Science, IT and Allied Fields")+($AP839="Life Sciences /Medicine and Healthcare")+($AP839="Paramedical")+($AP839="Architecture")+($AP839="Environmental Service")+($AP839="Agriculture, Food Industry and Forestry"))&gt;0,"Science",IF((($AP839="Banking and Finance")+($AP839="Management and Administration")+($AP839="Marketing")+($AP839="Sales")+($AP839="Entrepreneurship")+($AP839="Hospitality and Tourism"))&gt;0,"Commerce",IF((($AP839="Social Sciences and Humanities")+($AP839="Law Studies")+($AP839="Education and Training")+($AP839="Art, Design")+($AP839="Entertainment and Mass Media")+($AP839="Community and Social Service")+($AP839="Personal Care and Services")+($AP839="Government and Public Administration")+($AP839="Defence/ Protective Service")+($AP839="Sports"))&gt;0,"Arts / Humanities",""))))</f>
        <v/>
      </c>
      <c r="BC839" s="5" t="str">
        <f aca="false">IF($AL839="","",IF((($AL839="Engineering and Technology")+($AL839="Science and Mathematics")+($AL839="Computer Science, IT and Allied Fields")+($AL839="Life Sciences /Medicine and Healthcare")+($AL839="Paramedical")+($AL839="Architecture")+($AL839="Environmental Service")+($AL839="Agriculture, Food Industry and Forestry"))&gt;0,"Science",IF((($AL839="Banking and Finance")+($AL839="Management and Administration")+($AL839="Marketing")+($AL839="Sales")+($AL839="Entrepreneurship")+($AL839="Hospitality and Tourism"))&gt;0,"Commerce",IF((($AL839="Social Sciences and Humanities")+($AL839="Law Studies")+($AL839="Education and Training")+($AL839="Art, Design")+($AL839="Entertainment and Mass Media")+($AL839="Community and Social Service")+($AL839="Personal Care and Services")+($AL839="Government and Public Administration")+($AL839="Defence/ Protective Service")+($AL839="Sports"))&gt;0,"Arts / Humanities",""))))</f>
        <v/>
      </c>
      <c r="BD839" s="5" t="str">
        <f aca="false">IF($B839="","",--(F839&gt;=10)+--(G839&gt;=10)+--(H839&gt;=10)+--(I839&gt;=10)+--(J839&gt;=10)+--(K839&gt;=10)+--(L839&gt;=10)+--(M839&gt;=10)+--(N839&gt;=10)+--(O839&gt;=10))</f>
        <v/>
      </c>
      <c r="BE839" s="5" t="str">
        <f aca="false">IF($B839="","",--(AND(F839&lt;&gt;"",F839&lt;=8))+--(AND(G839&lt;&gt;"",G839&lt;=8))+--(AND(H839&lt;&gt;"",H839&lt;=8))+--(AND(I839&lt;&gt;"",I839&lt;=8))+--(AND(J839&lt;&gt;"",J839&lt;=8))+--(AND(K839&lt;&gt;"",K839&lt;=8))+--(AND(L839&lt;&gt;"",L839&lt;=8))+--(AND(M839&lt;&gt;"",M839&lt;=8))+--(AND(N839&lt;&gt;"",N839&lt;=8))+--(AND(O839&lt;&gt;"",O839&lt;=8)))</f>
        <v/>
      </c>
    </row>
    <row r="840" customFormat="false" ht="15" hidden="false" customHeight="false" outlineLevel="0" collapsed="false">
      <c r="AZ840" s="5" t="str">
        <f aca="false">IF($B840="","",SUMPRODUCT(($AL840:$AO840&lt;&gt;"")*(COUNTIF($AP840:$AX840,$AL840:$AO840)&gt;0)))</f>
        <v/>
      </c>
      <c r="BA840" s="5" t="str">
        <f aca="false">IF($B840="","",IF(AZ840&gt;0,1,0))</f>
        <v/>
      </c>
      <c r="BB840" s="5" t="str">
        <f aca="false">IF($AP840="","",IF((($AP840="Engineering and Technology")+($AP840="Science and Mathematics")+($AP840="Computer Science, IT and Allied Fields")+($AP840="Life Sciences /Medicine and Healthcare")+($AP840="Paramedical")+($AP840="Architecture")+($AP840="Environmental Service")+($AP840="Agriculture, Food Industry and Forestry"))&gt;0,"Science",IF((($AP840="Banking and Finance")+($AP840="Management and Administration")+($AP840="Marketing")+($AP840="Sales")+($AP840="Entrepreneurship")+($AP840="Hospitality and Tourism"))&gt;0,"Commerce",IF((($AP840="Social Sciences and Humanities")+($AP840="Law Studies")+($AP840="Education and Training")+($AP840="Art, Design")+($AP840="Entertainment and Mass Media")+($AP840="Community and Social Service")+($AP840="Personal Care and Services")+($AP840="Government and Public Administration")+($AP840="Defence/ Protective Service")+($AP840="Sports"))&gt;0,"Arts / Humanities",""))))</f>
        <v/>
      </c>
      <c r="BC840" s="5" t="str">
        <f aca="false">IF($AL840="","",IF((($AL840="Engineering and Technology")+($AL840="Science and Mathematics")+($AL840="Computer Science, IT and Allied Fields")+($AL840="Life Sciences /Medicine and Healthcare")+($AL840="Paramedical")+($AL840="Architecture")+($AL840="Environmental Service")+($AL840="Agriculture, Food Industry and Forestry"))&gt;0,"Science",IF((($AL840="Banking and Finance")+($AL840="Management and Administration")+($AL840="Marketing")+($AL840="Sales")+($AL840="Entrepreneurship")+($AL840="Hospitality and Tourism"))&gt;0,"Commerce",IF((($AL840="Social Sciences and Humanities")+($AL840="Law Studies")+($AL840="Education and Training")+($AL840="Art, Design")+($AL840="Entertainment and Mass Media")+($AL840="Community and Social Service")+($AL840="Personal Care and Services")+($AL840="Government and Public Administration")+($AL840="Defence/ Protective Service")+($AL840="Sports"))&gt;0,"Arts / Humanities",""))))</f>
        <v/>
      </c>
      <c r="BD840" s="5" t="str">
        <f aca="false">IF($B840="","",--(F840&gt;=10)+--(G840&gt;=10)+--(H840&gt;=10)+--(I840&gt;=10)+--(J840&gt;=10)+--(K840&gt;=10)+--(L840&gt;=10)+--(M840&gt;=10)+--(N840&gt;=10)+--(O840&gt;=10))</f>
        <v/>
      </c>
      <c r="BE840" s="5" t="str">
        <f aca="false">IF($B840="","",--(AND(F840&lt;&gt;"",F840&lt;=8))+--(AND(G840&lt;&gt;"",G840&lt;=8))+--(AND(H840&lt;&gt;"",H840&lt;=8))+--(AND(I840&lt;&gt;"",I840&lt;=8))+--(AND(J840&lt;&gt;"",J840&lt;=8))+--(AND(K840&lt;&gt;"",K840&lt;=8))+--(AND(L840&lt;&gt;"",L840&lt;=8))+--(AND(M840&lt;&gt;"",M840&lt;=8))+--(AND(N840&lt;&gt;"",N840&lt;=8))+--(AND(O840&lt;&gt;"",O840&lt;=8)))</f>
        <v/>
      </c>
    </row>
    <row r="841" customFormat="false" ht="15" hidden="false" customHeight="false" outlineLevel="0" collapsed="false">
      <c r="AZ841" s="5" t="str">
        <f aca="false">IF($B841="","",SUMPRODUCT(($AL841:$AO841&lt;&gt;"")*(COUNTIF($AP841:$AX841,$AL841:$AO841)&gt;0)))</f>
        <v/>
      </c>
      <c r="BA841" s="5" t="str">
        <f aca="false">IF($B841="","",IF(AZ841&gt;0,1,0))</f>
        <v/>
      </c>
      <c r="BB841" s="5" t="str">
        <f aca="false">IF($AP841="","",IF((($AP841="Engineering and Technology")+($AP841="Science and Mathematics")+($AP841="Computer Science, IT and Allied Fields")+($AP841="Life Sciences /Medicine and Healthcare")+($AP841="Paramedical")+($AP841="Architecture")+($AP841="Environmental Service")+($AP841="Agriculture, Food Industry and Forestry"))&gt;0,"Science",IF((($AP841="Banking and Finance")+($AP841="Management and Administration")+($AP841="Marketing")+($AP841="Sales")+($AP841="Entrepreneurship")+($AP841="Hospitality and Tourism"))&gt;0,"Commerce",IF((($AP841="Social Sciences and Humanities")+($AP841="Law Studies")+($AP841="Education and Training")+($AP841="Art, Design")+($AP841="Entertainment and Mass Media")+($AP841="Community and Social Service")+($AP841="Personal Care and Services")+($AP841="Government and Public Administration")+($AP841="Defence/ Protective Service")+($AP841="Sports"))&gt;0,"Arts / Humanities",""))))</f>
        <v/>
      </c>
      <c r="BC841" s="5" t="str">
        <f aca="false">IF($AL841="","",IF((($AL841="Engineering and Technology")+($AL841="Science and Mathematics")+($AL841="Computer Science, IT and Allied Fields")+($AL841="Life Sciences /Medicine and Healthcare")+($AL841="Paramedical")+($AL841="Architecture")+($AL841="Environmental Service")+($AL841="Agriculture, Food Industry and Forestry"))&gt;0,"Science",IF((($AL841="Banking and Finance")+($AL841="Management and Administration")+($AL841="Marketing")+($AL841="Sales")+($AL841="Entrepreneurship")+($AL841="Hospitality and Tourism"))&gt;0,"Commerce",IF((($AL841="Social Sciences and Humanities")+($AL841="Law Studies")+($AL841="Education and Training")+($AL841="Art, Design")+($AL841="Entertainment and Mass Media")+($AL841="Community and Social Service")+($AL841="Personal Care and Services")+($AL841="Government and Public Administration")+($AL841="Defence/ Protective Service")+($AL841="Sports"))&gt;0,"Arts / Humanities",""))))</f>
        <v/>
      </c>
      <c r="BD841" s="5" t="str">
        <f aca="false">IF($B841="","",--(F841&gt;=10)+--(G841&gt;=10)+--(H841&gt;=10)+--(I841&gt;=10)+--(J841&gt;=10)+--(K841&gt;=10)+--(L841&gt;=10)+--(M841&gt;=10)+--(N841&gt;=10)+--(O841&gt;=10))</f>
        <v/>
      </c>
      <c r="BE841" s="5" t="str">
        <f aca="false">IF($B841="","",--(AND(F841&lt;&gt;"",F841&lt;=8))+--(AND(G841&lt;&gt;"",G841&lt;=8))+--(AND(H841&lt;&gt;"",H841&lt;=8))+--(AND(I841&lt;&gt;"",I841&lt;=8))+--(AND(J841&lt;&gt;"",J841&lt;=8))+--(AND(K841&lt;&gt;"",K841&lt;=8))+--(AND(L841&lt;&gt;"",L841&lt;=8))+--(AND(M841&lt;&gt;"",M841&lt;=8))+--(AND(N841&lt;&gt;"",N841&lt;=8))+--(AND(O841&lt;&gt;"",O841&lt;=8)))</f>
        <v/>
      </c>
    </row>
    <row r="842" customFormat="false" ht="15" hidden="false" customHeight="false" outlineLevel="0" collapsed="false">
      <c r="AZ842" s="5" t="str">
        <f aca="false">IF($B842="","",SUMPRODUCT(($AL842:$AO842&lt;&gt;"")*(COUNTIF($AP842:$AX842,$AL842:$AO842)&gt;0)))</f>
        <v/>
      </c>
      <c r="BA842" s="5" t="str">
        <f aca="false">IF($B842="","",IF(AZ842&gt;0,1,0))</f>
        <v/>
      </c>
      <c r="BB842" s="5" t="str">
        <f aca="false">IF($AP842="","",IF((($AP842="Engineering and Technology")+($AP842="Science and Mathematics")+($AP842="Computer Science, IT and Allied Fields")+($AP842="Life Sciences /Medicine and Healthcare")+($AP842="Paramedical")+($AP842="Architecture")+($AP842="Environmental Service")+($AP842="Agriculture, Food Industry and Forestry"))&gt;0,"Science",IF((($AP842="Banking and Finance")+($AP842="Management and Administration")+($AP842="Marketing")+($AP842="Sales")+($AP842="Entrepreneurship")+($AP842="Hospitality and Tourism"))&gt;0,"Commerce",IF((($AP842="Social Sciences and Humanities")+($AP842="Law Studies")+($AP842="Education and Training")+($AP842="Art, Design")+($AP842="Entertainment and Mass Media")+($AP842="Community and Social Service")+($AP842="Personal Care and Services")+($AP842="Government and Public Administration")+($AP842="Defence/ Protective Service")+($AP842="Sports"))&gt;0,"Arts / Humanities",""))))</f>
        <v/>
      </c>
      <c r="BC842" s="5" t="str">
        <f aca="false">IF($AL842="","",IF((($AL842="Engineering and Technology")+($AL842="Science and Mathematics")+($AL842="Computer Science, IT and Allied Fields")+($AL842="Life Sciences /Medicine and Healthcare")+($AL842="Paramedical")+($AL842="Architecture")+($AL842="Environmental Service")+($AL842="Agriculture, Food Industry and Forestry"))&gt;0,"Science",IF((($AL842="Banking and Finance")+($AL842="Management and Administration")+($AL842="Marketing")+($AL842="Sales")+($AL842="Entrepreneurship")+($AL842="Hospitality and Tourism"))&gt;0,"Commerce",IF((($AL842="Social Sciences and Humanities")+($AL842="Law Studies")+($AL842="Education and Training")+($AL842="Art, Design")+($AL842="Entertainment and Mass Media")+($AL842="Community and Social Service")+($AL842="Personal Care and Services")+($AL842="Government and Public Administration")+($AL842="Defence/ Protective Service")+($AL842="Sports"))&gt;0,"Arts / Humanities",""))))</f>
        <v/>
      </c>
      <c r="BD842" s="5" t="str">
        <f aca="false">IF($B842="","",--(F842&gt;=10)+--(G842&gt;=10)+--(H842&gt;=10)+--(I842&gt;=10)+--(J842&gt;=10)+--(K842&gt;=10)+--(L842&gt;=10)+--(M842&gt;=10)+--(N842&gt;=10)+--(O842&gt;=10))</f>
        <v/>
      </c>
      <c r="BE842" s="5" t="str">
        <f aca="false">IF($B842="","",--(AND(F842&lt;&gt;"",F842&lt;=8))+--(AND(G842&lt;&gt;"",G842&lt;=8))+--(AND(H842&lt;&gt;"",H842&lt;=8))+--(AND(I842&lt;&gt;"",I842&lt;=8))+--(AND(J842&lt;&gt;"",J842&lt;=8))+--(AND(K842&lt;&gt;"",K842&lt;=8))+--(AND(L842&lt;&gt;"",L842&lt;=8))+--(AND(M842&lt;&gt;"",M842&lt;=8))+--(AND(N842&lt;&gt;"",N842&lt;=8))+--(AND(O842&lt;&gt;"",O842&lt;=8)))</f>
        <v/>
      </c>
    </row>
    <row r="843" customFormat="false" ht="15" hidden="false" customHeight="false" outlineLevel="0" collapsed="false">
      <c r="AZ843" s="5" t="str">
        <f aca="false">IF($B843="","",SUMPRODUCT(($AL843:$AO843&lt;&gt;"")*(COUNTIF($AP843:$AX843,$AL843:$AO843)&gt;0)))</f>
        <v/>
      </c>
      <c r="BA843" s="5" t="str">
        <f aca="false">IF($B843="","",IF(AZ843&gt;0,1,0))</f>
        <v/>
      </c>
      <c r="BB843" s="5" t="str">
        <f aca="false">IF($AP843="","",IF((($AP843="Engineering and Technology")+($AP843="Science and Mathematics")+($AP843="Computer Science, IT and Allied Fields")+($AP843="Life Sciences /Medicine and Healthcare")+($AP843="Paramedical")+($AP843="Architecture")+($AP843="Environmental Service")+($AP843="Agriculture, Food Industry and Forestry"))&gt;0,"Science",IF((($AP843="Banking and Finance")+($AP843="Management and Administration")+($AP843="Marketing")+($AP843="Sales")+($AP843="Entrepreneurship")+($AP843="Hospitality and Tourism"))&gt;0,"Commerce",IF((($AP843="Social Sciences and Humanities")+($AP843="Law Studies")+($AP843="Education and Training")+($AP843="Art, Design")+($AP843="Entertainment and Mass Media")+($AP843="Community and Social Service")+($AP843="Personal Care and Services")+($AP843="Government and Public Administration")+($AP843="Defence/ Protective Service")+($AP843="Sports"))&gt;0,"Arts / Humanities",""))))</f>
        <v/>
      </c>
      <c r="BC843" s="5" t="str">
        <f aca="false">IF($AL843="","",IF((($AL843="Engineering and Technology")+($AL843="Science and Mathematics")+($AL843="Computer Science, IT and Allied Fields")+($AL843="Life Sciences /Medicine and Healthcare")+($AL843="Paramedical")+($AL843="Architecture")+($AL843="Environmental Service")+($AL843="Agriculture, Food Industry and Forestry"))&gt;0,"Science",IF((($AL843="Banking and Finance")+($AL843="Management and Administration")+($AL843="Marketing")+($AL843="Sales")+($AL843="Entrepreneurship")+($AL843="Hospitality and Tourism"))&gt;0,"Commerce",IF((($AL843="Social Sciences and Humanities")+($AL843="Law Studies")+($AL843="Education and Training")+($AL843="Art, Design")+($AL843="Entertainment and Mass Media")+($AL843="Community and Social Service")+($AL843="Personal Care and Services")+($AL843="Government and Public Administration")+($AL843="Defence/ Protective Service")+($AL843="Sports"))&gt;0,"Arts / Humanities",""))))</f>
        <v/>
      </c>
      <c r="BD843" s="5" t="str">
        <f aca="false">IF($B843="","",--(F843&gt;=10)+--(G843&gt;=10)+--(H843&gt;=10)+--(I843&gt;=10)+--(J843&gt;=10)+--(K843&gt;=10)+--(L843&gt;=10)+--(M843&gt;=10)+--(N843&gt;=10)+--(O843&gt;=10))</f>
        <v/>
      </c>
      <c r="BE843" s="5" t="str">
        <f aca="false">IF($B843="","",--(AND(F843&lt;&gt;"",F843&lt;=8))+--(AND(G843&lt;&gt;"",G843&lt;=8))+--(AND(H843&lt;&gt;"",H843&lt;=8))+--(AND(I843&lt;&gt;"",I843&lt;=8))+--(AND(J843&lt;&gt;"",J843&lt;=8))+--(AND(K843&lt;&gt;"",K843&lt;=8))+--(AND(L843&lt;&gt;"",L843&lt;=8))+--(AND(M843&lt;&gt;"",M843&lt;=8))+--(AND(N843&lt;&gt;"",N843&lt;=8))+--(AND(O843&lt;&gt;"",O843&lt;=8)))</f>
        <v/>
      </c>
    </row>
    <row r="844" customFormat="false" ht="15" hidden="false" customHeight="false" outlineLevel="0" collapsed="false">
      <c r="AZ844" s="5" t="str">
        <f aca="false">IF($B844="","",SUMPRODUCT(($AL844:$AO844&lt;&gt;"")*(COUNTIF($AP844:$AX844,$AL844:$AO844)&gt;0)))</f>
        <v/>
      </c>
      <c r="BA844" s="5" t="str">
        <f aca="false">IF($B844="","",IF(AZ844&gt;0,1,0))</f>
        <v/>
      </c>
      <c r="BB844" s="5" t="str">
        <f aca="false">IF($AP844="","",IF((($AP844="Engineering and Technology")+($AP844="Science and Mathematics")+($AP844="Computer Science, IT and Allied Fields")+($AP844="Life Sciences /Medicine and Healthcare")+($AP844="Paramedical")+($AP844="Architecture")+($AP844="Environmental Service")+($AP844="Agriculture, Food Industry and Forestry"))&gt;0,"Science",IF((($AP844="Banking and Finance")+($AP844="Management and Administration")+($AP844="Marketing")+($AP844="Sales")+($AP844="Entrepreneurship")+($AP844="Hospitality and Tourism"))&gt;0,"Commerce",IF((($AP844="Social Sciences and Humanities")+($AP844="Law Studies")+($AP844="Education and Training")+($AP844="Art, Design")+($AP844="Entertainment and Mass Media")+($AP844="Community and Social Service")+($AP844="Personal Care and Services")+($AP844="Government and Public Administration")+($AP844="Defence/ Protective Service")+($AP844="Sports"))&gt;0,"Arts / Humanities",""))))</f>
        <v/>
      </c>
      <c r="BC844" s="5" t="str">
        <f aca="false">IF($AL844="","",IF((($AL844="Engineering and Technology")+($AL844="Science and Mathematics")+($AL844="Computer Science, IT and Allied Fields")+($AL844="Life Sciences /Medicine and Healthcare")+($AL844="Paramedical")+($AL844="Architecture")+($AL844="Environmental Service")+($AL844="Agriculture, Food Industry and Forestry"))&gt;0,"Science",IF((($AL844="Banking and Finance")+($AL844="Management and Administration")+($AL844="Marketing")+($AL844="Sales")+($AL844="Entrepreneurship")+($AL844="Hospitality and Tourism"))&gt;0,"Commerce",IF((($AL844="Social Sciences and Humanities")+($AL844="Law Studies")+($AL844="Education and Training")+($AL844="Art, Design")+($AL844="Entertainment and Mass Media")+($AL844="Community and Social Service")+($AL844="Personal Care and Services")+($AL844="Government and Public Administration")+($AL844="Defence/ Protective Service")+($AL844="Sports"))&gt;0,"Arts / Humanities",""))))</f>
        <v/>
      </c>
      <c r="BD844" s="5" t="str">
        <f aca="false">IF($B844="","",--(F844&gt;=10)+--(G844&gt;=10)+--(H844&gt;=10)+--(I844&gt;=10)+--(J844&gt;=10)+--(K844&gt;=10)+--(L844&gt;=10)+--(M844&gt;=10)+--(N844&gt;=10)+--(O844&gt;=10))</f>
        <v/>
      </c>
      <c r="BE844" s="5" t="str">
        <f aca="false">IF($B844="","",--(AND(F844&lt;&gt;"",F844&lt;=8))+--(AND(G844&lt;&gt;"",G844&lt;=8))+--(AND(H844&lt;&gt;"",H844&lt;=8))+--(AND(I844&lt;&gt;"",I844&lt;=8))+--(AND(J844&lt;&gt;"",J844&lt;=8))+--(AND(K844&lt;&gt;"",K844&lt;=8))+--(AND(L844&lt;&gt;"",L844&lt;=8))+--(AND(M844&lt;&gt;"",M844&lt;=8))+--(AND(N844&lt;&gt;"",N844&lt;=8))+--(AND(O844&lt;&gt;"",O844&lt;=8)))</f>
        <v/>
      </c>
    </row>
    <row r="845" customFormat="false" ht="15" hidden="false" customHeight="false" outlineLevel="0" collapsed="false">
      <c r="AZ845" s="5" t="str">
        <f aca="false">IF($B845="","",SUMPRODUCT(($AL845:$AO845&lt;&gt;"")*(COUNTIF($AP845:$AX845,$AL845:$AO845)&gt;0)))</f>
        <v/>
      </c>
      <c r="BA845" s="5" t="str">
        <f aca="false">IF($B845="","",IF(AZ845&gt;0,1,0))</f>
        <v/>
      </c>
      <c r="BB845" s="5" t="str">
        <f aca="false">IF($AP845="","",IF((($AP845="Engineering and Technology")+($AP845="Science and Mathematics")+($AP845="Computer Science, IT and Allied Fields")+($AP845="Life Sciences /Medicine and Healthcare")+($AP845="Paramedical")+($AP845="Architecture")+($AP845="Environmental Service")+($AP845="Agriculture, Food Industry and Forestry"))&gt;0,"Science",IF((($AP845="Banking and Finance")+($AP845="Management and Administration")+($AP845="Marketing")+($AP845="Sales")+($AP845="Entrepreneurship")+($AP845="Hospitality and Tourism"))&gt;0,"Commerce",IF((($AP845="Social Sciences and Humanities")+($AP845="Law Studies")+($AP845="Education and Training")+($AP845="Art, Design")+($AP845="Entertainment and Mass Media")+($AP845="Community and Social Service")+($AP845="Personal Care and Services")+($AP845="Government and Public Administration")+($AP845="Defence/ Protective Service")+($AP845="Sports"))&gt;0,"Arts / Humanities",""))))</f>
        <v/>
      </c>
      <c r="BC845" s="5" t="str">
        <f aca="false">IF($AL845="","",IF((($AL845="Engineering and Technology")+($AL845="Science and Mathematics")+($AL845="Computer Science, IT and Allied Fields")+($AL845="Life Sciences /Medicine and Healthcare")+($AL845="Paramedical")+($AL845="Architecture")+($AL845="Environmental Service")+($AL845="Agriculture, Food Industry and Forestry"))&gt;0,"Science",IF((($AL845="Banking and Finance")+($AL845="Management and Administration")+($AL845="Marketing")+($AL845="Sales")+($AL845="Entrepreneurship")+($AL845="Hospitality and Tourism"))&gt;0,"Commerce",IF((($AL845="Social Sciences and Humanities")+($AL845="Law Studies")+($AL845="Education and Training")+($AL845="Art, Design")+($AL845="Entertainment and Mass Media")+($AL845="Community and Social Service")+($AL845="Personal Care and Services")+($AL845="Government and Public Administration")+($AL845="Defence/ Protective Service")+($AL845="Sports"))&gt;0,"Arts / Humanities",""))))</f>
        <v/>
      </c>
      <c r="BD845" s="5" t="str">
        <f aca="false">IF($B845="","",--(F845&gt;=10)+--(G845&gt;=10)+--(H845&gt;=10)+--(I845&gt;=10)+--(J845&gt;=10)+--(K845&gt;=10)+--(L845&gt;=10)+--(M845&gt;=10)+--(N845&gt;=10)+--(O845&gt;=10))</f>
        <v/>
      </c>
      <c r="BE845" s="5" t="str">
        <f aca="false">IF($B845="","",--(AND(F845&lt;&gt;"",F845&lt;=8))+--(AND(G845&lt;&gt;"",G845&lt;=8))+--(AND(H845&lt;&gt;"",H845&lt;=8))+--(AND(I845&lt;&gt;"",I845&lt;=8))+--(AND(J845&lt;&gt;"",J845&lt;=8))+--(AND(K845&lt;&gt;"",K845&lt;=8))+--(AND(L845&lt;&gt;"",L845&lt;=8))+--(AND(M845&lt;&gt;"",M845&lt;=8))+--(AND(N845&lt;&gt;"",N845&lt;=8))+--(AND(O845&lt;&gt;"",O845&lt;=8)))</f>
        <v/>
      </c>
    </row>
    <row r="846" customFormat="false" ht="15" hidden="false" customHeight="false" outlineLevel="0" collapsed="false">
      <c r="AZ846" s="5" t="str">
        <f aca="false">IF($B846="","",SUMPRODUCT(($AL846:$AO846&lt;&gt;"")*(COUNTIF($AP846:$AX846,$AL846:$AO846)&gt;0)))</f>
        <v/>
      </c>
      <c r="BA846" s="5" t="str">
        <f aca="false">IF($B846="","",IF(AZ846&gt;0,1,0))</f>
        <v/>
      </c>
      <c r="BB846" s="5" t="str">
        <f aca="false">IF($AP846="","",IF((($AP846="Engineering and Technology")+($AP846="Science and Mathematics")+($AP846="Computer Science, IT and Allied Fields")+($AP846="Life Sciences /Medicine and Healthcare")+($AP846="Paramedical")+($AP846="Architecture")+($AP846="Environmental Service")+($AP846="Agriculture, Food Industry and Forestry"))&gt;0,"Science",IF((($AP846="Banking and Finance")+($AP846="Management and Administration")+($AP846="Marketing")+($AP846="Sales")+($AP846="Entrepreneurship")+($AP846="Hospitality and Tourism"))&gt;0,"Commerce",IF((($AP846="Social Sciences and Humanities")+($AP846="Law Studies")+($AP846="Education and Training")+($AP846="Art, Design")+($AP846="Entertainment and Mass Media")+($AP846="Community and Social Service")+($AP846="Personal Care and Services")+($AP846="Government and Public Administration")+($AP846="Defence/ Protective Service")+($AP846="Sports"))&gt;0,"Arts / Humanities",""))))</f>
        <v/>
      </c>
      <c r="BC846" s="5" t="str">
        <f aca="false">IF($AL846="","",IF((($AL846="Engineering and Technology")+($AL846="Science and Mathematics")+($AL846="Computer Science, IT and Allied Fields")+($AL846="Life Sciences /Medicine and Healthcare")+($AL846="Paramedical")+($AL846="Architecture")+($AL846="Environmental Service")+($AL846="Agriculture, Food Industry and Forestry"))&gt;0,"Science",IF((($AL846="Banking and Finance")+($AL846="Management and Administration")+($AL846="Marketing")+($AL846="Sales")+($AL846="Entrepreneurship")+($AL846="Hospitality and Tourism"))&gt;0,"Commerce",IF((($AL846="Social Sciences and Humanities")+($AL846="Law Studies")+($AL846="Education and Training")+($AL846="Art, Design")+($AL846="Entertainment and Mass Media")+($AL846="Community and Social Service")+($AL846="Personal Care and Services")+($AL846="Government and Public Administration")+($AL846="Defence/ Protective Service")+($AL846="Sports"))&gt;0,"Arts / Humanities",""))))</f>
        <v/>
      </c>
      <c r="BD846" s="5" t="str">
        <f aca="false">IF($B846="","",--(F846&gt;=10)+--(G846&gt;=10)+--(H846&gt;=10)+--(I846&gt;=10)+--(J846&gt;=10)+--(K846&gt;=10)+--(L846&gt;=10)+--(M846&gt;=10)+--(N846&gt;=10)+--(O846&gt;=10))</f>
        <v/>
      </c>
      <c r="BE846" s="5" t="str">
        <f aca="false">IF($B846="","",--(AND(F846&lt;&gt;"",F846&lt;=8))+--(AND(G846&lt;&gt;"",G846&lt;=8))+--(AND(H846&lt;&gt;"",H846&lt;=8))+--(AND(I846&lt;&gt;"",I846&lt;=8))+--(AND(J846&lt;&gt;"",J846&lt;=8))+--(AND(K846&lt;&gt;"",K846&lt;=8))+--(AND(L846&lt;&gt;"",L846&lt;=8))+--(AND(M846&lt;&gt;"",M846&lt;=8))+--(AND(N846&lt;&gt;"",N846&lt;=8))+--(AND(O846&lt;&gt;"",O846&lt;=8)))</f>
        <v/>
      </c>
    </row>
    <row r="847" customFormat="false" ht="15" hidden="false" customHeight="false" outlineLevel="0" collapsed="false">
      <c r="AZ847" s="5" t="str">
        <f aca="false">IF($B847="","",SUMPRODUCT(($AL847:$AO847&lt;&gt;"")*(COUNTIF($AP847:$AX847,$AL847:$AO847)&gt;0)))</f>
        <v/>
      </c>
      <c r="BA847" s="5" t="str">
        <f aca="false">IF($B847="","",IF(AZ847&gt;0,1,0))</f>
        <v/>
      </c>
      <c r="BB847" s="5" t="str">
        <f aca="false">IF($AP847="","",IF((($AP847="Engineering and Technology")+($AP847="Science and Mathematics")+($AP847="Computer Science, IT and Allied Fields")+($AP847="Life Sciences /Medicine and Healthcare")+($AP847="Paramedical")+($AP847="Architecture")+($AP847="Environmental Service")+($AP847="Agriculture, Food Industry and Forestry"))&gt;0,"Science",IF((($AP847="Banking and Finance")+($AP847="Management and Administration")+($AP847="Marketing")+($AP847="Sales")+($AP847="Entrepreneurship")+($AP847="Hospitality and Tourism"))&gt;0,"Commerce",IF((($AP847="Social Sciences and Humanities")+($AP847="Law Studies")+($AP847="Education and Training")+($AP847="Art, Design")+($AP847="Entertainment and Mass Media")+($AP847="Community and Social Service")+($AP847="Personal Care and Services")+($AP847="Government and Public Administration")+($AP847="Defence/ Protective Service")+($AP847="Sports"))&gt;0,"Arts / Humanities",""))))</f>
        <v/>
      </c>
      <c r="BC847" s="5" t="str">
        <f aca="false">IF($AL847="","",IF((($AL847="Engineering and Technology")+($AL847="Science and Mathematics")+($AL847="Computer Science, IT and Allied Fields")+($AL847="Life Sciences /Medicine and Healthcare")+($AL847="Paramedical")+($AL847="Architecture")+($AL847="Environmental Service")+($AL847="Agriculture, Food Industry and Forestry"))&gt;0,"Science",IF((($AL847="Banking and Finance")+($AL847="Management and Administration")+($AL847="Marketing")+($AL847="Sales")+($AL847="Entrepreneurship")+($AL847="Hospitality and Tourism"))&gt;0,"Commerce",IF((($AL847="Social Sciences and Humanities")+($AL847="Law Studies")+($AL847="Education and Training")+($AL847="Art, Design")+($AL847="Entertainment and Mass Media")+($AL847="Community and Social Service")+($AL847="Personal Care and Services")+($AL847="Government and Public Administration")+($AL847="Defence/ Protective Service")+($AL847="Sports"))&gt;0,"Arts / Humanities",""))))</f>
        <v/>
      </c>
      <c r="BD847" s="5" t="str">
        <f aca="false">IF($B847="","",--(F847&gt;=10)+--(G847&gt;=10)+--(H847&gt;=10)+--(I847&gt;=10)+--(J847&gt;=10)+--(K847&gt;=10)+--(L847&gt;=10)+--(M847&gt;=10)+--(N847&gt;=10)+--(O847&gt;=10))</f>
        <v/>
      </c>
      <c r="BE847" s="5" t="str">
        <f aca="false">IF($B847="","",--(AND(F847&lt;&gt;"",F847&lt;=8))+--(AND(G847&lt;&gt;"",G847&lt;=8))+--(AND(H847&lt;&gt;"",H847&lt;=8))+--(AND(I847&lt;&gt;"",I847&lt;=8))+--(AND(J847&lt;&gt;"",J847&lt;=8))+--(AND(K847&lt;&gt;"",K847&lt;=8))+--(AND(L847&lt;&gt;"",L847&lt;=8))+--(AND(M847&lt;&gt;"",M847&lt;=8))+--(AND(N847&lt;&gt;"",N847&lt;=8))+--(AND(O847&lt;&gt;"",O847&lt;=8)))</f>
        <v/>
      </c>
    </row>
    <row r="848" customFormat="false" ht="15" hidden="false" customHeight="false" outlineLevel="0" collapsed="false">
      <c r="AZ848" s="5" t="str">
        <f aca="false">IF($B848="","",SUMPRODUCT(($AL848:$AO848&lt;&gt;"")*(COUNTIF($AP848:$AX848,$AL848:$AO848)&gt;0)))</f>
        <v/>
      </c>
      <c r="BA848" s="5" t="str">
        <f aca="false">IF($B848="","",IF(AZ848&gt;0,1,0))</f>
        <v/>
      </c>
      <c r="BB848" s="5" t="str">
        <f aca="false">IF($AP848="","",IF((($AP848="Engineering and Technology")+($AP848="Science and Mathematics")+($AP848="Computer Science, IT and Allied Fields")+($AP848="Life Sciences /Medicine and Healthcare")+($AP848="Paramedical")+($AP848="Architecture")+($AP848="Environmental Service")+($AP848="Agriculture, Food Industry and Forestry"))&gt;0,"Science",IF((($AP848="Banking and Finance")+($AP848="Management and Administration")+($AP848="Marketing")+($AP848="Sales")+($AP848="Entrepreneurship")+($AP848="Hospitality and Tourism"))&gt;0,"Commerce",IF((($AP848="Social Sciences and Humanities")+($AP848="Law Studies")+($AP848="Education and Training")+($AP848="Art, Design")+($AP848="Entertainment and Mass Media")+($AP848="Community and Social Service")+($AP848="Personal Care and Services")+($AP848="Government and Public Administration")+($AP848="Defence/ Protective Service")+($AP848="Sports"))&gt;0,"Arts / Humanities",""))))</f>
        <v/>
      </c>
      <c r="BC848" s="5" t="str">
        <f aca="false">IF($AL848="","",IF((($AL848="Engineering and Technology")+($AL848="Science and Mathematics")+($AL848="Computer Science, IT and Allied Fields")+($AL848="Life Sciences /Medicine and Healthcare")+($AL848="Paramedical")+($AL848="Architecture")+($AL848="Environmental Service")+($AL848="Agriculture, Food Industry and Forestry"))&gt;0,"Science",IF((($AL848="Banking and Finance")+($AL848="Management and Administration")+($AL848="Marketing")+($AL848="Sales")+($AL848="Entrepreneurship")+($AL848="Hospitality and Tourism"))&gt;0,"Commerce",IF((($AL848="Social Sciences and Humanities")+($AL848="Law Studies")+($AL848="Education and Training")+($AL848="Art, Design")+($AL848="Entertainment and Mass Media")+($AL848="Community and Social Service")+($AL848="Personal Care and Services")+($AL848="Government and Public Administration")+($AL848="Defence/ Protective Service")+($AL848="Sports"))&gt;0,"Arts / Humanities",""))))</f>
        <v/>
      </c>
      <c r="BD848" s="5" t="str">
        <f aca="false">IF($B848="","",--(F848&gt;=10)+--(G848&gt;=10)+--(H848&gt;=10)+--(I848&gt;=10)+--(J848&gt;=10)+--(K848&gt;=10)+--(L848&gt;=10)+--(M848&gt;=10)+--(N848&gt;=10)+--(O848&gt;=10))</f>
        <v/>
      </c>
      <c r="BE848" s="5" t="str">
        <f aca="false">IF($B848="","",--(AND(F848&lt;&gt;"",F848&lt;=8))+--(AND(G848&lt;&gt;"",G848&lt;=8))+--(AND(H848&lt;&gt;"",H848&lt;=8))+--(AND(I848&lt;&gt;"",I848&lt;=8))+--(AND(J848&lt;&gt;"",J848&lt;=8))+--(AND(K848&lt;&gt;"",K848&lt;=8))+--(AND(L848&lt;&gt;"",L848&lt;=8))+--(AND(M848&lt;&gt;"",M848&lt;=8))+--(AND(N848&lt;&gt;"",N848&lt;=8))+--(AND(O848&lt;&gt;"",O848&lt;=8)))</f>
        <v/>
      </c>
    </row>
    <row r="849" customFormat="false" ht="15" hidden="false" customHeight="false" outlineLevel="0" collapsed="false">
      <c r="AZ849" s="5" t="str">
        <f aca="false">IF($B849="","",SUMPRODUCT(($AL849:$AO849&lt;&gt;"")*(COUNTIF($AP849:$AX849,$AL849:$AO849)&gt;0)))</f>
        <v/>
      </c>
      <c r="BA849" s="5" t="str">
        <f aca="false">IF($B849="","",IF(AZ849&gt;0,1,0))</f>
        <v/>
      </c>
      <c r="BB849" s="5" t="str">
        <f aca="false">IF($AP849="","",IF((($AP849="Engineering and Technology")+($AP849="Science and Mathematics")+($AP849="Computer Science, IT and Allied Fields")+($AP849="Life Sciences /Medicine and Healthcare")+($AP849="Paramedical")+($AP849="Architecture")+($AP849="Environmental Service")+($AP849="Agriculture, Food Industry and Forestry"))&gt;0,"Science",IF((($AP849="Banking and Finance")+($AP849="Management and Administration")+($AP849="Marketing")+($AP849="Sales")+($AP849="Entrepreneurship")+($AP849="Hospitality and Tourism"))&gt;0,"Commerce",IF((($AP849="Social Sciences and Humanities")+($AP849="Law Studies")+($AP849="Education and Training")+($AP849="Art, Design")+($AP849="Entertainment and Mass Media")+($AP849="Community and Social Service")+($AP849="Personal Care and Services")+($AP849="Government and Public Administration")+($AP849="Defence/ Protective Service")+($AP849="Sports"))&gt;0,"Arts / Humanities",""))))</f>
        <v/>
      </c>
      <c r="BC849" s="5" t="str">
        <f aca="false">IF($AL849="","",IF((($AL849="Engineering and Technology")+($AL849="Science and Mathematics")+($AL849="Computer Science, IT and Allied Fields")+($AL849="Life Sciences /Medicine and Healthcare")+($AL849="Paramedical")+($AL849="Architecture")+($AL849="Environmental Service")+($AL849="Agriculture, Food Industry and Forestry"))&gt;0,"Science",IF((($AL849="Banking and Finance")+($AL849="Management and Administration")+($AL849="Marketing")+($AL849="Sales")+($AL849="Entrepreneurship")+($AL849="Hospitality and Tourism"))&gt;0,"Commerce",IF((($AL849="Social Sciences and Humanities")+($AL849="Law Studies")+($AL849="Education and Training")+($AL849="Art, Design")+($AL849="Entertainment and Mass Media")+($AL849="Community and Social Service")+($AL849="Personal Care and Services")+($AL849="Government and Public Administration")+($AL849="Defence/ Protective Service")+($AL849="Sports"))&gt;0,"Arts / Humanities",""))))</f>
        <v/>
      </c>
      <c r="BD849" s="5" t="str">
        <f aca="false">IF($B849="","",--(F849&gt;=10)+--(G849&gt;=10)+--(H849&gt;=10)+--(I849&gt;=10)+--(J849&gt;=10)+--(K849&gt;=10)+--(L849&gt;=10)+--(M849&gt;=10)+--(N849&gt;=10)+--(O849&gt;=10))</f>
        <v/>
      </c>
      <c r="BE849" s="5" t="str">
        <f aca="false">IF($B849="","",--(AND(F849&lt;&gt;"",F849&lt;=8))+--(AND(G849&lt;&gt;"",G849&lt;=8))+--(AND(H849&lt;&gt;"",H849&lt;=8))+--(AND(I849&lt;&gt;"",I849&lt;=8))+--(AND(J849&lt;&gt;"",J849&lt;=8))+--(AND(K849&lt;&gt;"",K849&lt;=8))+--(AND(L849&lt;&gt;"",L849&lt;=8))+--(AND(M849&lt;&gt;"",M849&lt;=8))+--(AND(N849&lt;&gt;"",N849&lt;=8))+--(AND(O849&lt;&gt;"",O849&lt;=8)))</f>
        <v/>
      </c>
    </row>
    <row r="850" customFormat="false" ht="15" hidden="false" customHeight="false" outlineLevel="0" collapsed="false">
      <c r="AZ850" s="5" t="str">
        <f aca="false">IF($B850="","",SUMPRODUCT(($AL850:$AO850&lt;&gt;"")*(COUNTIF($AP850:$AX850,$AL850:$AO850)&gt;0)))</f>
        <v/>
      </c>
      <c r="BA850" s="5" t="str">
        <f aca="false">IF($B850="","",IF(AZ850&gt;0,1,0))</f>
        <v/>
      </c>
      <c r="BB850" s="5" t="str">
        <f aca="false">IF($AP850="","",IF((($AP850="Engineering and Technology")+($AP850="Science and Mathematics")+($AP850="Computer Science, IT and Allied Fields")+($AP850="Life Sciences /Medicine and Healthcare")+($AP850="Paramedical")+($AP850="Architecture")+($AP850="Environmental Service")+($AP850="Agriculture, Food Industry and Forestry"))&gt;0,"Science",IF((($AP850="Banking and Finance")+($AP850="Management and Administration")+($AP850="Marketing")+($AP850="Sales")+($AP850="Entrepreneurship")+($AP850="Hospitality and Tourism"))&gt;0,"Commerce",IF((($AP850="Social Sciences and Humanities")+($AP850="Law Studies")+($AP850="Education and Training")+($AP850="Art, Design")+($AP850="Entertainment and Mass Media")+($AP850="Community and Social Service")+($AP850="Personal Care and Services")+($AP850="Government and Public Administration")+($AP850="Defence/ Protective Service")+($AP850="Sports"))&gt;0,"Arts / Humanities",""))))</f>
        <v/>
      </c>
      <c r="BC850" s="5" t="str">
        <f aca="false">IF($AL850="","",IF((($AL850="Engineering and Technology")+($AL850="Science and Mathematics")+($AL850="Computer Science, IT and Allied Fields")+($AL850="Life Sciences /Medicine and Healthcare")+($AL850="Paramedical")+($AL850="Architecture")+($AL850="Environmental Service")+($AL850="Agriculture, Food Industry and Forestry"))&gt;0,"Science",IF((($AL850="Banking and Finance")+($AL850="Management and Administration")+($AL850="Marketing")+($AL850="Sales")+($AL850="Entrepreneurship")+($AL850="Hospitality and Tourism"))&gt;0,"Commerce",IF((($AL850="Social Sciences and Humanities")+($AL850="Law Studies")+($AL850="Education and Training")+($AL850="Art, Design")+($AL850="Entertainment and Mass Media")+($AL850="Community and Social Service")+($AL850="Personal Care and Services")+($AL850="Government and Public Administration")+($AL850="Defence/ Protective Service")+($AL850="Sports"))&gt;0,"Arts / Humanities",""))))</f>
        <v/>
      </c>
      <c r="BD850" s="5" t="str">
        <f aca="false">IF($B850="","",--(F850&gt;=10)+--(G850&gt;=10)+--(H850&gt;=10)+--(I850&gt;=10)+--(J850&gt;=10)+--(K850&gt;=10)+--(L850&gt;=10)+--(M850&gt;=10)+--(N850&gt;=10)+--(O850&gt;=10))</f>
        <v/>
      </c>
      <c r="BE850" s="5" t="str">
        <f aca="false">IF($B850="","",--(AND(F850&lt;&gt;"",F850&lt;=8))+--(AND(G850&lt;&gt;"",G850&lt;=8))+--(AND(H850&lt;&gt;"",H850&lt;=8))+--(AND(I850&lt;&gt;"",I850&lt;=8))+--(AND(J850&lt;&gt;"",J850&lt;=8))+--(AND(K850&lt;&gt;"",K850&lt;=8))+--(AND(L850&lt;&gt;"",L850&lt;=8))+--(AND(M850&lt;&gt;"",M850&lt;=8))+--(AND(N850&lt;&gt;"",N850&lt;=8))+--(AND(O850&lt;&gt;"",O850&lt;=8)))</f>
        <v/>
      </c>
    </row>
    <row r="851" customFormat="false" ht="15" hidden="false" customHeight="false" outlineLevel="0" collapsed="false">
      <c r="AZ851" s="5" t="str">
        <f aca="false">IF($B851="","",SUMPRODUCT(($AL851:$AO851&lt;&gt;"")*(COUNTIF($AP851:$AX851,$AL851:$AO851)&gt;0)))</f>
        <v/>
      </c>
      <c r="BA851" s="5" t="str">
        <f aca="false">IF($B851="","",IF(AZ851&gt;0,1,0))</f>
        <v/>
      </c>
      <c r="BB851" s="5" t="str">
        <f aca="false">IF($AP851="","",IF((($AP851="Engineering and Technology")+($AP851="Science and Mathematics")+($AP851="Computer Science, IT and Allied Fields")+($AP851="Life Sciences /Medicine and Healthcare")+($AP851="Paramedical")+($AP851="Architecture")+($AP851="Environmental Service")+($AP851="Agriculture, Food Industry and Forestry"))&gt;0,"Science",IF((($AP851="Banking and Finance")+($AP851="Management and Administration")+($AP851="Marketing")+($AP851="Sales")+($AP851="Entrepreneurship")+($AP851="Hospitality and Tourism"))&gt;0,"Commerce",IF((($AP851="Social Sciences and Humanities")+($AP851="Law Studies")+($AP851="Education and Training")+($AP851="Art, Design")+($AP851="Entertainment and Mass Media")+($AP851="Community and Social Service")+($AP851="Personal Care and Services")+($AP851="Government and Public Administration")+($AP851="Defence/ Protective Service")+($AP851="Sports"))&gt;0,"Arts / Humanities",""))))</f>
        <v/>
      </c>
      <c r="BC851" s="5" t="str">
        <f aca="false">IF($AL851="","",IF((($AL851="Engineering and Technology")+($AL851="Science and Mathematics")+($AL851="Computer Science, IT and Allied Fields")+($AL851="Life Sciences /Medicine and Healthcare")+($AL851="Paramedical")+($AL851="Architecture")+($AL851="Environmental Service")+($AL851="Agriculture, Food Industry and Forestry"))&gt;0,"Science",IF((($AL851="Banking and Finance")+($AL851="Management and Administration")+($AL851="Marketing")+($AL851="Sales")+($AL851="Entrepreneurship")+($AL851="Hospitality and Tourism"))&gt;0,"Commerce",IF((($AL851="Social Sciences and Humanities")+($AL851="Law Studies")+($AL851="Education and Training")+($AL851="Art, Design")+($AL851="Entertainment and Mass Media")+($AL851="Community and Social Service")+($AL851="Personal Care and Services")+($AL851="Government and Public Administration")+($AL851="Defence/ Protective Service")+($AL851="Sports"))&gt;0,"Arts / Humanities",""))))</f>
        <v/>
      </c>
      <c r="BD851" s="5" t="str">
        <f aca="false">IF($B851="","",--(F851&gt;=10)+--(G851&gt;=10)+--(H851&gt;=10)+--(I851&gt;=10)+--(J851&gt;=10)+--(K851&gt;=10)+--(L851&gt;=10)+--(M851&gt;=10)+--(N851&gt;=10)+--(O851&gt;=10))</f>
        <v/>
      </c>
      <c r="BE851" s="5" t="str">
        <f aca="false">IF($B851="","",--(AND(F851&lt;&gt;"",F851&lt;=8))+--(AND(G851&lt;&gt;"",G851&lt;=8))+--(AND(H851&lt;&gt;"",H851&lt;=8))+--(AND(I851&lt;&gt;"",I851&lt;=8))+--(AND(J851&lt;&gt;"",J851&lt;=8))+--(AND(K851&lt;&gt;"",K851&lt;=8))+--(AND(L851&lt;&gt;"",L851&lt;=8))+--(AND(M851&lt;&gt;"",M851&lt;=8))+--(AND(N851&lt;&gt;"",N851&lt;=8))+--(AND(O851&lt;&gt;"",O851&lt;=8)))</f>
        <v/>
      </c>
    </row>
    <row r="852" customFormat="false" ht="15" hidden="false" customHeight="false" outlineLevel="0" collapsed="false">
      <c r="AZ852" s="5" t="str">
        <f aca="false">IF($B852="","",SUMPRODUCT(($AL852:$AO852&lt;&gt;"")*(COUNTIF($AP852:$AX852,$AL852:$AO852)&gt;0)))</f>
        <v/>
      </c>
      <c r="BA852" s="5" t="str">
        <f aca="false">IF($B852="","",IF(AZ852&gt;0,1,0))</f>
        <v/>
      </c>
      <c r="BB852" s="5" t="str">
        <f aca="false">IF($AP852="","",IF((($AP852="Engineering and Technology")+($AP852="Science and Mathematics")+($AP852="Computer Science, IT and Allied Fields")+($AP852="Life Sciences /Medicine and Healthcare")+($AP852="Paramedical")+($AP852="Architecture")+($AP852="Environmental Service")+($AP852="Agriculture, Food Industry and Forestry"))&gt;0,"Science",IF((($AP852="Banking and Finance")+($AP852="Management and Administration")+($AP852="Marketing")+($AP852="Sales")+($AP852="Entrepreneurship")+($AP852="Hospitality and Tourism"))&gt;0,"Commerce",IF((($AP852="Social Sciences and Humanities")+($AP852="Law Studies")+($AP852="Education and Training")+($AP852="Art, Design")+($AP852="Entertainment and Mass Media")+($AP852="Community and Social Service")+($AP852="Personal Care and Services")+($AP852="Government and Public Administration")+($AP852="Defence/ Protective Service")+($AP852="Sports"))&gt;0,"Arts / Humanities",""))))</f>
        <v/>
      </c>
      <c r="BC852" s="5" t="str">
        <f aca="false">IF($AL852="","",IF((($AL852="Engineering and Technology")+($AL852="Science and Mathematics")+($AL852="Computer Science, IT and Allied Fields")+($AL852="Life Sciences /Medicine and Healthcare")+($AL852="Paramedical")+($AL852="Architecture")+($AL852="Environmental Service")+($AL852="Agriculture, Food Industry and Forestry"))&gt;0,"Science",IF((($AL852="Banking and Finance")+($AL852="Management and Administration")+($AL852="Marketing")+($AL852="Sales")+($AL852="Entrepreneurship")+($AL852="Hospitality and Tourism"))&gt;0,"Commerce",IF((($AL852="Social Sciences and Humanities")+($AL852="Law Studies")+($AL852="Education and Training")+($AL852="Art, Design")+($AL852="Entertainment and Mass Media")+($AL852="Community and Social Service")+($AL852="Personal Care and Services")+($AL852="Government and Public Administration")+($AL852="Defence/ Protective Service")+($AL852="Sports"))&gt;0,"Arts / Humanities",""))))</f>
        <v/>
      </c>
      <c r="BD852" s="5" t="str">
        <f aca="false">IF($B852="","",--(F852&gt;=10)+--(G852&gt;=10)+--(H852&gt;=10)+--(I852&gt;=10)+--(J852&gt;=10)+--(K852&gt;=10)+--(L852&gt;=10)+--(M852&gt;=10)+--(N852&gt;=10)+--(O852&gt;=10))</f>
        <v/>
      </c>
      <c r="BE852" s="5" t="str">
        <f aca="false">IF($B852="","",--(AND(F852&lt;&gt;"",F852&lt;=8))+--(AND(G852&lt;&gt;"",G852&lt;=8))+--(AND(H852&lt;&gt;"",H852&lt;=8))+--(AND(I852&lt;&gt;"",I852&lt;=8))+--(AND(J852&lt;&gt;"",J852&lt;=8))+--(AND(K852&lt;&gt;"",K852&lt;=8))+--(AND(L852&lt;&gt;"",L852&lt;=8))+--(AND(M852&lt;&gt;"",M852&lt;=8))+--(AND(N852&lt;&gt;"",N852&lt;=8))+--(AND(O852&lt;&gt;"",O852&lt;=8)))</f>
        <v/>
      </c>
    </row>
    <row r="853" customFormat="false" ht="15" hidden="false" customHeight="false" outlineLevel="0" collapsed="false">
      <c r="AZ853" s="5" t="str">
        <f aca="false">IF($B853="","",SUMPRODUCT(($AL853:$AO853&lt;&gt;"")*(COUNTIF($AP853:$AX853,$AL853:$AO853)&gt;0)))</f>
        <v/>
      </c>
      <c r="BA853" s="5" t="str">
        <f aca="false">IF($B853="","",IF(AZ853&gt;0,1,0))</f>
        <v/>
      </c>
      <c r="BB853" s="5" t="str">
        <f aca="false">IF($AP853="","",IF((($AP853="Engineering and Technology")+($AP853="Science and Mathematics")+($AP853="Computer Science, IT and Allied Fields")+($AP853="Life Sciences /Medicine and Healthcare")+($AP853="Paramedical")+($AP853="Architecture")+($AP853="Environmental Service")+($AP853="Agriculture, Food Industry and Forestry"))&gt;0,"Science",IF((($AP853="Banking and Finance")+($AP853="Management and Administration")+($AP853="Marketing")+($AP853="Sales")+($AP853="Entrepreneurship")+($AP853="Hospitality and Tourism"))&gt;0,"Commerce",IF((($AP853="Social Sciences and Humanities")+($AP853="Law Studies")+($AP853="Education and Training")+($AP853="Art, Design")+($AP853="Entertainment and Mass Media")+($AP853="Community and Social Service")+($AP853="Personal Care and Services")+($AP853="Government and Public Administration")+($AP853="Defence/ Protective Service")+($AP853="Sports"))&gt;0,"Arts / Humanities",""))))</f>
        <v/>
      </c>
      <c r="BC853" s="5" t="str">
        <f aca="false">IF($AL853="","",IF((($AL853="Engineering and Technology")+($AL853="Science and Mathematics")+($AL853="Computer Science, IT and Allied Fields")+($AL853="Life Sciences /Medicine and Healthcare")+($AL853="Paramedical")+($AL853="Architecture")+($AL853="Environmental Service")+($AL853="Agriculture, Food Industry and Forestry"))&gt;0,"Science",IF((($AL853="Banking and Finance")+($AL853="Management and Administration")+($AL853="Marketing")+($AL853="Sales")+($AL853="Entrepreneurship")+($AL853="Hospitality and Tourism"))&gt;0,"Commerce",IF((($AL853="Social Sciences and Humanities")+($AL853="Law Studies")+($AL853="Education and Training")+($AL853="Art, Design")+($AL853="Entertainment and Mass Media")+($AL853="Community and Social Service")+($AL853="Personal Care and Services")+($AL853="Government and Public Administration")+($AL853="Defence/ Protective Service")+($AL853="Sports"))&gt;0,"Arts / Humanities",""))))</f>
        <v/>
      </c>
      <c r="BD853" s="5" t="str">
        <f aca="false">IF($B853="","",--(F853&gt;=10)+--(G853&gt;=10)+--(H853&gt;=10)+--(I853&gt;=10)+--(J853&gt;=10)+--(K853&gt;=10)+--(L853&gt;=10)+--(M853&gt;=10)+--(N853&gt;=10)+--(O853&gt;=10))</f>
        <v/>
      </c>
      <c r="BE853" s="5" t="str">
        <f aca="false">IF($B853="","",--(AND(F853&lt;&gt;"",F853&lt;=8))+--(AND(G853&lt;&gt;"",G853&lt;=8))+--(AND(H853&lt;&gt;"",H853&lt;=8))+--(AND(I853&lt;&gt;"",I853&lt;=8))+--(AND(J853&lt;&gt;"",J853&lt;=8))+--(AND(K853&lt;&gt;"",K853&lt;=8))+--(AND(L853&lt;&gt;"",L853&lt;=8))+--(AND(M853&lt;&gt;"",M853&lt;=8))+--(AND(N853&lt;&gt;"",N853&lt;=8))+--(AND(O853&lt;&gt;"",O853&lt;=8)))</f>
        <v/>
      </c>
    </row>
    <row r="854" customFormat="false" ht="15" hidden="false" customHeight="false" outlineLevel="0" collapsed="false">
      <c r="AZ854" s="5" t="str">
        <f aca="false">IF($B854="","",SUMPRODUCT(($AL854:$AO854&lt;&gt;"")*(COUNTIF($AP854:$AX854,$AL854:$AO854)&gt;0)))</f>
        <v/>
      </c>
      <c r="BA854" s="5" t="str">
        <f aca="false">IF($B854="","",IF(AZ854&gt;0,1,0))</f>
        <v/>
      </c>
      <c r="BB854" s="5" t="str">
        <f aca="false">IF($AP854="","",IF((($AP854="Engineering and Technology")+($AP854="Science and Mathematics")+($AP854="Computer Science, IT and Allied Fields")+($AP854="Life Sciences /Medicine and Healthcare")+($AP854="Paramedical")+($AP854="Architecture")+($AP854="Environmental Service")+($AP854="Agriculture, Food Industry and Forestry"))&gt;0,"Science",IF((($AP854="Banking and Finance")+($AP854="Management and Administration")+($AP854="Marketing")+($AP854="Sales")+($AP854="Entrepreneurship")+($AP854="Hospitality and Tourism"))&gt;0,"Commerce",IF((($AP854="Social Sciences and Humanities")+($AP854="Law Studies")+($AP854="Education and Training")+($AP854="Art, Design")+($AP854="Entertainment and Mass Media")+($AP854="Community and Social Service")+($AP854="Personal Care and Services")+($AP854="Government and Public Administration")+($AP854="Defence/ Protective Service")+($AP854="Sports"))&gt;0,"Arts / Humanities",""))))</f>
        <v/>
      </c>
      <c r="BC854" s="5" t="str">
        <f aca="false">IF($AL854="","",IF((($AL854="Engineering and Technology")+($AL854="Science and Mathematics")+($AL854="Computer Science, IT and Allied Fields")+($AL854="Life Sciences /Medicine and Healthcare")+($AL854="Paramedical")+($AL854="Architecture")+($AL854="Environmental Service")+($AL854="Agriculture, Food Industry and Forestry"))&gt;0,"Science",IF((($AL854="Banking and Finance")+($AL854="Management and Administration")+($AL854="Marketing")+($AL854="Sales")+($AL854="Entrepreneurship")+($AL854="Hospitality and Tourism"))&gt;0,"Commerce",IF((($AL854="Social Sciences and Humanities")+($AL854="Law Studies")+($AL854="Education and Training")+($AL854="Art, Design")+($AL854="Entertainment and Mass Media")+($AL854="Community and Social Service")+($AL854="Personal Care and Services")+($AL854="Government and Public Administration")+($AL854="Defence/ Protective Service")+($AL854="Sports"))&gt;0,"Arts / Humanities",""))))</f>
        <v/>
      </c>
      <c r="BD854" s="5" t="str">
        <f aca="false">IF($B854="","",--(F854&gt;=10)+--(G854&gt;=10)+--(H854&gt;=10)+--(I854&gt;=10)+--(J854&gt;=10)+--(K854&gt;=10)+--(L854&gt;=10)+--(M854&gt;=10)+--(N854&gt;=10)+--(O854&gt;=10))</f>
        <v/>
      </c>
      <c r="BE854" s="5" t="str">
        <f aca="false">IF($B854="","",--(AND(F854&lt;&gt;"",F854&lt;=8))+--(AND(G854&lt;&gt;"",G854&lt;=8))+--(AND(H854&lt;&gt;"",H854&lt;=8))+--(AND(I854&lt;&gt;"",I854&lt;=8))+--(AND(J854&lt;&gt;"",J854&lt;=8))+--(AND(K854&lt;&gt;"",K854&lt;=8))+--(AND(L854&lt;&gt;"",L854&lt;=8))+--(AND(M854&lt;&gt;"",M854&lt;=8))+--(AND(N854&lt;&gt;"",N854&lt;=8))+--(AND(O854&lt;&gt;"",O854&lt;=8)))</f>
        <v/>
      </c>
    </row>
    <row r="855" customFormat="false" ht="15" hidden="false" customHeight="false" outlineLevel="0" collapsed="false">
      <c r="AZ855" s="5" t="str">
        <f aca="false">IF($B855="","",SUMPRODUCT(($AL855:$AO855&lt;&gt;"")*(COUNTIF($AP855:$AX855,$AL855:$AO855)&gt;0)))</f>
        <v/>
      </c>
      <c r="BA855" s="5" t="str">
        <f aca="false">IF($B855="","",IF(AZ855&gt;0,1,0))</f>
        <v/>
      </c>
      <c r="BB855" s="5" t="str">
        <f aca="false">IF($AP855="","",IF((($AP855="Engineering and Technology")+($AP855="Science and Mathematics")+($AP855="Computer Science, IT and Allied Fields")+($AP855="Life Sciences /Medicine and Healthcare")+($AP855="Paramedical")+($AP855="Architecture")+($AP855="Environmental Service")+($AP855="Agriculture, Food Industry and Forestry"))&gt;0,"Science",IF((($AP855="Banking and Finance")+($AP855="Management and Administration")+($AP855="Marketing")+($AP855="Sales")+($AP855="Entrepreneurship")+($AP855="Hospitality and Tourism"))&gt;0,"Commerce",IF((($AP855="Social Sciences and Humanities")+($AP855="Law Studies")+($AP855="Education and Training")+($AP855="Art, Design")+($AP855="Entertainment and Mass Media")+($AP855="Community and Social Service")+($AP855="Personal Care and Services")+($AP855="Government and Public Administration")+($AP855="Defence/ Protective Service")+($AP855="Sports"))&gt;0,"Arts / Humanities",""))))</f>
        <v/>
      </c>
      <c r="BC855" s="5" t="str">
        <f aca="false">IF($AL855="","",IF((($AL855="Engineering and Technology")+($AL855="Science and Mathematics")+($AL855="Computer Science, IT and Allied Fields")+($AL855="Life Sciences /Medicine and Healthcare")+($AL855="Paramedical")+($AL855="Architecture")+($AL855="Environmental Service")+($AL855="Agriculture, Food Industry and Forestry"))&gt;0,"Science",IF((($AL855="Banking and Finance")+($AL855="Management and Administration")+($AL855="Marketing")+($AL855="Sales")+($AL855="Entrepreneurship")+($AL855="Hospitality and Tourism"))&gt;0,"Commerce",IF((($AL855="Social Sciences and Humanities")+($AL855="Law Studies")+($AL855="Education and Training")+($AL855="Art, Design")+($AL855="Entertainment and Mass Media")+($AL855="Community and Social Service")+($AL855="Personal Care and Services")+($AL855="Government and Public Administration")+($AL855="Defence/ Protective Service")+($AL855="Sports"))&gt;0,"Arts / Humanities",""))))</f>
        <v/>
      </c>
      <c r="BD855" s="5" t="str">
        <f aca="false">IF($B855="","",--(F855&gt;=10)+--(G855&gt;=10)+--(H855&gt;=10)+--(I855&gt;=10)+--(J855&gt;=10)+--(K855&gt;=10)+--(L855&gt;=10)+--(M855&gt;=10)+--(N855&gt;=10)+--(O855&gt;=10))</f>
        <v/>
      </c>
      <c r="BE855" s="5" t="str">
        <f aca="false">IF($B855="","",--(AND(F855&lt;&gt;"",F855&lt;=8))+--(AND(G855&lt;&gt;"",G855&lt;=8))+--(AND(H855&lt;&gt;"",H855&lt;=8))+--(AND(I855&lt;&gt;"",I855&lt;=8))+--(AND(J855&lt;&gt;"",J855&lt;=8))+--(AND(K855&lt;&gt;"",K855&lt;=8))+--(AND(L855&lt;&gt;"",L855&lt;=8))+--(AND(M855&lt;&gt;"",M855&lt;=8))+--(AND(N855&lt;&gt;"",N855&lt;=8))+--(AND(O855&lt;&gt;"",O855&lt;=8)))</f>
        <v/>
      </c>
    </row>
    <row r="856" customFormat="false" ht="15" hidden="false" customHeight="false" outlineLevel="0" collapsed="false">
      <c r="AZ856" s="5" t="str">
        <f aca="false">IF($B856="","",SUMPRODUCT(($AL856:$AO856&lt;&gt;"")*(COUNTIF($AP856:$AX856,$AL856:$AO856)&gt;0)))</f>
        <v/>
      </c>
      <c r="BA856" s="5" t="str">
        <f aca="false">IF($B856="","",IF(AZ856&gt;0,1,0))</f>
        <v/>
      </c>
      <c r="BB856" s="5" t="str">
        <f aca="false">IF($AP856="","",IF((($AP856="Engineering and Technology")+($AP856="Science and Mathematics")+($AP856="Computer Science, IT and Allied Fields")+($AP856="Life Sciences /Medicine and Healthcare")+($AP856="Paramedical")+($AP856="Architecture")+($AP856="Environmental Service")+($AP856="Agriculture, Food Industry and Forestry"))&gt;0,"Science",IF((($AP856="Banking and Finance")+($AP856="Management and Administration")+($AP856="Marketing")+($AP856="Sales")+($AP856="Entrepreneurship")+($AP856="Hospitality and Tourism"))&gt;0,"Commerce",IF((($AP856="Social Sciences and Humanities")+($AP856="Law Studies")+($AP856="Education and Training")+($AP856="Art, Design")+($AP856="Entertainment and Mass Media")+($AP856="Community and Social Service")+($AP856="Personal Care and Services")+($AP856="Government and Public Administration")+($AP856="Defence/ Protective Service")+($AP856="Sports"))&gt;0,"Arts / Humanities",""))))</f>
        <v/>
      </c>
      <c r="BC856" s="5" t="str">
        <f aca="false">IF($AL856="","",IF((($AL856="Engineering and Technology")+($AL856="Science and Mathematics")+($AL856="Computer Science, IT and Allied Fields")+($AL856="Life Sciences /Medicine and Healthcare")+($AL856="Paramedical")+($AL856="Architecture")+($AL856="Environmental Service")+($AL856="Agriculture, Food Industry and Forestry"))&gt;0,"Science",IF((($AL856="Banking and Finance")+($AL856="Management and Administration")+($AL856="Marketing")+($AL856="Sales")+($AL856="Entrepreneurship")+($AL856="Hospitality and Tourism"))&gt;0,"Commerce",IF((($AL856="Social Sciences and Humanities")+($AL856="Law Studies")+($AL856="Education and Training")+($AL856="Art, Design")+($AL856="Entertainment and Mass Media")+($AL856="Community and Social Service")+($AL856="Personal Care and Services")+($AL856="Government and Public Administration")+($AL856="Defence/ Protective Service")+($AL856="Sports"))&gt;0,"Arts / Humanities",""))))</f>
        <v/>
      </c>
      <c r="BD856" s="5" t="str">
        <f aca="false">IF($B856="","",--(F856&gt;=10)+--(G856&gt;=10)+--(H856&gt;=10)+--(I856&gt;=10)+--(J856&gt;=10)+--(K856&gt;=10)+--(L856&gt;=10)+--(M856&gt;=10)+--(N856&gt;=10)+--(O856&gt;=10))</f>
        <v/>
      </c>
      <c r="BE856" s="5" t="str">
        <f aca="false">IF($B856="","",--(AND(F856&lt;&gt;"",F856&lt;=8))+--(AND(G856&lt;&gt;"",G856&lt;=8))+--(AND(H856&lt;&gt;"",H856&lt;=8))+--(AND(I856&lt;&gt;"",I856&lt;=8))+--(AND(J856&lt;&gt;"",J856&lt;=8))+--(AND(K856&lt;&gt;"",K856&lt;=8))+--(AND(L856&lt;&gt;"",L856&lt;=8))+--(AND(M856&lt;&gt;"",M856&lt;=8))+--(AND(N856&lt;&gt;"",N856&lt;=8))+--(AND(O856&lt;&gt;"",O856&lt;=8)))</f>
        <v/>
      </c>
    </row>
    <row r="857" customFormat="false" ht="15" hidden="false" customHeight="false" outlineLevel="0" collapsed="false">
      <c r="AZ857" s="5" t="str">
        <f aca="false">IF($B857="","",SUMPRODUCT(($AL857:$AO857&lt;&gt;"")*(COUNTIF($AP857:$AX857,$AL857:$AO857)&gt;0)))</f>
        <v/>
      </c>
      <c r="BA857" s="5" t="str">
        <f aca="false">IF($B857="","",IF(AZ857&gt;0,1,0))</f>
        <v/>
      </c>
      <c r="BB857" s="5" t="str">
        <f aca="false">IF($AP857="","",IF((($AP857="Engineering and Technology")+($AP857="Science and Mathematics")+($AP857="Computer Science, IT and Allied Fields")+($AP857="Life Sciences /Medicine and Healthcare")+($AP857="Paramedical")+($AP857="Architecture")+($AP857="Environmental Service")+($AP857="Agriculture, Food Industry and Forestry"))&gt;0,"Science",IF((($AP857="Banking and Finance")+($AP857="Management and Administration")+($AP857="Marketing")+($AP857="Sales")+($AP857="Entrepreneurship")+($AP857="Hospitality and Tourism"))&gt;0,"Commerce",IF((($AP857="Social Sciences and Humanities")+($AP857="Law Studies")+($AP857="Education and Training")+($AP857="Art, Design")+($AP857="Entertainment and Mass Media")+($AP857="Community and Social Service")+($AP857="Personal Care and Services")+($AP857="Government and Public Administration")+($AP857="Defence/ Protective Service")+($AP857="Sports"))&gt;0,"Arts / Humanities",""))))</f>
        <v/>
      </c>
      <c r="BC857" s="5" t="str">
        <f aca="false">IF($AL857="","",IF((($AL857="Engineering and Technology")+($AL857="Science and Mathematics")+($AL857="Computer Science, IT and Allied Fields")+($AL857="Life Sciences /Medicine and Healthcare")+($AL857="Paramedical")+($AL857="Architecture")+($AL857="Environmental Service")+($AL857="Agriculture, Food Industry and Forestry"))&gt;0,"Science",IF((($AL857="Banking and Finance")+($AL857="Management and Administration")+($AL857="Marketing")+($AL857="Sales")+($AL857="Entrepreneurship")+($AL857="Hospitality and Tourism"))&gt;0,"Commerce",IF((($AL857="Social Sciences and Humanities")+($AL857="Law Studies")+($AL857="Education and Training")+($AL857="Art, Design")+($AL857="Entertainment and Mass Media")+($AL857="Community and Social Service")+($AL857="Personal Care and Services")+($AL857="Government and Public Administration")+($AL857="Defence/ Protective Service")+($AL857="Sports"))&gt;0,"Arts / Humanities",""))))</f>
        <v/>
      </c>
      <c r="BD857" s="5" t="str">
        <f aca="false">IF($B857="","",--(F857&gt;=10)+--(G857&gt;=10)+--(H857&gt;=10)+--(I857&gt;=10)+--(J857&gt;=10)+--(K857&gt;=10)+--(L857&gt;=10)+--(M857&gt;=10)+--(N857&gt;=10)+--(O857&gt;=10))</f>
        <v/>
      </c>
      <c r="BE857" s="5" t="str">
        <f aca="false">IF($B857="","",--(AND(F857&lt;&gt;"",F857&lt;=8))+--(AND(G857&lt;&gt;"",G857&lt;=8))+--(AND(H857&lt;&gt;"",H857&lt;=8))+--(AND(I857&lt;&gt;"",I857&lt;=8))+--(AND(J857&lt;&gt;"",J857&lt;=8))+--(AND(K857&lt;&gt;"",K857&lt;=8))+--(AND(L857&lt;&gt;"",L857&lt;=8))+--(AND(M857&lt;&gt;"",M857&lt;=8))+--(AND(N857&lt;&gt;"",N857&lt;=8))+--(AND(O857&lt;&gt;"",O857&lt;=8)))</f>
        <v/>
      </c>
    </row>
    <row r="858" customFormat="false" ht="15" hidden="false" customHeight="false" outlineLevel="0" collapsed="false">
      <c r="AZ858" s="5" t="str">
        <f aca="false">IF($B858="","",SUMPRODUCT(($AL858:$AO858&lt;&gt;"")*(COUNTIF($AP858:$AX858,$AL858:$AO858)&gt;0)))</f>
        <v/>
      </c>
      <c r="BA858" s="5" t="str">
        <f aca="false">IF($B858="","",IF(AZ858&gt;0,1,0))</f>
        <v/>
      </c>
      <c r="BB858" s="5" t="str">
        <f aca="false">IF($AP858="","",IF((($AP858="Engineering and Technology")+($AP858="Science and Mathematics")+($AP858="Computer Science, IT and Allied Fields")+($AP858="Life Sciences /Medicine and Healthcare")+($AP858="Paramedical")+($AP858="Architecture")+($AP858="Environmental Service")+($AP858="Agriculture, Food Industry and Forestry"))&gt;0,"Science",IF((($AP858="Banking and Finance")+($AP858="Management and Administration")+($AP858="Marketing")+($AP858="Sales")+($AP858="Entrepreneurship")+($AP858="Hospitality and Tourism"))&gt;0,"Commerce",IF((($AP858="Social Sciences and Humanities")+($AP858="Law Studies")+($AP858="Education and Training")+($AP858="Art, Design")+($AP858="Entertainment and Mass Media")+($AP858="Community and Social Service")+($AP858="Personal Care and Services")+($AP858="Government and Public Administration")+($AP858="Defence/ Protective Service")+($AP858="Sports"))&gt;0,"Arts / Humanities",""))))</f>
        <v/>
      </c>
      <c r="BC858" s="5" t="str">
        <f aca="false">IF($AL858="","",IF((($AL858="Engineering and Technology")+($AL858="Science and Mathematics")+($AL858="Computer Science, IT and Allied Fields")+($AL858="Life Sciences /Medicine and Healthcare")+($AL858="Paramedical")+($AL858="Architecture")+($AL858="Environmental Service")+($AL858="Agriculture, Food Industry and Forestry"))&gt;0,"Science",IF((($AL858="Banking and Finance")+($AL858="Management and Administration")+($AL858="Marketing")+($AL858="Sales")+($AL858="Entrepreneurship")+($AL858="Hospitality and Tourism"))&gt;0,"Commerce",IF((($AL858="Social Sciences and Humanities")+($AL858="Law Studies")+($AL858="Education and Training")+($AL858="Art, Design")+($AL858="Entertainment and Mass Media")+($AL858="Community and Social Service")+($AL858="Personal Care and Services")+($AL858="Government and Public Administration")+($AL858="Defence/ Protective Service")+($AL858="Sports"))&gt;0,"Arts / Humanities",""))))</f>
        <v/>
      </c>
      <c r="BD858" s="5" t="str">
        <f aca="false">IF($B858="","",--(F858&gt;=10)+--(G858&gt;=10)+--(H858&gt;=10)+--(I858&gt;=10)+--(J858&gt;=10)+--(K858&gt;=10)+--(L858&gt;=10)+--(M858&gt;=10)+--(N858&gt;=10)+--(O858&gt;=10))</f>
        <v/>
      </c>
      <c r="BE858" s="5" t="str">
        <f aca="false">IF($B858="","",--(AND(F858&lt;&gt;"",F858&lt;=8))+--(AND(G858&lt;&gt;"",G858&lt;=8))+--(AND(H858&lt;&gt;"",H858&lt;=8))+--(AND(I858&lt;&gt;"",I858&lt;=8))+--(AND(J858&lt;&gt;"",J858&lt;=8))+--(AND(K858&lt;&gt;"",K858&lt;=8))+--(AND(L858&lt;&gt;"",L858&lt;=8))+--(AND(M858&lt;&gt;"",M858&lt;=8))+--(AND(N858&lt;&gt;"",N858&lt;=8))+--(AND(O858&lt;&gt;"",O858&lt;=8)))</f>
        <v/>
      </c>
    </row>
    <row r="859" customFormat="false" ht="15" hidden="false" customHeight="false" outlineLevel="0" collapsed="false">
      <c r="AZ859" s="5" t="str">
        <f aca="false">IF($B859="","",SUMPRODUCT(($AL859:$AO859&lt;&gt;"")*(COUNTIF($AP859:$AX859,$AL859:$AO859)&gt;0)))</f>
        <v/>
      </c>
      <c r="BA859" s="5" t="str">
        <f aca="false">IF($B859="","",IF(AZ859&gt;0,1,0))</f>
        <v/>
      </c>
      <c r="BB859" s="5" t="str">
        <f aca="false">IF($AP859="","",IF((($AP859="Engineering and Technology")+($AP859="Science and Mathematics")+($AP859="Computer Science, IT and Allied Fields")+($AP859="Life Sciences /Medicine and Healthcare")+($AP859="Paramedical")+($AP859="Architecture")+($AP859="Environmental Service")+($AP859="Agriculture, Food Industry and Forestry"))&gt;0,"Science",IF((($AP859="Banking and Finance")+($AP859="Management and Administration")+($AP859="Marketing")+($AP859="Sales")+($AP859="Entrepreneurship")+($AP859="Hospitality and Tourism"))&gt;0,"Commerce",IF((($AP859="Social Sciences and Humanities")+($AP859="Law Studies")+($AP859="Education and Training")+($AP859="Art, Design")+($AP859="Entertainment and Mass Media")+($AP859="Community and Social Service")+($AP859="Personal Care and Services")+($AP859="Government and Public Administration")+($AP859="Defence/ Protective Service")+($AP859="Sports"))&gt;0,"Arts / Humanities",""))))</f>
        <v/>
      </c>
      <c r="BC859" s="5" t="str">
        <f aca="false">IF($AL859="","",IF((($AL859="Engineering and Technology")+($AL859="Science and Mathematics")+($AL859="Computer Science, IT and Allied Fields")+($AL859="Life Sciences /Medicine and Healthcare")+($AL859="Paramedical")+($AL859="Architecture")+($AL859="Environmental Service")+($AL859="Agriculture, Food Industry and Forestry"))&gt;0,"Science",IF((($AL859="Banking and Finance")+($AL859="Management and Administration")+($AL859="Marketing")+($AL859="Sales")+($AL859="Entrepreneurship")+($AL859="Hospitality and Tourism"))&gt;0,"Commerce",IF((($AL859="Social Sciences and Humanities")+($AL859="Law Studies")+($AL859="Education and Training")+($AL859="Art, Design")+($AL859="Entertainment and Mass Media")+($AL859="Community and Social Service")+($AL859="Personal Care and Services")+($AL859="Government and Public Administration")+($AL859="Defence/ Protective Service")+($AL859="Sports"))&gt;0,"Arts / Humanities",""))))</f>
        <v/>
      </c>
      <c r="BD859" s="5" t="str">
        <f aca="false">IF($B859="","",--(F859&gt;=10)+--(G859&gt;=10)+--(H859&gt;=10)+--(I859&gt;=10)+--(J859&gt;=10)+--(K859&gt;=10)+--(L859&gt;=10)+--(M859&gt;=10)+--(N859&gt;=10)+--(O859&gt;=10))</f>
        <v/>
      </c>
      <c r="BE859" s="5" t="str">
        <f aca="false">IF($B859="","",--(AND(F859&lt;&gt;"",F859&lt;=8))+--(AND(G859&lt;&gt;"",G859&lt;=8))+--(AND(H859&lt;&gt;"",H859&lt;=8))+--(AND(I859&lt;&gt;"",I859&lt;=8))+--(AND(J859&lt;&gt;"",J859&lt;=8))+--(AND(K859&lt;&gt;"",K859&lt;=8))+--(AND(L859&lt;&gt;"",L859&lt;=8))+--(AND(M859&lt;&gt;"",M859&lt;=8))+--(AND(N859&lt;&gt;"",N859&lt;=8))+--(AND(O859&lt;&gt;"",O859&lt;=8)))</f>
        <v/>
      </c>
    </row>
    <row r="860" customFormat="false" ht="15" hidden="false" customHeight="false" outlineLevel="0" collapsed="false">
      <c r="AZ860" s="5" t="str">
        <f aca="false">IF($B860="","",SUMPRODUCT(($AL860:$AO860&lt;&gt;"")*(COUNTIF($AP860:$AX860,$AL860:$AO860)&gt;0)))</f>
        <v/>
      </c>
      <c r="BA860" s="5" t="str">
        <f aca="false">IF($B860="","",IF(AZ860&gt;0,1,0))</f>
        <v/>
      </c>
      <c r="BB860" s="5" t="str">
        <f aca="false">IF($AP860="","",IF((($AP860="Engineering and Technology")+($AP860="Science and Mathematics")+($AP860="Computer Science, IT and Allied Fields")+($AP860="Life Sciences /Medicine and Healthcare")+($AP860="Paramedical")+($AP860="Architecture")+($AP860="Environmental Service")+($AP860="Agriculture, Food Industry and Forestry"))&gt;0,"Science",IF((($AP860="Banking and Finance")+($AP860="Management and Administration")+($AP860="Marketing")+($AP860="Sales")+($AP860="Entrepreneurship")+($AP860="Hospitality and Tourism"))&gt;0,"Commerce",IF((($AP860="Social Sciences and Humanities")+($AP860="Law Studies")+($AP860="Education and Training")+($AP860="Art, Design")+($AP860="Entertainment and Mass Media")+($AP860="Community and Social Service")+($AP860="Personal Care and Services")+($AP860="Government and Public Administration")+($AP860="Defence/ Protective Service")+($AP860="Sports"))&gt;0,"Arts / Humanities",""))))</f>
        <v/>
      </c>
      <c r="BC860" s="5" t="str">
        <f aca="false">IF($AL860="","",IF((($AL860="Engineering and Technology")+($AL860="Science and Mathematics")+($AL860="Computer Science, IT and Allied Fields")+($AL860="Life Sciences /Medicine and Healthcare")+($AL860="Paramedical")+($AL860="Architecture")+($AL860="Environmental Service")+($AL860="Agriculture, Food Industry and Forestry"))&gt;0,"Science",IF((($AL860="Banking and Finance")+($AL860="Management and Administration")+($AL860="Marketing")+($AL860="Sales")+($AL860="Entrepreneurship")+($AL860="Hospitality and Tourism"))&gt;0,"Commerce",IF((($AL860="Social Sciences and Humanities")+($AL860="Law Studies")+($AL860="Education and Training")+($AL860="Art, Design")+($AL860="Entertainment and Mass Media")+($AL860="Community and Social Service")+($AL860="Personal Care and Services")+($AL860="Government and Public Administration")+($AL860="Defence/ Protective Service")+($AL860="Sports"))&gt;0,"Arts / Humanities",""))))</f>
        <v/>
      </c>
      <c r="BD860" s="5" t="str">
        <f aca="false">IF($B860="","",--(F860&gt;=10)+--(G860&gt;=10)+--(H860&gt;=10)+--(I860&gt;=10)+--(J860&gt;=10)+--(K860&gt;=10)+--(L860&gt;=10)+--(M860&gt;=10)+--(N860&gt;=10)+--(O860&gt;=10))</f>
        <v/>
      </c>
      <c r="BE860" s="5" t="str">
        <f aca="false">IF($B860="","",--(AND(F860&lt;&gt;"",F860&lt;=8))+--(AND(G860&lt;&gt;"",G860&lt;=8))+--(AND(H860&lt;&gt;"",H860&lt;=8))+--(AND(I860&lt;&gt;"",I860&lt;=8))+--(AND(J860&lt;&gt;"",J860&lt;=8))+--(AND(K860&lt;&gt;"",K860&lt;=8))+--(AND(L860&lt;&gt;"",L860&lt;=8))+--(AND(M860&lt;&gt;"",M860&lt;=8))+--(AND(N860&lt;&gt;"",N860&lt;=8))+--(AND(O860&lt;&gt;"",O860&lt;=8)))</f>
        <v/>
      </c>
    </row>
    <row r="861" customFormat="false" ht="15" hidden="false" customHeight="false" outlineLevel="0" collapsed="false">
      <c r="AZ861" s="5" t="str">
        <f aca="false">IF($B861="","",SUMPRODUCT(($AL861:$AO861&lt;&gt;"")*(COUNTIF($AP861:$AX861,$AL861:$AO861)&gt;0)))</f>
        <v/>
      </c>
      <c r="BA861" s="5" t="str">
        <f aca="false">IF($B861="","",IF(AZ861&gt;0,1,0))</f>
        <v/>
      </c>
      <c r="BB861" s="5" t="str">
        <f aca="false">IF($AP861="","",IF((($AP861="Engineering and Technology")+($AP861="Science and Mathematics")+($AP861="Computer Science, IT and Allied Fields")+($AP861="Life Sciences /Medicine and Healthcare")+($AP861="Paramedical")+($AP861="Architecture")+($AP861="Environmental Service")+($AP861="Agriculture, Food Industry and Forestry"))&gt;0,"Science",IF((($AP861="Banking and Finance")+($AP861="Management and Administration")+($AP861="Marketing")+($AP861="Sales")+($AP861="Entrepreneurship")+($AP861="Hospitality and Tourism"))&gt;0,"Commerce",IF((($AP861="Social Sciences and Humanities")+($AP861="Law Studies")+($AP861="Education and Training")+($AP861="Art, Design")+($AP861="Entertainment and Mass Media")+($AP861="Community and Social Service")+($AP861="Personal Care and Services")+($AP861="Government and Public Administration")+($AP861="Defence/ Protective Service")+($AP861="Sports"))&gt;0,"Arts / Humanities",""))))</f>
        <v/>
      </c>
      <c r="BC861" s="5" t="str">
        <f aca="false">IF($AL861="","",IF((($AL861="Engineering and Technology")+($AL861="Science and Mathematics")+($AL861="Computer Science, IT and Allied Fields")+($AL861="Life Sciences /Medicine and Healthcare")+($AL861="Paramedical")+($AL861="Architecture")+($AL861="Environmental Service")+($AL861="Agriculture, Food Industry and Forestry"))&gt;0,"Science",IF((($AL861="Banking and Finance")+($AL861="Management and Administration")+($AL861="Marketing")+($AL861="Sales")+($AL861="Entrepreneurship")+($AL861="Hospitality and Tourism"))&gt;0,"Commerce",IF((($AL861="Social Sciences and Humanities")+($AL861="Law Studies")+($AL861="Education and Training")+($AL861="Art, Design")+($AL861="Entertainment and Mass Media")+($AL861="Community and Social Service")+($AL861="Personal Care and Services")+($AL861="Government and Public Administration")+($AL861="Defence/ Protective Service")+($AL861="Sports"))&gt;0,"Arts / Humanities",""))))</f>
        <v/>
      </c>
      <c r="BD861" s="5" t="str">
        <f aca="false">IF($B861="","",--(F861&gt;=10)+--(G861&gt;=10)+--(H861&gt;=10)+--(I861&gt;=10)+--(J861&gt;=10)+--(K861&gt;=10)+--(L861&gt;=10)+--(M861&gt;=10)+--(N861&gt;=10)+--(O861&gt;=10))</f>
        <v/>
      </c>
      <c r="BE861" s="5" t="str">
        <f aca="false">IF($B861="","",--(AND(F861&lt;&gt;"",F861&lt;=8))+--(AND(G861&lt;&gt;"",G861&lt;=8))+--(AND(H861&lt;&gt;"",H861&lt;=8))+--(AND(I861&lt;&gt;"",I861&lt;=8))+--(AND(J861&lt;&gt;"",J861&lt;=8))+--(AND(K861&lt;&gt;"",K861&lt;=8))+--(AND(L861&lt;&gt;"",L861&lt;=8))+--(AND(M861&lt;&gt;"",M861&lt;=8))+--(AND(N861&lt;&gt;"",N861&lt;=8))+--(AND(O861&lt;&gt;"",O861&lt;=8)))</f>
        <v/>
      </c>
    </row>
    <row r="862" customFormat="false" ht="15" hidden="false" customHeight="false" outlineLevel="0" collapsed="false">
      <c r="AZ862" s="5" t="str">
        <f aca="false">IF($B862="","",SUMPRODUCT(($AL862:$AO862&lt;&gt;"")*(COUNTIF($AP862:$AX862,$AL862:$AO862)&gt;0)))</f>
        <v/>
      </c>
      <c r="BA862" s="5" t="str">
        <f aca="false">IF($B862="","",IF(AZ862&gt;0,1,0))</f>
        <v/>
      </c>
      <c r="BB862" s="5" t="str">
        <f aca="false">IF($AP862="","",IF((($AP862="Engineering and Technology")+($AP862="Science and Mathematics")+($AP862="Computer Science, IT and Allied Fields")+($AP862="Life Sciences /Medicine and Healthcare")+($AP862="Paramedical")+($AP862="Architecture")+($AP862="Environmental Service")+($AP862="Agriculture, Food Industry and Forestry"))&gt;0,"Science",IF((($AP862="Banking and Finance")+($AP862="Management and Administration")+($AP862="Marketing")+($AP862="Sales")+($AP862="Entrepreneurship")+($AP862="Hospitality and Tourism"))&gt;0,"Commerce",IF((($AP862="Social Sciences and Humanities")+($AP862="Law Studies")+($AP862="Education and Training")+($AP862="Art, Design")+($AP862="Entertainment and Mass Media")+($AP862="Community and Social Service")+($AP862="Personal Care and Services")+($AP862="Government and Public Administration")+($AP862="Defence/ Protective Service")+($AP862="Sports"))&gt;0,"Arts / Humanities",""))))</f>
        <v/>
      </c>
      <c r="BC862" s="5" t="str">
        <f aca="false">IF($AL862="","",IF((($AL862="Engineering and Technology")+($AL862="Science and Mathematics")+($AL862="Computer Science, IT and Allied Fields")+($AL862="Life Sciences /Medicine and Healthcare")+($AL862="Paramedical")+($AL862="Architecture")+($AL862="Environmental Service")+($AL862="Agriculture, Food Industry and Forestry"))&gt;0,"Science",IF((($AL862="Banking and Finance")+($AL862="Management and Administration")+($AL862="Marketing")+($AL862="Sales")+($AL862="Entrepreneurship")+($AL862="Hospitality and Tourism"))&gt;0,"Commerce",IF((($AL862="Social Sciences and Humanities")+($AL862="Law Studies")+($AL862="Education and Training")+($AL862="Art, Design")+($AL862="Entertainment and Mass Media")+($AL862="Community and Social Service")+($AL862="Personal Care and Services")+($AL862="Government and Public Administration")+($AL862="Defence/ Protective Service")+($AL862="Sports"))&gt;0,"Arts / Humanities",""))))</f>
        <v/>
      </c>
      <c r="BD862" s="5" t="str">
        <f aca="false">IF($B862="","",--(F862&gt;=10)+--(G862&gt;=10)+--(H862&gt;=10)+--(I862&gt;=10)+--(J862&gt;=10)+--(K862&gt;=10)+--(L862&gt;=10)+--(M862&gt;=10)+--(N862&gt;=10)+--(O862&gt;=10))</f>
        <v/>
      </c>
      <c r="BE862" s="5" t="str">
        <f aca="false">IF($B862="","",--(AND(F862&lt;&gt;"",F862&lt;=8))+--(AND(G862&lt;&gt;"",G862&lt;=8))+--(AND(H862&lt;&gt;"",H862&lt;=8))+--(AND(I862&lt;&gt;"",I862&lt;=8))+--(AND(J862&lt;&gt;"",J862&lt;=8))+--(AND(K862&lt;&gt;"",K862&lt;=8))+--(AND(L862&lt;&gt;"",L862&lt;=8))+--(AND(M862&lt;&gt;"",M862&lt;=8))+--(AND(N862&lt;&gt;"",N862&lt;=8))+--(AND(O862&lt;&gt;"",O862&lt;=8)))</f>
        <v/>
      </c>
    </row>
    <row r="863" customFormat="false" ht="15" hidden="false" customHeight="false" outlineLevel="0" collapsed="false">
      <c r="AZ863" s="5" t="str">
        <f aca="false">IF($B863="","",SUMPRODUCT(($AL863:$AO863&lt;&gt;"")*(COUNTIF($AP863:$AX863,$AL863:$AO863)&gt;0)))</f>
        <v/>
      </c>
      <c r="BA863" s="5" t="str">
        <f aca="false">IF($B863="","",IF(AZ863&gt;0,1,0))</f>
        <v/>
      </c>
      <c r="BB863" s="5" t="str">
        <f aca="false">IF($AP863="","",IF((($AP863="Engineering and Technology")+($AP863="Science and Mathematics")+($AP863="Computer Science, IT and Allied Fields")+($AP863="Life Sciences /Medicine and Healthcare")+($AP863="Paramedical")+($AP863="Architecture")+($AP863="Environmental Service")+($AP863="Agriculture, Food Industry and Forestry"))&gt;0,"Science",IF((($AP863="Banking and Finance")+($AP863="Management and Administration")+($AP863="Marketing")+($AP863="Sales")+($AP863="Entrepreneurship")+($AP863="Hospitality and Tourism"))&gt;0,"Commerce",IF((($AP863="Social Sciences and Humanities")+($AP863="Law Studies")+($AP863="Education and Training")+($AP863="Art, Design")+($AP863="Entertainment and Mass Media")+($AP863="Community and Social Service")+($AP863="Personal Care and Services")+($AP863="Government and Public Administration")+($AP863="Defence/ Protective Service")+($AP863="Sports"))&gt;0,"Arts / Humanities",""))))</f>
        <v/>
      </c>
      <c r="BC863" s="5" t="str">
        <f aca="false">IF($AL863="","",IF((($AL863="Engineering and Technology")+($AL863="Science and Mathematics")+($AL863="Computer Science, IT and Allied Fields")+($AL863="Life Sciences /Medicine and Healthcare")+($AL863="Paramedical")+($AL863="Architecture")+($AL863="Environmental Service")+($AL863="Agriculture, Food Industry and Forestry"))&gt;0,"Science",IF((($AL863="Banking and Finance")+($AL863="Management and Administration")+($AL863="Marketing")+($AL863="Sales")+($AL863="Entrepreneurship")+($AL863="Hospitality and Tourism"))&gt;0,"Commerce",IF((($AL863="Social Sciences and Humanities")+($AL863="Law Studies")+($AL863="Education and Training")+($AL863="Art, Design")+($AL863="Entertainment and Mass Media")+($AL863="Community and Social Service")+($AL863="Personal Care and Services")+($AL863="Government and Public Administration")+($AL863="Defence/ Protective Service")+($AL863="Sports"))&gt;0,"Arts / Humanities",""))))</f>
        <v/>
      </c>
      <c r="BD863" s="5" t="str">
        <f aca="false">IF($B863="","",--(F863&gt;=10)+--(G863&gt;=10)+--(H863&gt;=10)+--(I863&gt;=10)+--(J863&gt;=10)+--(K863&gt;=10)+--(L863&gt;=10)+--(M863&gt;=10)+--(N863&gt;=10)+--(O863&gt;=10))</f>
        <v/>
      </c>
      <c r="BE863" s="5" t="str">
        <f aca="false">IF($B863="","",--(AND(F863&lt;&gt;"",F863&lt;=8))+--(AND(G863&lt;&gt;"",G863&lt;=8))+--(AND(H863&lt;&gt;"",H863&lt;=8))+--(AND(I863&lt;&gt;"",I863&lt;=8))+--(AND(J863&lt;&gt;"",J863&lt;=8))+--(AND(K863&lt;&gt;"",K863&lt;=8))+--(AND(L863&lt;&gt;"",L863&lt;=8))+--(AND(M863&lt;&gt;"",M863&lt;=8))+--(AND(N863&lt;&gt;"",N863&lt;=8))+--(AND(O863&lt;&gt;"",O863&lt;=8)))</f>
        <v/>
      </c>
    </row>
    <row r="864" customFormat="false" ht="15" hidden="false" customHeight="false" outlineLevel="0" collapsed="false">
      <c r="AZ864" s="5" t="str">
        <f aca="false">IF($B864="","",SUMPRODUCT(($AL864:$AO864&lt;&gt;"")*(COUNTIF($AP864:$AX864,$AL864:$AO864)&gt;0)))</f>
        <v/>
      </c>
      <c r="BA864" s="5" t="str">
        <f aca="false">IF($B864="","",IF(AZ864&gt;0,1,0))</f>
        <v/>
      </c>
      <c r="BB864" s="5" t="str">
        <f aca="false">IF($AP864="","",IF((($AP864="Engineering and Technology")+($AP864="Science and Mathematics")+($AP864="Computer Science, IT and Allied Fields")+($AP864="Life Sciences /Medicine and Healthcare")+($AP864="Paramedical")+($AP864="Architecture")+($AP864="Environmental Service")+($AP864="Agriculture, Food Industry and Forestry"))&gt;0,"Science",IF((($AP864="Banking and Finance")+($AP864="Management and Administration")+($AP864="Marketing")+($AP864="Sales")+($AP864="Entrepreneurship")+($AP864="Hospitality and Tourism"))&gt;0,"Commerce",IF((($AP864="Social Sciences and Humanities")+($AP864="Law Studies")+($AP864="Education and Training")+($AP864="Art, Design")+($AP864="Entertainment and Mass Media")+($AP864="Community and Social Service")+($AP864="Personal Care and Services")+($AP864="Government and Public Administration")+($AP864="Defence/ Protective Service")+($AP864="Sports"))&gt;0,"Arts / Humanities",""))))</f>
        <v/>
      </c>
      <c r="BC864" s="5" t="str">
        <f aca="false">IF($AL864="","",IF((($AL864="Engineering and Technology")+($AL864="Science and Mathematics")+($AL864="Computer Science, IT and Allied Fields")+($AL864="Life Sciences /Medicine and Healthcare")+($AL864="Paramedical")+($AL864="Architecture")+($AL864="Environmental Service")+($AL864="Agriculture, Food Industry and Forestry"))&gt;0,"Science",IF((($AL864="Banking and Finance")+($AL864="Management and Administration")+($AL864="Marketing")+($AL864="Sales")+($AL864="Entrepreneurship")+($AL864="Hospitality and Tourism"))&gt;0,"Commerce",IF((($AL864="Social Sciences and Humanities")+($AL864="Law Studies")+($AL864="Education and Training")+($AL864="Art, Design")+($AL864="Entertainment and Mass Media")+($AL864="Community and Social Service")+($AL864="Personal Care and Services")+($AL864="Government and Public Administration")+($AL864="Defence/ Protective Service")+($AL864="Sports"))&gt;0,"Arts / Humanities",""))))</f>
        <v/>
      </c>
      <c r="BD864" s="5" t="str">
        <f aca="false">IF($B864="","",--(F864&gt;=10)+--(G864&gt;=10)+--(H864&gt;=10)+--(I864&gt;=10)+--(J864&gt;=10)+--(K864&gt;=10)+--(L864&gt;=10)+--(M864&gt;=10)+--(N864&gt;=10)+--(O864&gt;=10))</f>
        <v/>
      </c>
      <c r="BE864" s="5" t="str">
        <f aca="false">IF($B864="","",--(AND(F864&lt;&gt;"",F864&lt;=8))+--(AND(G864&lt;&gt;"",G864&lt;=8))+--(AND(H864&lt;&gt;"",H864&lt;=8))+--(AND(I864&lt;&gt;"",I864&lt;=8))+--(AND(J864&lt;&gt;"",J864&lt;=8))+--(AND(K864&lt;&gt;"",K864&lt;=8))+--(AND(L864&lt;&gt;"",L864&lt;=8))+--(AND(M864&lt;&gt;"",M864&lt;=8))+--(AND(N864&lt;&gt;"",N864&lt;=8))+--(AND(O864&lt;&gt;"",O864&lt;=8)))</f>
        <v/>
      </c>
    </row>
    <row r="865" customFormat="false" ht="15" hidden="false" customHeight="false" outlineLevel="0" collapsed="false">
      <c r="AZ865" s="5" t="str">
        <f aca="false">IF($B865="","",SUMPRODUCT(($AL865:$AO865&lt;&gt;"")*(COUNTIF($AP865:$AX865,$AL865:$AO865)&gt;0)))</f>
        <v/>
      </c>
      <c r="BA865" s="5" t="str">
        <f aca="false">IF($B865="","",IF(AZ865&gt;0,1,0))</f>
        <v/>
      </c>
      <c r="BB865" s="5" t="str">
        <f aca="false">IF($AP865="","",IF((($AP865="Engineering and Technology")+($AP865="Science and Mathematics")+($AP865="Computer Science, IT and Allied Fields")+($AP865="Life Sciences /Medicine and Healthcare")+($AP865="Paramedical")+($AP865="Architecture")+($AP865="Environmental Service")+($AP865="Agriculture, Food Industry and Forestry"))&gt;0,"Science",IF((($AP865="Banking and Finance")+($AP865="Management and Administration")+($AP865="Marketing")+($AP865="Sales")+($AP865="Entrepreneurship")+($AP865="Hospitality and Tourism"))&gt;0,"Commerce",IF((($AP865="Social Sciences and Humanities")+($AP865="Law Studies")+($AP865="Education and Training")+($AP865="Art, Design")+($AP865="Entertainment and Mass Media")+($AP865="Community and Social Service")+($AP865="Personal Care and Services")+($AP865="Government and Public Administration")+($AP865="Defence/ Protective Service")+($AP865="Sports"))&gt;0,"Arts / Humanities",""))))</f>
        <v/>
      </c>
      <c r="BC865" s="5" t="str">
        <f aca="false">IF($AL865="","",IF((($AL865="Engineering and Technology")+($AL865="Science and Mathematics")+($AL865="Computer Science, IT and Allied Fields")+($AL865="Life Sciences /Medicine and Healthcare")+($AL865="Paramedical")+($AL865="Architecture")+($AL865="Environmental Service")+($AL865="Agriculture, Food Industry and Forestry"))&gt;0,"Science",IF((($AL865="Banking and Finance")+($AL865="Management and Administration")+($AL865="Marketing")+($AL865="Sales")+($AL865="Entrepreneurship")+($AL865="Hospitality and Tourism"))&gt;0,"Commerce",IF((($AL865="Social Sciences and Humanities")+($AL865="Law Studies")+($AL865="Education and Training")+($AL865="Art, Design")+($AL865="Entertainment and Mass Media")+($AL865="Community and Social Service")+($AL865="Personal Care and Services")+($AL865="Government and Public Administration")+($AL865="Defence/ Protective Service")+($AL865="Sports"))&gt;0,"Arts / Humanities",""))))</f>
        <v/>
      </c>
      <c r="BD865" s="5" t="str">
        <f aca="false">IF($B865="","",--(F865&gt;=10)+--(G865&gt;=10)+--(H865&gt;=10)+--(I865&gt;=10)+--(J865&gt;=10)+--(K865&gt;=10)+--(L865&gt;=10)+--(M865&gt;=10)+--(N865&gt;=10)+--(O865&gt;=10))</f>
        <v/>
      </c>
      <c r="BE865" s="5" t="str">
        <f aca="false">IF($B865="","",--(AND(F865&lt;&gt;"",F865&lt;=8))+--(AND(G865&lt;&gt;"",G865&lt;=8))+--(AND(H865&lt;&gt;"",H865&lt;=8))+--(AND(I865&lt;&gt;"",I865&lt;=8))+--(AND(J865&lt;&gt;"",J865&lt;=8))+--(AND(K865&lt;&gt;"",K865&lt;=8))+--(AND(L865&lt;&gt;"",L865&lt;=8))+--(AND(M865&lt;&gt;"",M865&lt;=8))+--(AND(N865&lt;&gt;"",N865&lt;=8))+--(AND(O865&lt;&gt;"",O865&lt;=8)))</f>
        <v/>
      </c>
    </row>
    <row r="866" customFormat="false" ht="15" hidden="false" customHeight="false" outlineLevel="0" collapsed="false">
      <c r="AZ866" s="5" t="str">
        <f aca="false">IF($B866="","",SUMPRODUCT(($AL866:$AO866&lt;&gt;"")*(COUNTIF($AP866:$AX866,$AL866:$AO866)&gt;0)))</f>
        <v/>
      </c>
      <c r="BA866" s="5" t="str">
        <f aca="false">IF($B866="","",IF(AZ866&gt;0,1,0))</f>
        <v/>
      </c>
      <c r="BB866" s="5" t="str">
        <f aca="false">IF($AP866="","",IF((($AP866="Engineering and Technology")+($AP866="Science and Mathematics")+($AP866="Computer Science, IT and Allied Fields")+($AP866="Life Sciences /Medicine and Healthcare")+($AP866="Paramedical")+($AP866="Architecture")+($AP866="Environmental Service")+($AP866="Agriculture, Food Industry and Forestry"))&gt;0,"Science",IF((($AP866="Banking and Finance")+($AP866="Management and Administration")+($AP866="Marketing")+($AP866="Sales")+($AP866="Entrepreneurship")+($AP866="Hospitality and Tourism"))&gt;0,"Commerce",IF((($AP866="Social Sciences and Humanities")+($AP866="Law Studies")+($AP866="Education and Training")+($AP866="Art, Design")+($AP866="Entertainment and Mass Media")+($AP866="Community and Social Service")+($AP866="Personal Care and Services")+($AP866="Government and Public Administration")+($AP866="Defence/ Protective Service")+($AP866="Sports"))&gt;0,"Arts / Humanities",""))))</f>
        <v/>
      </c>
      <c r="BC866" s="5" t="str">
        <f aca="false">IF($AL866="","",IF((($AL866="Engineering and Technology")+($AL866="Science and Mathematics")+($AL866="Computer Science, IT and Allied Fields")+($AL866="Life Sciences /Medicine and Healthcare")+($AL866="Paramedical")+($AL866="Architecture")+($AL866="Environmental Service")+($AL866="Agriculture, Food Industry and Forestry"))&gt;0,"Science",IF((($AL866="Banking and Finance")+($AL866="Management and Administration")+($AL866="Marketing")+($AL866="Sales")+($AL866="Entrepreneurship")+($AL866="Hospitality and Tourism"))&gt;0,"Commerce",IF((($AL866="Social Sciences and Humanities")+($AL866="Law Studies")+($AL866="Education and Training")+($AL866="Art, Design")+($AL866="Entertainment and Mass Media")+($AL866="Community and Social Service")+($AL866="Personal Care and Services")+($AL866="Government and Public Administration")+($AL866="Defence/ Protective Service")+($AL866="Sports"))&gt;0,"Arts / Humanities",""))))</f>
        <v/>
      </c>
      <c r="BD866" s="5" t="str">
        <f aca="false">IF($B866="","",--(F866&gt;=10)+--(G866&gt;=10)+--(H866&gt;=10)+--(I866&gt;=10)+--(J866&gt;=10)+--(K866&gt;=10)+--(L866&gt;=10)+--(M866&gt;=10)+--(N866&gt;=10)+--(O866&gt;=10))</f>
        <v/>
      </c>
      <c r="BE866" s="5" t="str">
        <f aca="false">IF($B866="","",--(AND(F866&lt;&gt;"",F866&lt;=8))+--(AND(G866&lt;&gt;"",G866&lt;=8))+--(AND(H866&lt;&gt;"",H866&lt;=8))+--(AND(I866&lt;&gt;"",I866&lt;=8))+--(AND(J866&lt;&gt;"",J866&lt;=8))+--(AND(K866&lt;&gt;"",K866&lt;=8))+--(AND(L866&lt;&gt;"",L866&lt;=8))+--(AND(M866&lt;&gt;"",M866&lt;=8))+--(AND(N866&lt;&gt;"",N866&lt;=8))+--(AND(O866&lt;&gt;"",O866&lt;=8)))</f>
        <v/>
      </c>
    </row>
    <row r="867" customFormat="false" ht="15" hidden="false" customHeight="false" outlineLevel="0" collapsed="false">
      <c r="AZ867" s="5" t="str">
        <f aca="false">IF($B867="","",SUMPRODUCT(($AL867:$AO867&lt;&gt;"")*(COUNTIF($AP867:$AX867,$AL867:$AO867)&gt;0)))</f>
        <v/>
      </c>
      <c r="BA867" s="5" t="str">
        <f aca="false">IF($B867="","",IF(AZ867&gt;0,1,0))</f>
        <v/>
      </c>
      <c r="BB867" s="5" t="str">
        <f aca="false">IF($AP867="","",IF((($AP867="Engineering and Technology")+($AP867="Science and Mathematics")+($AP867="Computer Science, IT and Allied Fields")+($AP867="Life Sciences /Medicine and Healthcare")+($AP867="Paramedical")+($AP867="Architecture")+($AP867="Environmental Service")+($AP867="Agriculture, Food Industry and Forestry"))&gt;0,"Science",IF((($AP867="Banking and Finance")+($AP867="Management and Administration")+($AP867="Marketing")+($AP867="Sales")+($AP867="Entrepreneurship")+($AP867="Hospitality and Tourism"))&gt;0,"Commerce",IF((($AP867="Social Sciences and Humanities")+($AP867="Law Studies")+($AP867="Education and Training")+($AP867="Art, Design")+($AP867="Entertainment and Mass Media")+($AP867="Community and Social Service")+($AP867="Personal Care and Services")+($AP867="Government and Public Administration")+($AP867="Defence/ Protective Service")+($AP867="Sports"))&gt;0,"Arts / Humanities",""))))</f>
        <v/>
      </c>
      <c r="BC867" s="5" t="str">
        <f aca="false">IF($AL867="","",IF((($AL867="Engineering and Technology")+($AL867="Science and Mathematics")+($AL867="Computer Science, IT and Allied Fields")+($AL867="Life Sciences /Medicine and Healthcare")+($AL867="Paramedical")+($AL867="Architecture")+($AL867="Environmental Service")+($AL867="Agriculture, Food Industry and Forestry"))&gt;0,"Science",IF((($AL867="Banking and Finance")+($AL867="Management and Administration")+($AL867="Marketing")+($AL867="Sales")+($AL867="Entrepreneurship")+($AL867="Hospitality and Tourism"))&gt;0,"Commerce",IF((($AL867="Social Sciences and Humanities")+($AL867="Law Studies")+($AL867="Education and Training")+($AL867="Art, Design")+($AL867="Entertainment and Mass Media")+($AL867="Community and Social Service")+($AL867="Personal Care and Services")+($AL867="Government and Public Administration")+($AL867="Defence/ Protective Service")+($AL867="Sports"))&gt;0,"Arts / Humanities",""))))</f>
        <v/>
      </c>
      <c r="BD867" s="5" t="str">
        <f aca="false">IF($B867="","",--(F867&gt;=10)+--(G867&gt;=10)+--(H867&gt;=10)+--(I867&gt;=10)+--(J867&gt;=10)+--(K867&gt;=10)+--(L867&gt;=10)+--(M867&gt;=10)+--(N867&gt;=10)+--(O867&gt;=10))</f>
        <v/>
      </c>
      <c r="BE867" s="5" t="str">
        <f aca="false">IF($B867="","",--(AND(F867&lt;&gt;"",F867&lt;=8))+--(AND(G867&lt;&gt;"",G867&lt;=8))+--(AND(H867&lt;&gt;"",H867&lt;=8))+--(AND(I867&lt;&gt;"",I867&lt;=8))+--(AND(J867&lt;&gt;"",J867&lt;=8))+--(AND(K867&lt;&gt;"",K867&lt;=8))+--(AND(L867&lt;&gt;"",L867&lt;=8))+--(AND(M867&lt;&gt;"",M867&lt;=8))+--(AND(N867&lt;&gt;"",N867&lt;=8))+--(AND(O867&lt;&gt;"",O867&lt;=8)))</f>
        <v/>
      </c>
    </row>
    <row r="868" customFormat="false" ht="15" hidden="false" customHeight="false" outlineLevel="0" collapsed="false">
      <c r="AZ868" s="5" t="str">
        <f aca="false">IF($B868="","",SUMPRODUCT(($AL868:$AO868&lt;&gt;"")*(COUNTIF($AP868:$AX868,$AL868:$AO868)&gt;0)))</f>
        <v/>
      </c>
      <c r="BA868" s="5" t="str">
        <f aca="false">IF($B868="","",IF(AZ868&gt;0,1,0))</f>
        <v/>
      </c>
      <c r="BB868" s="5" t="str">
        <f aca="false">IF($AP868="","",IF((($AP868="Engineering and Technology")+($AP868="Science and Mathematics")+($AP868="Computer Science, IT and Allied Fields")+($AP868="Life Sciences /Medicine and Healthcare")+($AP868="Paramedical")+($AP868="Architecture")+($AP868="Environmental Service")+($AP868="Agriculture, Food Industry and Forestry"))&gt;0,"Science",IF((($AP868="Banking and Finance")+($AP868="Management and Administration")+($AP868="Marketing")+($AP868="Sales")+($AP868="Entrepreneurship")+($AP868="Hospitality and Tourism"))&gt;0,"Commerce",IF((($AP868="Social Sciences and Humanities")+($AP868="Law Studies")+($AP868="Education and Training")+($AP868="Art, Design")+($AP868="Entertainment and Mass Media")+($AP868="Community and Social Service")+($AP868="Personal Care and Services")+($AP868="Government and Public Administration")+($AP868="Defence/ Protective Service")+($AP868="Sports"))&gt;0,"Arts / Humanities",""))))</f>
        <v/>
      </c>
      <c r="BC868" s="5" t="str">
        <f aca="false">IF($AL868="","",IF((($AL868="Engineering and Technology")+($AL868="Science and Mathematics")+($AL868="Computer Science, IT and Allied Fields")+($AL868="Life Sciences /Medicine and Healthcare")+($AL868="Paramedical")+($AL868="Architecture")+($AL868="Environmental Service")+($AL868="Agriculture, Food Industry and Forestry"))&gt;0,"Science",IF((($AL868="Banking and Finance")+($AL868="Management and Administration")+($AL868="Marketing")+($AL868="Sales")+($AL868="Entrepreneurship")+($AL868="Hospitality and Tourism"))&gt;0,"Commerce",IF((($AL868="Social Sciences and Humanities")+($AL868="Law Studies")+($AL868="Education and Training")+($AL868="Art, Design")+($AL868="Entertainment and Mass Media")+($AL868="Community and Social Service")+($AL868="Personal Care and Services")+($AL868="Government and Public Administration")+($AL868="Defence/ Protective Service")+($AL868="Sports"))&gt;0,"Arts / Humanities",""))))</f>
        <v/>
      </c>
      <c r="BD868" s="5" t="str">
        <f aca="false">IF($B868="","",--(F868&gt;=10)+--(G868&gt;=10)+--(H868&gt;=10)+--(I868&gt;=10)+--(J868&gt;=10)+--(K868&gt;=10)+--(L868&gt;=10)+--(M868&gt;=10)+--(N868&gt;=10)+--(O868&gt;=10))</f>
        <v/>
      </c>
      <c r="BE868" s="5" t="str">
        <f aca="false">IF($B868="","",--(AND(F868&lt;&gt;"",F868&lt;=8))+--(AND(G868&lt;&gt;"",G868&lt;=8))+--(AND(H868&lt;&gt;"",H868&lt;=8))+--(AND(I868&lt;&gt;"",I868&lt;=8))+--(AND(J868&lt;&gt;"",J868&lt;=8))+--(AND(K868&lt;&gt;"",K868&lt;=8))+--(AND(L868&lt;&gt;"",L868&lt;=8))+--(AND(M868&lt;&gt;"",M868&lt;=8))+--(AND(N868&lt;&gt;"",N868&lt;=8))+--(AND(O868&lt;&gt;"",O868&lt;=8)))</f>
        <v/>
      </c>
    </row>
    <row r="869" customFormat="false" ht="15" hidden="false" customHeight="false" outlineLevel="0" collapsed="false">
      <c r="AZ869" s="5" t="str">
        <f aca="false">IF($B869="","",SUMPRODUCT(($AL869:$AO869&lt;&gt;"")*(COUNTIF($AP869:$AX869,$AL869:$AO869)&gt;0)))</f>
        <v/>
      </c>
      <c r="BA869" s="5" t="str">
        <f aca="false">IF($B869="","",IF(AZ869&gt;0,1,0))</f>
        <v/>
      </c>
      <c r="BB869" s="5" t="str">
        <f aca="false">IF($AP869="","",IF((($AP869="Engineering and Technology")+($AP869="Science and Mathematics")+($AP869="Computer Science, IT and Allied Fields")+($AP869="Life Sciences /Medicine and Healthcare")+($AP869="Paramedical")+($AP869="Architecture")+($AP869="Environmental Service")+($AP869="Agriculture, Food Industry and Forestry"))&gt;0,"Science",IF((($AP869="Banking and Finance")+($AP869="Management and Administration")+($AP869="Marketing")+($AP869="Sales")+($AP869="Entrepreneurship")+($AP869="Hospitality and Tourism"))&gt;0,"Commerce",IF((($AP869="Social Sciences and Humanities")+($AP869="Law Studies")+($AP869="Education and Training")+($AP869="Art, Design")+($AP869="Entertainment and Mass Media")+($AP869="Community and Social Service")+($AP869="Personal Care and Services")+($AP869="Government and Public Administration")+($AP869="Defence/ Protective Service")+($AP869="Sports"))&gt;0,"Arts / Humanities",""))))</f>
        <v/>
      </c>
      <c r="BC869" s="5" t="str">
        <f aca="false">IF($AL869="","",IF((($AL869="Engineering and Technology")+($AL869="Science and Mathematics")+($AL869="Computer Science, IT and Allied Fields")+($AL869="Life Sciences /Medicine and Healthcare")+($AL869="Paramedical")+($AL869="Architecture")+($AL869="Environmental Service")+($AL869="Agriculture, Food Industry and Forestry"))&gt;0,"Science",IF((($AL869="Banking and Finance")+($AL869="Management and Administration")+($AL869="Marketing")+($AL869="Sales")+($AL869="Entrepreneurship")+($AL869="Hospitality and Tourism"))&gt;0,"Commerce",IF((($AL869="Social Sciences and Humanities")+($AL869="Law Studies")+($AL869="Education and Training")+($AL869="Art, Design")+($AL869="Entertainment and Mass Media")+($AL869="Community and Social Service")+($AL869="Personal Care and Services")+($AL869="Government and Public Administration")+($AL869="Defence/ Protective Service")+($AL869="Sports"))&gt;0,"Arts / Humanities",""))))</f>
        <v/>
      </c>
      <c r="BD869" s="5" t="str">
        <f aca="false">IF($B869="","",--(F869&gt;=10)+--(G869&gt;=10)+--(H869&gt;=10)+--(I869&gt;=10)+--(J869&gt;=10)+--(K869&gt;=10)+--(L869&gt;=10)+--(M869&gt;=10)+--(N869&gt;=10)+--(O869&gt;=10))</f>
        <v/>
      </c>
      <c r="BE869" s="5" t="str">
        <f aca="false">IF($B869="","",--(AND(F869&lt;&gt;"",F869&lt;=8))+--(AND(G869&lt;&gt;"",G869&lt;=8))+--(AND(H869&lt;&gt;"",H869&lt;=8))+--(AND(I869&lt;&gt;"",I869&lt;=8))+--(AND(J869&lt;&gt;"",J869&lt;=8))+--(AND(K869&lt;&gt;"",K869&lt;=8))+--(AND(L869&lt;&gt;"",L869&lt;=8))+--(AND(M869&lt;&gt;"",M869&lt;=8))+--(AND(N869&lt;&gt;"",N869&lt;=8))+--(AND(O869&lt;&gt;"",O869&lt;=8)))</f>
        <v/>
      </c>
    </row>
    <row r="870" customFormat="false" ht="15" hidden="false" customHeight="false" outlineLevel="0" collapsed="false">
      <c r="AZ870" s="5" t="str">
        <f aca="false">IF($B870="","",SUMPRODUCT(($AL870:$AO870&lt;&gt;"")*(COUNTIF($AP870:$AX870,$AL870:$AO870)&gt;0)))</f>
        <v/>
      </c>
      <c r="BA870" s="5" t="str">
        <f aca="false">IF($B870="","",IF(AZ870&gt;0,1,0))</f>
        <v/>
      </c>
      <c r="BB870" s="5" t="str">
        <f aca="false">IF($AP870="","",IF((($AP870="Engineering and Technology")+($AP870="Science and Mathematics")+($AP870="Computer Science, IT and Allied Fields")+($AP870="Life Sciences /Medicine and Healthcare")+($AP870="Paramedical")+($AP870="Architecture")+($AP870="Environmental Service")+($AP870="Agriculture, Food Industry and Forestry"))&gt;0,"Science",IF((($AP870="Banking and Finance")+($AP870="Management and Administration")+($AP870="Marketing")+($AP870="Sales")+($AP870="Entrepreneurship")+($AP870="Hospitality and Tourism"))&gt;0,"Commerce",IF((($AP870="Social Sciences and Humanities")+($AP870="Law Studies")+($AP870="Education and Training")+($AP870="Art, Design")+($AP870="Entertainment and Mass Media")+($AP870="Community and Social Service")+($AP870="Personal Care and Services")+($AP870="Government and Public Administration")+($AP870="Defence/ Protective Service")+($AP870="Sports"))&gt;0,"Arts / Humanities",""))))</f>
        <v/>
      </c>
      <c r="BC870" s="5" t="str">
        <f aca="false">IF($AL870="","",IF((($AL870="Engineering and Technology")+($AL870="Science and Mathematics")+($AL870="Computer Science, IT and Allied Fields")+($AL870="Life Sciences /Medicine and Healthcare")+($AL870="Paramedical")+($AL870="Architecture")+($AL870="Environmental Service")+($AL870="Agriculture, Food Industry and Forestry"))&gt;0,"Science",IF((($AL870="Banking and Finance")+($AL870="Management and Administration")+($AL870="Marketing")+($AL870="Sales")+($AL870="Entrepreneurship")+($AL870="Hospitality and Tourism"))&gt;0,"Commerce",IF((($AL870="Social Sciences and Humanities")+($AL870="Law Studies")+($AL870="Education and Training")+($AL870="Art, Design")+($AL870="Entertainment and Mass Media")+($AL870="Community and Social Service")+($AL870="Personal Care and Services")+($AL870="Government and Public Administration")+($AL870="Defence/ Protective Service")+($AL870="Sports"))&gt;0,"Arts / Humanities",""))))</f>
        <v/>
      </c>
      <c r="BD870" s="5" t="str">
        <f aca="false">IF($B870="","",--(F870&gt;=10)+--(G870&gt;=10)+--(H870&gt;=10)+--(I870&gt;=10)+--(J870&gt;=10)+--(K870&gt;=10)+--(L870&gt;=10)+--(M870&gt;=10)+--(N870&gt;=10)+--(O870&gt;=10))</f>
        <v/>
      </c>
      <c r="BE870" s="5" t="str">
        <f aca="false">IF($B870="","",--(AND(F870&lt;&gt;"",F870&lt;=8))+--(AND(G870&lt;&gt;"",G870&lt;=8))+--(AND(H870&lt;&gt;"",H870&lt;=8))+--(AND(I870&lt;&gt;"",I870&lt;=8))+--(AND(J870&lt;&gt;"",J870&lt;=8))+--(AND(K870&lt;&gt;"",K870&lt;=8))+--(AND(L870&lt;&gt;"",L870&lt;=8))+--(AND(M870&lt;&gt;"",M870&lt;=8))+--(AND(N870&lt;&gt;"",N870&lt;=8))+--(AND(O870&lt;&gt;"",O870&lt;=8)))</f>
        <v/>
      </c>
    </row>
    <row r="871" customFormat="false" ht="15" hidden="false" customHeight="false" outlineLevel="0" collapsed="false">
      <c r="AZ871" s="5" t="str">
        <f aca="false">IF($B871="","",SUMPRODUCT(($AL871:$AO871&lt;&gt;"")*(COUNTIF($AP871:$AX871,$AL871:$AO871)&gt;0)))</f>
        <v/>
      </c>
      <c r="BA871" s="5" t="str">
        <f aca="false">IF($B871="","",IF(AZ871&gt;0,1,0))</f>
        <v/>
      </c>
      <c r="BB871" s="5" t="str">
        <f aca="false">IF($AP871="","",IF((($AP871="Engineering and Technology")+($AP871="Science and Mathematics")+($AP871="Computer Science, IT and Allied Fields")+($AP871="Life Sciences /Medicine and Healthcare")+($AP871="Paramedical")+($AP871="Architecture")+($AP871="Environmental Service")+($AP871="Agriculture, Food Industry and Forestry"))&gt;0,"Science",IF((($AP871="Banking and Finance")+($AP871="Management and Administration")+($AP871="Marketing")+($AP871="Sales")+($AP871="Entrepreneurship")+($AP871="Hospitality and Tourism"))&gt;0,"Commerce",IF((($AP871="Social Sciences and Humanities")+($AP871="Law Studies")+($AP871="Education and Training")+($AP871="Art, Design")+($AP871="Entertainment and Mass Media")+($AP871="Community and Social Service")+($AP871="Personal Care and Services")+($AP871="Government and Public Administration")+($AP871="Defence/ Protective Service")+($AP871="Sports"))&gt;0,"Arts / Humanities",""))))</f>
        <v/>
      </c>
      <c r="BC871" s="5" t="str">
        <f aca="false">IF($AL871="","",IF((($AL871="Engineering and Technology")+($AL871="Science and Mathematics")+($AL871="Computer Science, IT and Allied Fields")+($AL871="Life Sciences /Medicine and Healthcare")+($AL871="Paramedical")+($AL871="Architecture")+($AL871="Environmental Service")+($AL871="Agriculture, Food Industry and Forestry"))&gt;0,"Science",IF((($AL871="Banking and Finance")+($AL871="Management and Administration")+($AL871="Marketing")+($AL871="Sales")+($AL871="Entrepreneurship")+($AL871="Hospitality and Tourism"))&gt;0,"Commerce",IF((($AL871="Social Sciences and Humanities")+($AL871="Law Studies")+($AL871="Education and Training")+($AL871="Art, Design")+($AL871="Entertainment and Mass Media")+($AL871="Community and Social Service")+($AL871="Personal Care and Services")+($AL871="Government and Public Administration")+($AL871="Defence/ Protective Service")+($AL871="Sports"))&gt;0,"Arts / Humanities",""))))</f>
        <v/>
      </c>
      <c r="BD871" s="5" t="str">
        <f aca="false">IF($B871="","",--(F871&gt;=10)+--(G871&gt;=10)+--(H871&gt;=10)+--(I871&gt;=10)+--(J871&gt;=10)+--(K871&gt;=10)+--(L871&gt;=10)+--(M871&gt;=10)+--(N871&gt;=10)+--(O871&gt;=10))</f>
        <v/>
      </c>
      <c r="BE871" s="5" t="str">
        <f aca="false">IF($B871="","",--(AND(F871&lt;&gt;"",F871&lt;=8))+--(AND(G871&lt;&gt;"",G871&lt;=8))+--(AND(H871&lt;&gt;"",H871&lt;=8))+--(AND(I871&lt;&gt;"",I871&lt;=8))+--(AND(J871&lt;&gt;"",J871&lt;=8))+--(AND(K871&lt;&gt;"",K871&lt;=8))+--(AND(L871&lt;&gt;"",L871&lt;=8))+--(AND(M871&lt;&gt;"",M871&lt;=8))+--(AND(N871&lt;&gt;"",N871&lt;=8))+--(AND(O871&lt;&gt;"",O871&lt;=8)))</f>
        <v/>
      </c>
    </row>
    <row r="872" customFormat="false" ht="15" hidden="false" customHeight="false" outlineLevel="0" collapsed="false">
      <c r="AZ872" s="5" t="str">
        <f aca="false">IF($B872="","",SUMPRODUCT(($AL872:$AO872&lt;&gt;"")*(COUNTIF($AP872:$AX872,$AL872:$AO872)&gt;0)))</f>
        <v/>
      </c>
      <c r="BA872" s="5" t="str">
        <f aca="false">IF($B872="","",IF(AZ872&gt;0,1,0))</f>
        <v/>
      </c>
      <c r="BB872" s="5" t="str">
        <f aca="false">IF($AP872="","",IF((($AP872="Engineering and Technology")+($AP872="Science and Mathematics")+($AP872="Computer Science, IT and Allied Fields")+($AP872="Life Sciences /Medicine and Healthcare")+($AP872="Paramedical")+($AP872="Architecture")+($AP872="Environmental Service")+($AP872="Agriculture, Food Industry and Forestry"))&gt;0,"Science",IF((($AP872="Banking and Finance")+($AP872="Management and Administration")+($AP872="Marketing")+($AP872="Sales")+($AP872="Entrepreneurship")+($AP872="Hospitality and Tourism"))&gt;0,"Commerce",IF((($AP872="Social Sciences and Humanities")+($AP872="Law Studies")+($AP872="Education and Training")+($AP872="Art, Design")+($AP872="Entertainment and Mass Media")+($AP872="Community and Social Service")+($AP872="Personal Care and Services")+($AP872="Government and Public Administration")+($AP872="Defence/ Protective Service")+($AP872="Sports"))&gt;0,"Arts / Humanities",""))))</f>
        <v/>
      </c>
      <c r="BC872" s="5" t="str">
        <f aca="false">IF($AL872="","",IF((($AL872="Engineering and Technology")+($AL872="Science and Mathematics")+($AL872="Computer Science, IT and Allied Fields")+($AL872="Life Sciences /Medicine and Healthcare")+($AL872="Paramedical")+($AL872="Architecture")+($AL872="Environmental Service")+($AL872="Agriculture, Food Industry and Forestry"))&gt;0,"Science",IF((($AL872="Banking and Finance")+($AL872="Management and Administration")+($AL872="Marketing")+($AL872="Sales")+($AL872="Entrepreneurship")+($AL872="Hospitality and Tourism"))&gt;0,"Commerce",IF((($AL872="Social Sciences and Humanities")+($AL872="Law Studies")+($AL872="Education and Training")+($AL872="Art, Design")+($AL872="Entertainment and Mass Media")+($AL872="Community and Social Service")+($AL872="Personal Care and Services")+($AL872="Government and Public Administration")+($AL872="Defence/ Protective Service")+($AL872="Sports"))&gt;0,"Arts / Humanities",""))))</f>
        <v/>
      </c>
      <c r="BD872" s="5" t="str">
        <f aca="false">IF($B872="","",--(F872&gt;=10)+--(G872&gt;=10)+--(H872&gt;=10)+--(I872&gt;=10)+--(J872&gt;=10)+--(K872&gt;=10)+--(L872&gt;=10)+--(M872&gt;=10)+--(N872&gt;=10)+--(O872&gt;=10))</f>
        <v/>
      </c>
      <c r="BE872" s="5" t="str">
        <f aca="false">IF($B872="","",--(AND(F872&lt;&gt;"",F872&lt;=8))+--(AND(G872&lt;&gt;"",G872&lt;=8))+--(AND(H872&lt;&gt;"",H872&lt;=8))+--(AND(I872&lt;&gt;"",I872&lt;=8))+--(AND(J872&lt;&gt;"",J872&lt;=8))+--(AND(K872&lt;&gt;"",K872&lt;=8))+--(AND(L872&lt;&gt;"",L872&lt;=8))+--(AND(M872&lt;&gt;"",M872&lt;=8))+--(AND(N872&lt;&gt;"",N872&lt;=8))+--(AND(O872&lt;&gt;"",O872&lt;=8)))</f>
        <v/>
      </c>
    </row>
    <row r="873" customFormat="false" ht="15" hidden="false" customHeight="false" outlineLevel="0" collapsed="false">
      <c r="AZ873" s="5" t="str">
        <f aca="false">IF($B873="","",SUMPRODUCT(($AL873:$AO873&lt;&gt;"")*(COUNTIF($AP873:$AX873,$AL873:$AO873)&gt;0)))</f>
        <v/>
      </c>
      <c r="BA873" s="5" t="str">
        <f aca="false">IF($B873="","",IF(AZ873&gt;0,1,0))</f>
        <v/>
      </c>
      <c r="BB873" s="5" t="str">
        <f aca="false">IF($AP873="","",IF((($AP873="Engineering and Technology")+($AP873="Science and Mathematics")+($AP873="Computer Science, IT and Allied Fields")+($AP873="Life Sciences /Medicine and Healthcare")+($AP873="Paramedical")+($AP873="Architecture")+($AP873="Environmental Service")+($AP873="Agriculture, Food Industry and Forestry"))&gt;0,"Science",IF((($AP873="Banking and Finance")+($AP873="Management and Administration")+($AP873="Marketing")+($AP873="Sales")+($AP873="Entrepreneurship")+($AP873="Hospitality and Tourism"))&gt;0,"Commerce",IF((($AP873="Social Sciences and Humanities")+($AP873="Law Studies")+($AP873="Education and Training")+($AP873="Art, Design")+($AP873="Entertainment and Mass Media")+($AP873="Community and Social Service")+($AP873="Personal Care and Services")+($AP873="Government and Public Administration")+($AP873="Defence/ Protective Service")+($AP873="Sports"))&gt;0,"Arts / Humanities",""))))</f>
        <v/>
      </c>
      <c r="BC873" s="5" t="str">
        <f aca="false">IF($AL873="","",IF((($AL873="Engineering and Technology")+($AL873="Science and Mathematics")+($AL873="Computer Science, IT and Allied Fields")+($AL873="Life Sciences /Medicine and Healthcare")+($AL873="Paramedical")+($AL873="Architecture")+($AL873="Environmental Service")+($AL873="Agriculture, Food Industry and Forestry"))&gt;0,"Science",IF((($AL873="Banking and Finance")+($AL873="Management and Administration")+($AL873="Marketing")+($AL873="Sales")+($AL873="Entrepreneurship")+($AL873="Hospitality and Tourism"))&gt;0,"Commerce",IF((($AL873="Social Sciences and Humanities")+($AL873="Law Studies")+($AL873="Education and Training")+($AL873="Art, Design")+($AL873="Entertainment and Mass Media")+($AL873="Community and Social Service")+($AL873="Personal Care and Services")+($AL873="Government and Public Administration")+($AL873="Defence/ Protective Service")+($AL873="Sports"))&gt;0,"Arts / Humanities",""))))</f>
        <v/>
      </c>
      <c r="BD873" s="5" t="str">
        <f aca="false">IF($B873="","",--(F873&gt;=10)+--(G873&gt;=10)+--(H873&gt;=10)+--(I873&gt;=10)+--(J873&gt;=10)+--(K873&gt;=10)+--(L873&gt;=10)+--(M873&gt;=10)+--(N873&gt;=10)+--(O873&gt;=10))</f>
        <v/>
      </c>
      <c r="BE873" s="5" t="str">
        <f aca="false">IF($B873="","",--(AND(F873&lt;&gt;"",F873&lt;=8))+--(AND(G873&lt;&gt;"",G873&lt;=8))+--(AND(H873&lt;&gt;"",H873&lt;=8))+--(AND(I873&lt;&gt;"",I873&lt;=8))+--(AND(J873&lt;&gt;"",J873&lt;=8))+--(AND(K873&lt;&gt;"",K873&lt;=8))+--(AND(L873&lt;&gt;"",L873&lt;=8))+--(AND(M873&lt;&gt;"",M873&lt;=8))+--(AND(N873&lt;&gt;"",N873&lt;=8))+--(AND(O873&lt;&gt;"",O873&lt;=8)))</f>
        <v/>
      </c>
    </row>
    <row r="874" customFormat="false" ht="15" hidden="false" customHeight="false" outlineLevel="0" collapsed="false">
      <c r="AZ874" s="5" t="str">
        <f aca="false">IF($B874="","",SUMPRODUCT(($AL874:$AO874&lt;&gt;"")*(COUNTIF($AP874:$AX874,$AL874:$AO874)&gt;0)))</f>
        <v/>
      </c>
      <c r="BA874" s="5" t="str">
        <f aca="false">IF($B874="","",IF(AZ874&gt;0,1,0))</f>
        <v/>
      </c>
      <c r="BB874" s="5" t="str">
        <f aca="false">IF($AP874="","",IF((($AP874="Engineering and Technology")+($AP874="Science and Mathematics")+($AP874="Computer Science, IT and Allied Fields")+($AP874="Life Sciences /Medicine and Healthcare")+($AP874="Paramedical")+($AP874="Architecture")+($AP874="Environmental Service")+($AP874="Agriculture, Food Industry and Forestry"))&gt;0,"Science",IF((($AP874="Banking and Finance")+($AP874="Management and Administration")+($AP874="Marketing")+($AP874="Sales")+($AP874="Entrepreneurship")+($AP874="Hospitality and Tourism"))&gt;0,"Commerce",IF((($AP874="Social Sciences and Humanities")+($AP874="Law Studies")+($AP874="Education and Training")+($AP874="Art, Design")+($AP874="Entertainment and Mass Media")+($AP874="Community and Social Service")+($AP874="Personal Care and Services")+($AP874="Government and Public Administration")+($AP874="Defence/ Protective Service")+($AP874="Sports"))&gt;0,"Arts / Humanities",""))))</f>
        <v/>
      </c>
      <c r="BC874" s="5" t="str">
        <f aca="false">IF($AL874="","",IF((($AL874="Engineering and Technology")+($AL874="Science and Mathematics")+($AL874="Computer Science, IT and Allied Fields")+($AL874="Life Sciences /Medicine and Healthcare")+($AL874="Paramedical")+($AL874="Architecture")+($AL874="Environmental Service")+($AL874="Agriculture, Food Industry and Forestry"))&gt;0,"Science",IF((($AL874="Banking and Finance")+($AL874="Management and Administration")+($AL874="Marketing")+($AL874="Sales")+($AL874="Entrepreneurship")+($AL874="Hospitality and Tourism"))&gt;0,"Commerce",IF((($AL874="Social Sciences and Humanities")+($AL874="Law Studies")+($AL874="Education and Training")+($AL874="Art, Design")+($AL874="Entertainment and Mass Media")+($AL874="Community and Social Service")+($AL874="Personal Care and Services")+($AL874="Government and Public Administration")+($AL874="Defence/ Protective Service")+($AL874="Sports"))&gt;0,"Arts / Humanities",""))))</f>
        <v/>
      </c>
      <c r="BD874" s="5" t="str">
        <f aca="false">IF($B874="","",--(F874&gt;=10)+--(G874&gt;=10)+--(H874&gt;=10)+--(I874&gt;=10)+--(J874&gt;=10)+--(K874&gt;=10)+--(L874&gt;=10)+--(M874&gt;=10)+--(N874&gt;=10)+--(O874&gt;=10))</f>
        <v/>
      </c>
      <c r="BE874" s="5" t="str">
        <f aca="false">IF($B874="","",--(AND(F874&lt;&gt;"",F874&lt;=8))+--(AND(G874&lt;&gt;"",G874&lt;=8))+--(AND(H874&lt;&gt;"",H874&lt;=8))+--(AND(I874&lt;&gt;"",I874&lt;=8))+--(AND(J874&lt;&gt;"",J874&lt;=8))+--(AND(K874&lt;&gt;"",K874&lt;=8))+--(AND(L874&lt;&gt;"",L874&lt;=8))+--(AND(M874&lt;&gt;"",M874&lt;=8))+--(AND(N874&lt;&gt;"",N874&lt;=8))+--(AND(O874&lt;&gt;"",O874&lt;=8)))</f>
        <v/>
      </c>
    </row>
    <row r="875" customFormat="false" ht="15" hidden="false" customHeight="false" outlineLevel="0" collapsed="false">
      <c r="AZ875" s="5" t="str">
        <f aca="false">IF($B875="","",SUMPRODUCT(($AL875:$AO875&lt;&gt;"")*(COUNTIF($AP875:$AX875,$AL875:$AO875)&gt;0)))</f>
        <v/>
      </c>
      <c r="BA875" s="5" t="str">
        <f aca="false">IF($B875="","",IF(AZ875&gt;0,1,0))</f>
        <v/>
      </c>
      <c r="BB875" s="5" t="str">
        <f aca="false">IF($AP875="","",IF((($AP875="Engineering and Technology")+($AP875="Science and Mathematics")+($AP875="Computer Science, IT and Allied Fields")+($AP875="Life Sciences /Medicine and Healthcare")+($AP875="Paramedical")+($AP875="Architecture")+($AP875="Environmental Service")+($AP875="Agriculture, Food Industry and Forestry"))&gt;0,"Science",IF((($AP875="Banking and Finance")+($AP875="Management and Administration")+($AP875="Marketing")+($AP875="Sales")+($AP875="Entrepreneurship")+($AP875="Hospitality and Tourism"))&gt;0,"Commerce",IF((($AP875="Social Sciences and Humanities")+($AP875="Law Studies")+($AP875="Education and Training")+($AP875="Art, Design")+($AP875="Entertainment and Mass Media")+($AP875="Community and Social Service")+($AP875="Personal Care and Services")+($AP875="Government and Public Administration")+($AP875="Defence/ Protective Service")+($AP875="Sports"))&gt;0,"Arts / Humanities",""))))</f>
        <v/>
      </c>
      <c r="BC875" s="5" t="str">
        <f aca="false">IF($AL875="","",IF((($AL875="Engineering and Technology")+($AL875="Science and Mathematics")+($AL875="Computer Science, IT and Allied Fields")+($AL875="Life Sciences /Medicine and Healthcare")+($AL875="Paramedical")+($AL875="Architecture")+($AL875="Environmental Service")+($AL875="Agriculture, Food Industry and Forestry"))&gt;0,"Science",IF((($AL875="Banking and Finance")+($AL875="Management and Administration")+($AL875="Marketing")+($AL875="Sales")+($AL875="Entrepreneurship")+($AL875="Hospitality and Tourism"))&gt;0,"Commerce",IF((($AL875="Social Sciences and Humanities")+($AL875="Law Studies")+($AL875="Education and Training")+($AL875="Art, Design")+($AL875="Entertainment and Mass Media")+($AL875="Community and Social Service")+($AL875="Personal Care and Services")+($AL875="Government and Public Administration")+($AL875="Defence/ Protective Service")+($AL875="Sports"))&gt;0,"Arts / Humanities",""))))</f>
        <v/>
      </c>
      <c r="BD875" s="5" t="str">
        <f aca="false">IF($B875="","",--(F875&gt;=10)+--(G875&gt;=10)+--(H875&gt;=10)+--(I875&gt;=10)+--(J875&gt;=10)+--(K875&gt;=10)+--(L875&gt;=10)+--(M875&gt;=10)+--(N875&gt;=10)+--(O875&gt;=10))</f>
        <v/>
      </c>
      <c r="BE875" s="5" t="str">
        <f aca="false">IF($B875="","",--(AND(F875&lt;&gt;"",F875&lt;=8))+--(AND(G875&lt;&gt;"",G875&lt;=8))+--(AND(H875&lt;&gt;"",H875&lt;=8))+--(AND(I875&lt;&gt;"",I875&lt;=8))+--(AND(J875&lt;&gt;"",J875&lt;=8))+--(AND(K875&lt;&gt;"",K875&lt;=8))+--(AND(L875&lt;&gt;"",L875&lt;=8))+--(AND(M875&lt;&gt;"",M875&lt;=8))+--(AND(N875&lt;&gt;"",N875&lt;=8))+--(AND(O875&lt;&gt;"",O875&lt;=8)))</f>
        <v/>
      </c>
    </row>
    <row r="876" customFormat="false" ht="15" hidden="false" customHeight="false" outlineLevel="0" collapsed="false">
      <c r="AZ876" s="5" t="str">
        <f aca="false">IF($B876="","",SUMPRODUCT(($AL876:$AO876&lt;&gt;"")*(COUNTIF($AP876:$AX876,$AL876:$AO876)&gt;0)))</f>
        <v/>
      </c>
      <c r="BA876" s="5" t="str">
        <f aca="false">IF($B876="","",IF(AZ876&gt;0,1,0))</f>
        <v/>
      </c>
      <c r="BB876" s="5" t="str">
        <f aca="false">IF($AP876="","",IF((($AP876="Engineering and Technology")+($AP876="Science and Mathematics")+($AP876="Computer Science, IT and Allied Fields")+($AP876="Life Sciences /Medicine and Healthcare")+($AP876="Paramedical")+($AP876="Architecture")+($AP876="Environmental Service")+($AP876="Agriculture, Food Industry and Forestry"))&gt;0,"Science",IF((($AP876="Banking and Finance")+($AP876="Management and Administration")+($AP876="Marketing")+($AP876="Sales")+($AP876="Entrepreneurship")+($AP876="Hospitality and Tourism"))&gt;0,"Commerce",IF((($AP876="Social Sciences and Humanities")+($AP876="Law Studies")+($AP876="Education and Training")+($AP876="Art, Design")+($AP876="Entertainment and Mass Media")+($AP876="Community and Social Service")+($AP876="Personal Care and Services")+($AP876="Government and Public Administration")+($AP876="Defence/ Protective Service")+($AP876="Sports"))&gt;0,"Arts / Humanities",""))))</f>
        <v/>
      </c>
      <c r="BC876" s="5" t="str">
        <f aca="false">IF($AL876="","",IF((($AL876="Engineering and Technology")+($AL876="Science and Mathematics")+($AL876="Computer Science, IT and Allied Fields")+($AL876="Life Sciences /Medicine and Healthcare")+($AL876="Paramedical")+($AL876="Architecture")+($AL876="Environmental Service")+($AL876="Agriculture, Food Industry and Forestry"))&gt;0,"Science",IF((($AL876="Banking and Finance")+($AL876="Management and Administration")+($AL876="Marketing")+($AL876="Sales")+($AL876="Entrepreneurship")+($AL876="Hospitality and Tourism"))&gt;0,"Commerce",IF((($AL876="Social Sciences and Humanities")+($AL876="Law Studies")+($AL876="Education and Training")+($AL876="Art, Design")+($AL876="Entertainment and Mass Media")+($AL876="Community and Social Service")+($AL876="Personal Care and Services")+($AL876="Government and Public Administration")+($AL876="Defence/ Protective Service")+($AL876="Sports"))&gt;0,"Arts / Humanities",""))))</f>
        <v/>
      </c>
      <c r="BD876" s="5" t="str">
        <f aca="false">IF($B876="","",--(F876&gt;=10)+--(G876&gt;=10)+--(H876&gt;=10)+--(I876&gt;=10)+--(J876&gt;=10)+--(K876&gt;=10)+--(L876&gt;=10)+--(M876&gt;=10)+--(N876&gt;=10)+--(O876&gt;=10))</f>
        <v/>
      </c>
      <c r="BE876" s="5" t="str">
        <f aca="false">IF($B876="","",--(AND(F876&lt;&gt;"",F876&lt;=8))+--(AND(G876&lt;&gt;"",G876&lt;=8))+--(AND(H876&lt;&gt;"",H876&lt;=8))+--(AND(I876&lt;&gt;"",I876&lt;=8))+--(AND(J876&lt;&gt;"",J876&lt;=8))+--(AND(K876&lt;&gt;"",K876&lt;=8))+--(AND(L876&lt;&gt;"",L876&lt;=8))+--(AND(M876&lt;&gt;"",M876&lt;=8))+--(AND(N876&lt;&gt;"",N876&lt;=8))+--(AND(O876&lt;&gt;"",O876&lt;=8)))</f>
        <v/>
      </c>
    </row>
    <row r="877" customFormat="false" ht="15" hidden="false" customHeight="false" outlineLevel="0" collapsed="false">
      <c r="AZ877" s="5" t="str">
        <f aca="false">IF($B877="","",SUMPRODUCT(($AL877:$AO877&lt;&gt;"")*(COUNTIF($AP877:$AX877,$AL877:$AO877)&gt;0)))</f>
        <v/>
      </c>
      <c r="BA877" s="5" t="str">
        <f aca="false">IF($B877="","",IF(AZ877&gt;0,1,0))</f>
        <v/>
      </c>
      <c r="BB877" s="5" t="str">
        <f aca="false">IF($AP877="","",IF((($AP877="Engineering and Technology")+($AP877="Science and Mathematics")+($AP877="Computer Science, IT and Allied Fields")+($AP877="Life Sciences /Medicine and Healthcare")+($AP877="Paramedical")+($AP877="Architecture")+($AP877="Environmental Service")+($AP877="Agriculture, Food Industry and Forestry"))&gt;0,"Science",IF((($AP877="Banking and Finance")+($AP877="Management and Administration")+($AP877="Marketing")+($AP877="Sales")+($AP877="Entrepreneurship")+($AP877="Hospitality and Tourism"))&gt;0,"Commerce",IF((($AP877="Social Sciences and Humanities")+($AP877="Law Studies")+($AP877="Education and Training")+($AP877="Art, Design")+($AP877="Entertainment and Mass Media")+($AP877="Community and Social Service")+($AP877="Personal Care and Services")+($AP877="Government and Public Administration")+($AP877="Defence/ Protective Service")+($AP877="Sports"))&gt;0,"Arts / Humanities",""))))</f>
        <v/>
      </c>
      <c r="BC877" s="5" t="str">
        <f aca="false">IF($AL877="","",IF((($AL877="Engineering and Technology")+($AL877="Science and Mathematics")+($AL877="Computer Science, IT and Allied Fields")+($AL877="Life Sciences /Medicine and Healthcare")+($AL877="Paramedical")+($AL877="Architecture")+($AL877="Environmental Service")+($AL877="Agriculture, Food Industry and Forestry"))&gt;0,"Science",IF((($AL877="Banking and Finance")+($AL877="Management and Administration")+($AL877="Marketing")+($AL877="Sales")+($AL877="Entrepreneurship")+($AL877="Hospitality and Tourism"))&gt;0,"Commerce",IF((($AL877="Social Sciences and Humanities")+($AL877="Law Studies")+($AL877="Education and Training")+($AL877="Art, Design")+($AL877="Entertainment and Mass Media")+($AL877="Community and Social Service")+($AL877="Personal Care and Services")+($AL877="Government and Public Administration")+($AL877="Defence/ Protective Service")+($AL877="Sports"))&gt;0,"Arts / Humanities",""))))</f>
        <v/>
      </c>
      <c r="BD877" s="5" t="str">
        <f aca="false">IF($B877="","",--(F877&gt;=10)+--(G877&gt;=10)+--(H877&gt;=10)+--(I877&gt;=10)+--(J877&gt;=10)+--(K877&gt;=10)+--(L877&gt;=10)+--(M877&gt;=10)+--(N877&gt;=10)+--(O877&gt;=10))</f>
        <v/>
      </c>
      <c r="BE877" s="5" t="str">
        <f aca="false">IF($B877="","",--(AND(F877&lt;&gt;"",F877&lt;=8))+--(AND(G877&lt;&gt;"",G877&lt;=8))+--(AND(H877&lt;&gt;"",H877&lt;=8))+--(AND(I877&lt;&gt;"",I877&lt;=8))+--(AND(J877&lt;&gt;"",J877&lt;=8))+--(AND(K877&lt;&gt;"",K877&lt;=8))+--(AND(L877&lt;&gt;"",L877&lt;=8))+--(AND(M877&lt;&gt;"",M877&lt;=8))+--(AND(N877&lt;&gt;"",N877&lt;=8))+--(AND(O877&lt;&gt;"",O877&lt;=8)))</f>
        <v/>
      </c>
    </row>
    <row r="878" customFormat="false" ht="15" hidden="false" customHeight="false" outlineLevel="0" collapsed="false">
      <c r="AZ878" s="5" t="str">
        <f aca="false">IF($B878="","",SUMPRODUCT(($AL878:$AO878&lt;&gt;"")*(COUNTIF($AP878:$AX878,$AL878:$AO878)&gt;0)))</f>
        <v/>
      </c>
      <c r="BA878" s="5" t="str">
        <f aca="false">IF($B878="","",IF(AZ878&gt;0,1,0))</f>
        <v/>
      </c>
      <c r="BB878" s="5" t="str">
        <f aca="false">IF($AP878="","",IF((($AP878="Engineering and Technology")+($AP878="Science and Mathematics")+($AP878="Computer Science, IT and Allied Fields")+($AP878="Life Sciences /Medicine and Healthcare")+($AP878="Paramedical")+($AP878="Architecture")+($AP878="Environmental Service")+($AP878="Agriculture, Food Industry and Forestry"))&gt;0,"Science",IF((($AP878="Banking and Finance")+($AP878="Management and Administration")+($AP878="Marketing")+($AP878="Sales")+($AP878="Entrepreneurship")+($AP878="Hospitality and Tourism"))&gt;0,"Commerce",IF((($AP878="Social Sciences and Humanities")+($AP878="Law Studies")+($AP878="Education and Training")+($AP878="Art, Design")+($AP878="Entertainment and Mass Media")+($AP878="Community and Social Service")+($AP878="Personal Care and Services")+($AP878="Government and Public Administration")+($AP878="Defence/ Protective Service")+($AP878="Sports"))&gt;0,"Arts / Humanities",""))))</f>
        <v/>
      </c>
      <c r="BC878" s="5" t="str">
        <f aca="false">IF($AL878="","",IF((($AL878="Engineering and Technology")+($AL878="Science and Mathematics")+($AL878="Computer Science, IT and Allied Fields")+($AL878="Life Sciences /Medicine and Healthcare")+($AL878="Paramedical")+($AL878="Architecture")+($AL878="Environmental Service")+($AL878="Agriculture, Food Industry and Forestry"))&gt;0,"Science",IF((($AL878="Banking and Finance")+($AL878="Management and Administration")+($AL878="Marketing")+($AL878="Sales")+($AL878="Entrepreneurship")+($AL878="Hospitality and Tourism"))&gt;0,"Commerce",IF((($AL878="Social Sciences and Humanities")+($AL878="Law Studies")+($AL878="Education and Training")+($AL878="Art, Design")+($AL878="Entertainment and Mass Media")+($AL878="Community and Social Service")+($AL878="Personal Care and Services")+($AL878="Government and Public Administration")+($AL878="Defence/ Protective Service")+($AL878="Sports"))&gt;0,"Arts / Humanities",""))))</f>
        <v/>
      </c>
      <c r="BD878" s="5" t="str">
        <f aca="false">IF($B878="","",--(F878&gt;=10)+--(G878&gt;=10)+--(H878&gt;=10)+--(I878&gt;=10)+--(J878&gt;=10)+--(K878&gt;=10)+--(L878&gt;=10)+--(M878&gt;=10)+--(N878&gt;=10)+--(O878&gt;=10))</f>
        <v/>
      </c>
      <c r="BE878" s="5" t="str">
        <f aca="false">IF($B878="","",--(AND(F878&lt;&gt;"",F878&lt;=8))+--(AND(G878&lt;&gt;"",G878&lt;=8))+--(AND(H878&lt;&gt;"",H878&lt;=8))+--(AND(I878&lt;&gt;"",I878&lt;=8))+--(AND(J878&lt;&gt;"",J878&lt;=8))+--(AND(K878&lt;&gt;"",K878&lt;=8))+--(AND(L878&lt;&gt;"",L878&lt;=8))+--(AND(M878&lt;&gt;"",M878&lt;=8))+--(AND(N878&lt;&gt;"",N878&lt;=8))+--(AND(O878&lt;&gt;"",O878&lt;=8)))</f>
        <v/>
      </c>
    </row>
    <row r="879" customFormat="false" ht="15" hidden="false" customHeight="false" outlineLevel="0" collapsed="false">
      <c r="AZ879" s="5" t="str">
        <f aca="false">IF($B879="","",SUMPRODUCT(($AL879:$AO879&lt;&gt;"")*(COUNTIF($AP879:$AX879,$AL879:$AO879)&gt;0)))</f>
        <v/>
      </c>
      <c r="BA879" s="5" t="str">
        <f aca="false">IF($B879="","",IF(AZ879&gt;0,1,0))</f>
        <v/>
      </c>
      <c r="BB879" s="5" t="str">
        <f aca="false">IF($AP879="","",IF((($AP879="Engineering and Technology")+($AP879="Science and Mathematics")+($AP879="Computer Science, IT and Allied Fields")+($AP879="Life Sciences /Medicine and Healthcare")+($AP879="Paramedical")+($AP879="Architecture")+($AP879="Environmental Service")+($AP879="Agriculture, Food Industry and Forestry"))&gt;0,"Science",IF((($AP879="Banking and Finance")+($AP879="Management and Administration")+($AP879="Marketing")+($AP879="Sales")+($AP879="Entrepreneurship")+($AP879="Hospitality and Tourism"))&gt;0,"Commerce",IF((($AP879="Social Sciences and Humanities")+($AP879="Law Studies")+($AP879="Education and Training")+($AP879="Art, Design")+($AP879="Entertainment and Mass Media")+($AP879="Community and Social Service")+($AP879="Personal Care and Services")+($AP879="Government and Public Administration")+($AP879="Defence/ Protective Service")+($AP879="Sports"))&gt;0,"Arts / Humanities",""))))</f>
        <v/>
      </c>
      <c r="BC879" s="5" t="str">
        <f aca="false">IF($AL879="","",IF((($AL879="Engineering and Technology")+($AL879="Science and Mathematics")+($AL879="Computer Science, IT and Allied Fields")+($AL879="Life Sciences /Medicine and Healthcare")+($AL879="Paramedical")+($AL879="Architecture")+($AL879="Environmental Service")+($AL879="Agriculture, Food Industry and Forestry"))&gt;0,"Science",IF((($AL879="Banking and Finance")+($AL879="Management and Administration")+($AL879="Marketing")+($AL879="Sales")+($AL879="Entrepreneurship")+($AL879="Hospitality and Tourism"))&gt;0,"Commerce",IF((($AL879="Social Sciences and Humanities")+($AL879="Law Studies")+($AL879="Education and Training")+($AL879="Art, Design")+($AL879="Entertainment and Mass Media")+($AL879="Community and Social Service")+($AL879="Personal Care and Services")+($AL879="Government and Public Administration")+($AL879="Defence/ Protective Service")+($AL879="Sports"))&gt;0,"Arts / Humanities",""))))</f>
        <v/>
      </c>
      <c r="BD879" s="5" t="str">
        <f aca="false">IF($B879="","",--(F879&gt;=10)+--(G879&gt;=10)+--(H879&gt;=10)+--(I879&gt;=10)+--(J879&gt;=10)+--(K879&gt;=10)+--(L879&gt;=10)+--(M879&gt;=10)+--(N879&gt;=10)+--(O879&gt;=10))</f>
        <v/>
      </c>
      <c r="BE879" s="5" t="str">
        <f aca="false">IF($B879="","",--(AND(F879&lt;&gt;"",F879&lt;=8))+--(AND(G879&lt;&gt;"",G879&lt;=8))+--(AND(H879&lt;&gt;"",H879&lt;=8))+--(AND(I879&lt;&gt;"",I879&lt;=8))+--(AND(J879&lt;&gt;"",J879&lt;=8))+--(AND(K879&lt;&gt;"",K879&lt;=8))+--(AND(L879&lt;&gt;"",L879&lt;=8))+--(AND(M879&lt;&gt;"",M879&lt;=8))+--(AND(N879&lt;&gt;"",N879&lt;=8))+--(AND(O879&lt;&gt;"",O879&lt;=8)))</f>
        <v/>
      </c>
    </row>
    <row r="880" customFormat="false" ht="15" hidden="false" customHeight="false" outlineLevel="0" collapsed="false">
      <c r="AZ880" s="5" t="str">
        <f aca="false">IF($B880="","",SUMPRODUCT(($AL880:$AO880&lt;&gt;"")*(COUNTIF($AP880:$AX880,$AL880:$AO880)&gt;0)))</f>
        <v/>
      </c>
      <c r="BA880" s="5" t="str">
        <f aca="false">IF($B880="","",IF(AZ880&gt;0,1,0))</f>
        <v/>
      </c>
      <c r="BB880" s="5" t="str">
        <f aca="false">IF($AP880="","",IF((($AP880="Engineering and Technology")+($AP880="Science and Mathematics")+($AP880="Computer Science, IT and Allied Fields")+($AP880="Life Sciences /Medicine and Healthcare")+($AP880="Paramedical")+($AP880="Architecture")+($AP880="Environmental Service")+($AP880="Agriculture, Food Industry and Forestry"))&gt;0,"Science",IF((($AP880="Banking and Finance")+($AP880="Management and Administration")+($AP880="Marketing")+($AP880="Sales")+($AP880="Entrepreneurship")+($AP880="Hospitality and Tourism"))&gt;0,"Commerce",IF((($AP880="Social Sciences and Humanities")+($AP880="Law Studies")+($AP880="Education and Training")+($AP880="Art, Design")+($AP880="Entertainment and Mass Media")+($AP880="Community and Social Service")+($AP880="Personal Care and Services")+($AP880="Government and Public Administration")+($AP880="Defence/ Protective Service")+($AP880="Sports"))&gt;0,"Arts / Humanities",""))))</f>
        <v/>
      </c>
      <c r="BC880" s="5" t="str">
        <f aca="false">IF($AL880="","",IF((($AL880="Engineering and Technology")+($AL880="Science and Mathematics")+($AL880="Computer Science, IT and Allied Fields")+($AL880="Life Sciences /Medicine and Healthcare")+($AL880="Paramedical")+($AL880="Architecture")+($AL880="Environmental Service")+($AL880="Agriculture, Food Industry and Forestry"))&gt;0,"Science",IF((($AL880="Banking and Finance")+($AL880="Management and Administration")+($AL880="Marketing")+($AL880="Sales")+($AL880="Entrepreneurship")+($AL880="Hospitality and Tourism"))&gt;0,"Commerce",IF((($AL880="Social Sciences and Humanities")+($AL880="Law Studies")+($AL880="Education and Training")+($AL880="Art, Design")+($AL880="Entertainment and Mass Media")+($AL880="Community and Social Service")+($AL880="Personal Care and Services")+($AL880="Government and Public Administration")+($AL880="Defence/ Protective Service")+($AL880="Sports"))&gt;0,"Arts / Humanities",""))))</f>
        <v/>
      </c>
      <c r="BD880" s="5" t="str">
        <f aca="false">IF($B880="","",--(F880&gt;=10)+--(G880&gt;=10)+--(H880&gt;=10)+--(I880&gt;=10)+--(J880&gt;=10)+--(K880&gt;=10)+--(L880&gt;=10)+--(M880&gt;=10)+--(N880&gt;=10)+--(O880&gt;=10))</f>
        <v/>
      </c>
      <c r="BE880" s="5" t="str">
        <f aca="false">IF($B880="","",--(AND(F880&lt;&gt;"",F880&lt;=8))+--(AND(G880&lt;&gt;"",G880&lt;=8))+--(AND(H880&lt;&gt;"",H880&lt;=8))+--(AND(I880&lt;&gt;"",I880&lt;=8))+--(AND(J880&lt;&gt;"",J880&lt;=8))+--(AND(K880&lt;&gt;"",K880&lt;=8))+--(AND(L880&lt;&gt;"",L880&lt;=8))+--(AND(M880&lt;&gt;"",M880&lt;=8))+--(AND(N880&lt;&gt;"",N880&lt;=8))+--(AND(O880&lt;&gt;"",O880&lt;=8)))</f>
        <v/>
      </c>
    </row>
    <row r="881" customFormat="false" ht="15" hidden="false" customHeight="false" outlineLevel="0" collapsed="false">
      <c r="AZ881" s="5" t="str">
        <f aca="false">IF($B881="","",SUMPRODUCT(($AL881:$AO881&lt;&gt;"")*(COUNTIF($AP881:$AX881,$AL881:$AO881)&gt;0)))</f>
        <v/>
      </c>
      <c r="BA881" s="5" t="str">
        <f aca="false">IF($B881="","",IF(AZ881&gt;0,1,0))</f>
        <v/>
      </c>
      <c r="BB881" s="5" t="str">
        <f aca="false">IF($AP881="","",IF((($AP881="Engineering and Technology")+($AP881="Science and Mathematics")+($AP881="Computer Science, IT and Allied Fields")+($AP881="Life Sciences /Medicine and Healthcare")+($AP881="Paramedical")+($AP881="Architecture")+($AP881="Environmental Service")+($AP881="Agriculture, Food Industry and Forestry"))&gt;0,"Science",IF((($AP881="Banking and Finance")+($AP881="Management and Administration")+($AP881="Marketing")+($AP881="Sales")+($AP881="Entrepreneurship")+($AP881="Hospitality and Tourism"))&gt;0,"Commerce",IF((($AP881="Social Sciences and Humanities")+($AP881="Law Studies")+($AP881="Education and Training")+($AP881="Art, Design")+($AP881="Entertainment and Mass Media")+($AP881="Community and Social Service")+($AP881="Personal Care and Services")+($AP881="Government and Public Administration")+($AP881="Defence/ Protective Service")+($AP881="Sports"))&gt;0,"Arts / Humanities",""))))</f>
        <v/>
      </c>
      <c r="BC881" s="5" t="str">
        <f aca="false">IF($AL881="","",IF((($AL881="Engineering and Technology")+($AL881="Science and Mathematics")+($AL881="Computer Science, IT and Allied Fields")+($AL881="Life Sciences /Medicine and Healthcare")+($AL881="Paramedical")+($AL881="Architecture")+($AL881="Environmental Service")+($AL881="Agriculture, Food Industry and Forestry"))&gt;0,"Science",IF((($AL881="Banking and Finance")+($AL881="Management and Administration")+($AL881="Marketing")+($AL881="Sales")+($AL881="Entrepreneurship")+($AL881="Hospitality and Tourism"))&gt;0,"Commerce",IF((($AL881="Social Sciences and Humanities")+($AL881="Law Studies")+($AL881="Education and Training")+($AL881="Art, Design")+($AL881="Entertainment and Mass Media")+($AL881="Community and Social Service")+($AL881="Personal Care and Services")+($AL881="Government and Public Administration")+($AL881="Defence/ Protective Service")+($AL881="Sports"))&gt;0,"Arts / Humanities",""))))</f>
        <v/>
      </c>
      <c r="BD881" s="5" t="str">
        <f aca="false">IF($B881="","",--(F881&gt;=10)+--(G881&gt;=10)+--(H881&gt;=10)+--(I881&gt;=10)+--(J881&gt;=10)+--(K881&gt;=10)+--(L881&gt;=10)+--(M881&gt;=10)+--(N881&gt;=10)+--(O881&gt;=10))</f>
        <v/>
      </c>
      <c r="BE881" s="5" t="str">
        <f aca="false">IF($B881="","",--(AND(F881&lt;&gt;"",F881&lt;=8))+--(AND(G881&lt;&gt;"",G881&lt;=8))+--(AND(H881&lt;&gt;"",H881&lt;=8))+--(AND(I881&lt;&gt;"",I881&lt;=8))+--(AND(J881&lt;&gt;"",J881&lt;=8))+--(AND(K881&lt;&gt;"",K881&lt;=8))+--(AND(L881&lt;&gt;"",L881&lt;=8))+--(AND(M881&lt;&gt;"",M881&lt;=8))+--(AND(N881&lt;&gt;"",N881&lt;=8))+--(AND(O881&lt;&gt;"",O881&lt;=8)))</f>
        <v/>
      </c>
    </row>
    <row r="882" customFormat="false" ht="15" hidden="false" customHeight="false" outlineLevel="0" collapsed="false">
      <c r="AZ882" s="5" t="str">
        <f aca="false">IF($B882="","",SUMPRODUCT(($AL882:$AO882&lt;&gt;"")*(COUNTIF($AP882:$AX882,$AL882:$AO882)&gt;0)))</f>
        <v/>
      </c>
      <c r="BA882" s="5" t="str">
        <f aca="false">IF($B882="","",IF(AZ882&gt;0,1,0))</f>
        <v/>
      </c>
      <c r="BB882" s="5" t="str">
        <f aca="false">IF($AP882="","",IF((($AP882="Engineering and Technology")+($AP882="Science and Mathematics")+($AP882="Computer Science, IT and Allied Fields")+($AP882="Life Sciences /Medicine and Healthcare")+($AP882="Paramedical")+($AP882="Architecture")+($AP882="Environmental Service")+($AP882="Agriculture, Food Industry and Forestry"))&gt;0,"Science",IF((($AP882="Banking and Finance")+($AP882="Management and Administration")+($AP882="Marketing")+($AP882="Sales")+($AP882="Entrepreneurship")+($AP882="Hospitality and Tourism"))&gt;0,"Commerce",IF((($AP882="Social Sciences and Humanities")+($AP882="Law Studies")+($AP882="Education and Training")+($AP882="Art, Design")+($AP882="Entertainment and Mass Media")+($AP882="Community and Social Service")+($AP882="Personal Care and Services")+($AP882="Government and Public Administration")+($AP882="Defence/ Protective Service")+($AP882="Sports"))&gt;0,"Arts / Humanities",""))))</f>
        <v/>
      </c>
      <c r="BC882" s="5" t="str">
        <f aca="false">IF($AL882="","",IF((($AL882="Engineering and Technology")+($AL882="Science and Mathematics")+($AL882="Computer Science, IT and Allied Fields")+($AL882="Life Sciences /Medicine and Healthcare")+($AL882="Paramedical")+($AL882="Architecture")+($AL882="Environmental Service")+($AL882="Agriculture, Food Industry and Forestry"))&gt;0,"Science",IF((($AL882="Banking and Finance")+($AL882="Management and Administration")+($AL882="Marketing")+($AL882="Sales")+($AL882="Entrepreneurship")+($AL882="Hospitality and Tourism"))&gt;0,"Commerce",IF((($AL882="Social Sciences and Humanities")+($AL882="Law Studies")+($AL882="Education and Training")+($AL882="Art, Design")+($AL882="Entertainment and Mass Media")+($AL882="Community and Social Service")+($AL882="Personal Care and Services")+($AL882="Government and Public Administration")+($AL882="Defence/ Protective Service")+($AL882="Sports"))&gt;0,"Arts / Humanities",""))))</f>
        <v/>
      </c>
      <c r="BD882" s="5" t="str">
        <f aca="false">IF($B882="","",--(F882&gt;=10)+--(G882&gt;=10)+--(H882&gt;=10)+--(I882&gt;=10)+--(J882&gt;=10)+--(K882&gt;=10)+--(L882&gt;=10)+--(M882&gt;=10)+--(N882&gt;=10)+--(O882&gt;=10))</f>
        <v/>
      </c>
      <c r="BE882" s="5" t="str">
        <f aca="false">IF($B882="","",--(AND(F882&lt;&gt;"",F882&lt;=8))+--(AND(G882&lt;&gt;"",G882&lt;=8))+--(AND(H882&lt;&gt;"",H882&lt;=8))+--(AND(I882&lt;&gt;"",I882&lt;=8))+--(AND(J882&lt;&gt;"",J882&lt;=8))+--(AND(K882&lt;&gt;"",K882&lt;=8))+--(AND(L882&lt;&gt;"",L882&lt;=8))+--(AND(M882&lt;&gt;"",M882&lt;=8))+--(AND(N882&lt;&gt;"",N882&lt;=8))+--(AND(O882&lt;&gt;"",O882&lt;=8)))</f>
        <v/>
      </c>
    </row>
    <row r="883" customFormat="false" ht="15" hidden="false" customHeight="false" outlineLevel="0" collapsed="false">
      <c r="AZ883" s="5" t="str">
        <f aca="false">IF($B883="","",SUMPRODUCT(($AL883:$AO883&lt;&gt;"")*(COUNTIF($AP883:$AX883,$AL883:$AO883)&gt;0)))</f>
        <v/>
      </c>
      <c r="BA883" s="5" t="str">
        <f aca="false">IF($B883="","",IF(AZ883&gt;0,1,0))</f>
        <v/>
      </c>
      <c r="BB883" s="5" t="str">
        <f aca="false">IF($AP883="","",IF((($AP883="Engineering and Technology")+($AP883="Science and Mathematics")+($AP883="Computer Science, IT and Allied Fields")+($AP883="Life Sciences /Medicine and Healthcare")+($AP883="Paramedical")+($AP883="Architecture")+($AP883="Environmental Service")+($AP883="Agriculture, Food Industry and Forestry"))&gt;0,"Science",IF((($AP883="Banking and Finance")+($AP883="Management and Administration")+($AP883="Marketing")+($AP883="Sales")+($AP883="Entrepreneurship")+($AP883="Hospitality and Tourism"))&gt;0,"Commerce",IF((($AP883="Social Sciences and Humanities")+($AP883="Law Studies")+($AP883="Education and Training")+($AP883="Art, Design")+($AP883="Entertainment and Mass Media")+($AP883="Community and Social Service")+($AP883="Personal Care and Services")+($AP883="Government and Public Administration")+($AP883="Defence/ Protective Service")+($AP883="Sports"))&gt;0,"Arts / Humanities",""))))</f>
        <v/>
      </c>
      <c r="BC883" s="5" t="str">
        <f aca="false">IF($AL883="","",IF((($AL883="Engineering and Technology")+($AL883="Science and Mathematics")+($AL883="Computer Science, IT and Allied Fields")+($AL883="Life Sciences /Medicine and Healthcare")+($AL883="Paramedical")+($AL883="Architecture")+($AL883="Environmental Service")+($AL883="Agriculture, Food Industry and Forestry"))&gt;0,"Science",IF((($AL883="Banking and Finance")+($AL883="Management and Administration")+($AL883="Marketing")+($AL883="Sales")+($AL883="Entrepreneurship")+($AL883="Hospitality and Tourism"))&gt;0,"Commerce",IF((($AL883="Social Sciences and Humanities")+($AL883="Law Studies")+($AL883="Education and Training")+($AL883="Art, Design")+($AL883="Entertainment and Mass Media")+($AL883="Community and Social Service")+($AL883="Personal Care and Services")+($AL883="Government and Public Administration")+($AL883="Defence/ Protective Service")+($AL883="Sports"))&gt;0,"Arts / Humanities",""))))</f>
        <v/>
      </c>
      <c r="BD883" s="5" t="str">
        <f aca="false">IF($B883="","",--(F883&gt;=10)+--(G883&gt;=10)+--(H883&gt;=10)+--(I883&gt;=10)+--(J883&gt;=10)+--(K883&gt;=10)+--(L883&gt;=10)+--(M883&gt;=10)+--(N883&gt;=10)+--(O883&gt;=10))</f>
        <v/>
      </c>
      <c r="BE883" s="5" t="str">
        <f aca="false">IF($B883="","",--(AND(F883&lt;&gt;"",F883&lt;=8))+--(AND(G883&lt;&gt;"",G883&lt;=8))+--(AND(H883&lt;&gt;"",H883&lt;=8))+--(AND(I883&lt;&gt;"",I883&lt;=8))+--(AND(J883&lt;&gt;"",J883&lt;=8))+--(AND(K883&lt;&gt;"",K883&lt;=8))+--(AND(L883&lt;&gt;"",L883&lt;=8))+--(AND(M883&lt;&gt;"",M883&lt;=8))+--(AND(N883&lt;&gt;"",N883&lt;=8))+--(AND(O883&lt;&gt;"",O883&lt;=8)))</f>
        <v/>
      </c>
    </row>
    <row r="884" customFormat="false" ht="15" hidden="false" customHeight="false" outlineLevel="0" collapsed="false">
      <c r="AZ884" s="5" t="str">
        <f aca="false">IF($B884="","",SUMPRODUCT(($AL884:$AO884&lt;&gt;"")*(COUNTIF($AP884:$AX884,$AL884:$AO884)&gt;0)))</f>
        <v/>
      </c>
      <c r="BA884" s="5" t="str">
        <f aca="false">IF($B884="","",IF(AZ884&gt;0,1,0))</f>
        <v/>
      </c>
      <c r="BB884" s="5" t="str">
        <f aca="false">IF($AP884="","",IF((($AP884="Engineering and Technology")+($AP884="Science and Mathematics")+($AP884="Computer Science, IT and Allied Fields")+($AP884="Life Sciences /Medicine and Healthcare")+($AP884="Paramedical")+($AP884="Architecture")+($AP884="Environmental Service")+($AP884="Agriculture, Food Industry and Forestry"))&gt;0,"Science",IF((($AP884="Banking and Finance")+($AP884="Management and Administration")+($AP884="Marketing")+($AP884="Sales")+($AP884="Entrepreneurship")+($AP884="Hospitality and Tourism"))&gt;0,"Commerce",IF((($AP884="Social Sciences and Humanities")+($AP884="Law Studies")+($AP884="Education and Training")+($AP884="Art, Design")+($AP884="Entertainment and Mass Media")+($AP884="Community and Social Service")+($AP884="Personal Care and Services")+($AP884="Government and Public Administration")+($AP884="Defence/ Protective Service")+($AP884="Sports"))&gt;0,"Arts / Humanities",""))))</f>
        <v/>
      </c>
      <c r="BC884" s="5" t="str">
        <f aca="false">IF($AL884="","",IF((($AL884="Engineering and Technology")+($AL884="Science and Mathematics")+($AL884="Computer Science, IT and Allied Fields")+($AL884="Life Sciences /Medicine and Healthcare")+($AL884="Paramedical")+($AL884="Architecture")+($AL884="Environmental Service")+($AL884="Agriculture, Food Industry and Forestry"))&gt;0,"Science",IF((($AL884="Banking and Finance")+($AL884="Management and Administration")+($AL884="Marketing")+($AL884="Sales")+($AL884="Entrepreneurship")+($AL884="Hospitality and Tourism"))&gt;0,"Commerce",IF((($AL884="Social Sciences and Humanities")+($AL884="Law Studies")+($AL884="Education and Training")+($AL884="Art, Design")+($AL884="Entertainment and Mass Media")+($AL884="Community and Social Service")+($AL884="Personal Care and Services")+($AL884="Government and Public Administration")+($AL884="Defence/ Protective Service")+($AL884="Sports"))&gt;0,"Arts / Humanities",""))))</f>
        <v/>
      </c>
      <c r="BD884" s="5" t="str">
        <f aca="false">IF($B884="","",--(F884&gt;=10)+--(G884&gt;=10)+--(H884&gt;=10)+--(I884&gt;=10)+--(J884&gt;=10)+--(K884&gt;=10)+--(L884&gt;=10)+--(M884&gt;=10)+--(N884&gt;=10)+--(O884&gt;=10))</f>
        <v/>
      </c>
      <c r="BE884" s="5" t="str">
        <f aca="false">IF($B884="","",--(AND(F884&lt;&gt;"",F884&lt;=8))+--(AND(G884&lt;&gt;"",G884&lt;=8))+--(AND(H884&lt;&gt;"",H884&lt;=8))+--(AND(I884&lt;&gt;"",I884&lt;=8))+--(AND(J884&lt;&gt;"",J884&lt;=8))+--(AND(K884&lt;&gt;"",K884&lt;=8))+--(AND(L884&lt;&gt;"",L884&lt;=8))+--(AND(M884&lt;&gt;"",M884&lt;=8))+--(AND(N884&lt;&gt;"",N884&lt;=8))+--(AND(O884&lt;&gt;"",O884&lt;=8)))</f>
        <v/>
      </c>
    </row>
    <row r="885" customFormat="false" ht="15" hidden="false" customHeight="false" outlineLevel="0" collapsed="false">
      <c r="AZ885" s="5" t="str">
        <f aca="false">IF($B885="","",SUMPRODUCT(($AL885:$AO885&lt;&gt;"")*(COUNTIF($AP885:$AX885,$AL885:$AO885)&gt;0)))</f>
        <v/>
      </c>
      <c r="BA885" s="5" t="str">
        <f aca="false">IF($B885="","",IF(AZ885&gt;0,1,0))</f>
        <v/>
      </c>
      <c r="BB885" s="5" t="str">
        <f aca="false">IF($AP885="","",IF((($AP885="Engineering and Technology")+($AP885="Science and Mathematics")+($AP885="Computer Science, IT and Allied Fields")+($AP885="Life Sciences /Medicine and Healthcare")+($AP885="Paramedical")+($AP885="Architecture")+($AP885="Environmental Service")+($AP885="Agriculture, Food Industry and Forestry"))&gt;0,"Science",IF((($AP885="Banking and Finance")+($AP885="Management and Administration")+($AP885="Marketing")+($AP885="Sales")+($AP885="Entrepreneurship")+($AP885="Hospitality and Tourism"))&gt;0,"Commerce",IF((($AP885="Social Sciences and Humanities")+($AP885="Law Studies")+($AP885="Education and Training")+($AP885="Art, Design")+($AP885="Entertainment and Mass Media")+($AP885="Community and Social Service")+($AP885="Personal Care and Services")+($AP885="Government and Public Administration")+($AP885="Defence/ Protective Service")+($AP885="Sports"))&gt;0,"Arts / Humanities",""))))</f>
        <v/>
      </c>
      <c r="BC885" s="5" t="str">
        <f aca="false">IF($AL885="","",IF((($AL885="Engineering and Technology")+($AL885="Science and Mathematics")+($AL885="Computer Science, IT and Allied Fields")+($AL885="Life Sciences /Medicine and Healthcare")+($AL885="Paramedical")+($AL885="Architecture")+($AL885="Environmental Service")+($AL885="Agriculture, Food Industry and Forestry"))&gt;0,"Science",IF((($AL885="Banking and Finance")+($AL885="Management and Administration")+($AL885="Marketing")+($AL885="Sales")+($AL885="Entrepreneurship")+($AL885="Hospitality and Tourism"))&gt;0,"Commerce",IF((($AL885="Social Sciences and Humanities")+($AL885="Law Studies")+($AL885="Education and Training")+($AL885="Art, Design")+($AL885="Entertainment and Mass Media")+($AL885="Community and Social Service")+($AL885="Personal Care and Services")+($AL885="Government and Public Administration")+($AL885="Defence/ Protective Service")+($AL885="Sports"))&gt;0,"Arts / Humanities",""))))</f>
        <v/>
      </c>
      <c r="BD885" s="5" t="str">
        <f aca="false">IF($B885="","",--(F885&gt;=10)+--(G885&gt;=10)+--(H885&gt;=10)+--(I885&gt;=10)+--(J885&gt;=10)+--(K885&gt;=10)+--(L885&gt;=10)+--(M885&gt;=10)+--(N885&gt;=10)+--(O885&gt;=10))</f>
        <v/>
      </c>
      <c r="BE885" s="5" t="str">
        <f aca="false">IF($B885="","",--(AND(F885&lt;&gt;"",F885&lt;=8))+--(AND(G885&lt;&gt;"",G885&lt;=8))+--(AND(H885&lt;&gt;"",H885&lt;=8))+--(AND(I885&lt;&gt;"",I885&lt;=8))+--(AND(J885&lt;&gt;"",J885&lt;=8))+--(AND(K885&lt;&gt;"",K885&lt;=8))+--(AND(L885&lt;&gt;"",L885&lt;=8))+--(AND(M885&lt;&gt;"",M885&lt;=8))+--(AND(N885&lt;&gt;"",N885&lt;=8))+--(AND(O885&lt;&gt;"",O885&lt;=8)))</f>
        <v/>
      </c>
    </row>
    <row r="886" customFormat="false" ht="15" hidden="false" customHeight="false" outlineLevel="0" collapsed="false">
      <c r="AZ886" s="5" t="str">
        <f aca="false">IF($B886="","",SUMPRODUCT(($AL886:$AO886&lt;&gt;"")*(COUNTIF($AP886:$AX886,$AL886:$AO886)&gt;0)))</f>
        <v/>
      </c>
      <c r="BA886" s="5" t="str">
        <f aca="false">IF($B886="","",IF(AZ886&gt;0,1,0))</f>
        <v/>
      </c>
      <c r="BB886" s="5" t="str">
        <f aca="false">IF($AP886="","",IF((($AP886="Engineering and Technology")+($AP886="Science and Mathematics")+($AP886="Computer Science, IT and Allied Fields")+($AP886="Life Sciences /Medicine and Healthcare")+($AP886="Paramedical")+($AP886="Architecture")+($AP886="Environmental Service")+($AP886="Agriculture, Food Industry and Forestry"))&gt;0,"Science",IF((($AP886="Banking and Finance")+($AP886="Management and Administration")+($AP886="Marketing")+($AP886="Sales")+($AP886="Entrepreneurship")+($AP886="Hospitality and Tourism"))&gt;0,"Commerce",IF((($AP886="Social Sciences and Humanities")+($AP886="Law Studies")+($AP886="Education and Training")+($AP886="Art, Design")+($AP886="Entertainment and Mass Media")+($AP886="Community and Social Service")+($AP886="Personal Care and Services")+($AP886="Government and Public Administration")+($AP886="Defence/ Protective Service")+($AP886="Sports"))&gt;0,"Arts / Humanities",""))))</f>
        <v/>
      </c>
      <c r="BC886" s="5" t="str">
        <f aca="false">IF($AL886="","",IF((($AL886="Engineering and Technology")+($AL886="Science and Mathematics")+($AL886="Computer Science, IT and Allied Fields")+($AL886="Life Sciences /Medicine and Healthcare")+($AL886="Paramedical")+($AL886="Architecture")+($AL886="Environmental Service")+($AL886="Agriculture, Food Industry and Forestry"))&gt;0,"Science",IF((($AL886="Banking and Finance")+($AL886="Management and Administration")+($AL886="Marketing")+($AL886="Sales")+($AL886="Entrepreneurship")+($AL886="Hospitality and Tourism"))&gt;0,"Commerce",IF((($AL886="Social Sciences and Humanities")+($AL886="Law Studies")+($AL886="Education and Training")+($AL886="Art, Design")+($AL886="Entertainment and Mass Media")+($AL886="Community and Social Service")+($AL886="Personal Care and Services")+($AL886="Government and Public Administration")+($AL886="Defence/ Protective Service")+($AL886="Sports"))&gt;0,"Arts / Humanities",""))))</f>
        <v/>
      </c>
      <c r="BD886" s="5" t="str">
        <f aca="false">IF($B886="","",--(F886&gt;=10)+--(G886&gt;=10)+--(H886&gt;=10)+--(I886&gt;=10)+--(J886&gt;=10)+--(K886&gt;=10)+--(L886&gt;=10)+--(M886&gt;=10)+--(N886&gt;=10)+--(O886&gt;=10))</f>
        <v/>
      </c>
      <c r="BE886" s="5" t="str">
        <f aca="false">IF($B886="","",--(AND(F886&lt;&gt;"",F886&lt;=8))+--(AND(G886&lt;&gt;"",G886&lt;=8))+--(AND(H886&lt;&gt;"",H886&lt;=8))+--(AND(I886&lt;&gt;"",I886&lt;=8))+--(AND(J886&lt;&gt;"",J886&lt;=8))+--(AND(K886&lt;&gt;"",K886&lt;=8))+--(AND(L886&lt;&gt;"",L886&lt;=8))+--(AND(M886&lt;&gt;"",M886&lt;=8))+--(AND(N886&lt;&gt;"",N886&lt;=8))+--(AND(O886&lt;&gt;"",O886&lt;=8)))</f>
        <v/>
      </c>
    </row>
    <row r="887" customFormat="false" ht="15" hidden="false" customHeight="false" outlineLevel="0" collapsed="false">
      <c r="AZ887" s="5" t="str">
        <f aca="false">IF($B887="","",SUMPRODUCT(($AL887:$AO887&lt;&gt;"")*(COUNTIF($AP887:$AX887,$AL887:$AO887)&gt;0)))</f>
        <v/>
      </c>
      <c r="BA887" s="5" t="str">
        <f aca="false">IF($B887="","",IF(AZ887&gt;0,1,0))</f>
        <v/>
      </c>
      <c r="BB887" s="5" t="str">
        <f aca="false">IF($AP887="","",IF((($AP887="Engineering and Technology")+($AP887="Science and Mathematics")+($AP887="Computer Science, IT and Allied Fields")+($AP887="Life Sciences /Medicine and Healthcare")+($AP887="Paramedical")+($AP887="Architecture")+($AP887="Environmental Service")+($AP887="Agriculture, Food Industry and Forestry"))&gt;0,"Science",IF((($AP887="Banking and Finance")+($AP887="Management and Administration")+($AP887="Marketing")+($AP887="Sales")+($AP887="Entrepreneurship")+($AP887="Hospitality and Tourism"))&gt;0,"Commerce",IF((($AP887="Social Sciences and Humanities")+($AP887="Law Studies")+($AP887="Education and Training")+($AP887="Art, Design")+($AP887="Entertainment and Mass Media")+($AP887="Community and Social Service")+($AP887="Personal Care and Services")+($AP887="Government and Public Administration")+($AP887="Defence/ Protective Service")+($AP887="Sports"))&gt;0,"Arts / Humanities",""))))</f>
        <v/>
      </c>
      <c r="BC887" s="5" t="str">
        <f aca="false">IF($AL887="","",IF((($AL887="Engineering and Technology")+($AL887="Science and Mathematics")+($AL887="Computer Science, IT and Allied Fields")+($AL887="Life Sciences /Medicine and Healthcare")+($AL887="Paramedical")+($AL887="Architecture")+($AL887="Environmental Service")+($AL887="Agriculture, Food Industry and Forestry"))&gt;0,"Science",IF((($AL887="Banking and Finance")+($AL887="Management and Administration")+($AL887="Marketing")+($AL887="Sales")+($AL887="Entrepreneurship")+($AL887="Hospitality and Tourism"))&gt;0,"Commerce",IF((($AL887="Social Sciences and Humanities")+($AL887="Law Studies")+($AL887="Education and Training")+($AL887="Art, Design")+($AL887="Entertainment and Mass Media")+($AL887="Community and Social Service")+($AL887="Personal Care and Services")+($AL887="Government and Public Administration")+($AL887="Defence/ Protective Service")+($AL887="Sports"))&gt;0,"Arts / Humanities",""))))</f>
        <v/>
      </c>
      <c r="BD887" s="5" t="str">
        <f aca="false">IF($B887="","",--(F887&gt;=10)+--(G887&gt;=10)+--(H887&gt;=10)+--(I887&gt;=10)+--(J887&gt;=10)+--(K887&gt;=10)+--(L887&gt;=10)+--(M887&gt;=10)+--(N887&gt;=10)+--(O887&gt;=10))</f>
        <v/>
      </c>
      <c r="BE887" s="5" t="str">
        <f aca="false">IF($B887="","",--(AND(F887&lt;&gt;"",F887&lt;=8))+--(AND(G887&lt;&gt;"",G887&lt;=8))+--(AND(H887&lt;&gt;"",H887&lt;=8))+--(AND(I887&lt;&gt;"",I887&lt;=8))+--(AND(J887&lt;&gt;"",J887&lt;=8))+--(AND(K887&lt;&gt;"",K887&lt;=8))+--(AND(L887&lt;&gt;"",L887&lt;=8))+--(AND(M887&lt;&gt;"",M887&lt;=8))+--(AND(N887&lt;&gt;"",N887&lt;=8))+--(AND(O887&lt;&gt;"",O887&lt;=8)))</f>
        <v/>
      </c>
    </row>
    <row r="888" customFormat="false" ht="15" hidden="false" customHeight="false" outlineLevel="0" collapsed="false">
      <c r="AZ888" s="5" t="str">
        <f aca="false">IF($B888="","",SUMPRODUCT(($AL888:$AO888&lt;&gt;"")*(COUNTIF($AP888:$AX888,$AL888:$AO888)&gt;0)))</f>
        <v/>
      </c>
      <c r="BA888" s="5" t="str">
        <f aca="false">IF($B888="","",IF(AZ888&gt;0,1,0))</f>
        <v/>
      </c>
      <c r="BB888" s="5" t="str">
        <f aca="false">IF($AP888="","",IF((($AP888="Engineering and Technology")+($AP888="Science and Mathematics")+($AP888="Computer Science, IT and Allied Fields")+($AP888="Life Sciences /Medicine and Healthcare")+($AP888="Paramedical")+($AP888="Architecture")+($AP888="Environmental Service")+($AP888="Agriculture, Food Industry and Forestry"))&gt;0,"Science",IF((($AP888="Banking and Finance")+($AP888="Management and Administration")+($AP888="Marketing")+($AP888="Sales")+($AP888="Entrepreneurship")+($AP888="Hospitality and Tourism"))&gt;0,"Commerce",IF((($AP888="Social Sciences and Humanities")+($AP888="Law Studies")+($AP888="Education and Training")+($AP888="Art, Design")+($AP888="Entertainment and Mass Media")+($AP888="Community and Social Service")+($AP888="Personal Care and Services")+($AP888="Government and Public Administration")+($AP888="Defence/ Protective Service")+($AP888="Sports"))&gt;0,"Arts / Humanities",""))))</f>
        <v/>
      </c>
      <c r="BC888" s="5" t="str">
        <f aca="false">IF($AL888="","",IF((($AL888="Engineering and Technology")+($AL888="Science and Mathematics")+($AL888="Computer Science, IT and Allied Fields")+($AL888="Life Sciences /Medicine and Healthcare")+($AL888="Paramedical")+($AL888="Architecture")+($AL888="Environmental Service")+($AL888="Agriculture, Food Industry and Forestry"))&gt;0,"Science",IF((($AL888="Banking and Finance")+($AL888="Management and Administration")+($AL888="Marketing")+($AL888="Sales")+($AL888="Entrepreneurship")+($AL888="Hospitality and Tourism"))&gt;0,"Commerce",IF((($AL888="Social Sciences and Humanities")+($AL888="Law Studies")+($AL888="Education and Training")+($AL888="Art, Design")+($AL888="Entertainment and Mass Media")+($AL888="Community and Social Service")+($AL888="Personal Care and Services")+($AL888="Government and Public Administration")+($AL888="Defence/ Protective Service")+($AL888="Sports"))&gt;0,"Arts / Humanities",""))))</f>
        <v/>
      </c>
      <c r="BD888" s="5" t="str">
        <f aca="false">IF($B888="","",--(F888&gt;=10)+--(G888&gt;=10)+--(H888&gt;=10)+--(I888&gt;=10)+--(J888&gt;=10)+--(K888&gt;=10)+--(L888&gt;=10)+--(M888&gt;=10)+--(N888&gt;=10)+--(O888&gt;=10))</f>
        <v/>
      </c>
      <c r="BE888" s="5" t="str">
        <f aca="false">IF($B888="","",--(AND(F888&lt;&gt;"",F888&lt;=8))+--(AND(G888&lt;&gt;"",G888&lt;=8))+--(AND(H888&lt;&gt;"",H888&lt;=8))+--(AND(I888&lt;&gt;"",I888&lt;=8))+--(AND(J888&lt;&gt;"",J888&lt;=8))+--(AND(K888&lt;&gt;"",K888&lt;=8))+--(AND(L888&lt;&gt;"",L888&lt;=8))+--(AND(M888&lt;&gt;"",M888&lt;=8))+--(AND(N888&lt;&gt;"",N888&lt;=8))+--(AND(O888&lt;&gt;"",O888&lt;=8)))</f>
        <v/>
      </c>
    </row>
    <row r="889" customFormat="false" ht="15" hidden="false" customHeight="false" outlineLevel="0" collapsed="false">
      <c r="AZ889" s="5" t="str">
        <f aca="false">IF($B889="","",SUMPRODUCT(($AL889:$AO889&lt;&gt;"")*(COUNTIF($AP889:$AX889,$AL889:$AO889)&gt;0)))</f>
        <v/>
      </c>
      <c r="BA889" s="5" t="str">
        <f aca="false">IF($B889="","",IF(AZ889&gt;0,1,0))</f>
        <v/>
      </c>
      <c r="BB889" s="5" t="str">
        <f aca="false">IF($AP889="","",IF((($AP889="Engineering and Technology")+($AP889="Science and Mathematics")+($AP889="Computer Science, IT and Allied Fields")+($AP889="Life Sciences /Medicine and Healthcare")+($AP889="Paramedical")+($AP889="Architecture")+($AP889="Environmental Service")+($AP889="Agriculture, Food Industry and Forestry"))&gt;0,"Science",IF((($AP889="Banking and Finance")+($AP889="Management and Administration")+($AP889="Marketing")+($AP889="Sales")+($AP889="Entrepreneurship")+($AP889="Hospitality and Tourism"))&gt;0,"Commerce",IF((($AP889="Social Sciences and Humanities")+($AP889="Law Studies")+($AP889="Education and Training")+($AP889="Art, Design")+($AP889="Entertainment and Mass Media")+($AP889="Community and Social Service")+($AP889="Personal Care and Services")+($AP889="Government and Public Administration")+($AP889="Defence/ Protective Service")+($AP889="Sports"))&gt;0,"Arts / Humanities",""))))</f>
        <v/>
      </c>
      <c r="BC889" s="5" t="str">
        <f aca="false">IF($AL889="","",IF((($AL889="Engineering and Technology")+($AL889="Science and Mathematics")+($AL889="Computer Science, IT and Allied Fields")+($AL889="Life Sciences /Medicine and Healthcare")+($AL889="Paramedical")+($AL889="Architecture")+($AL889="Environmental Service")+($AL889="Agriculture, Food Industry and Forestry"))&gt;0,"Science",IF((($AL889="Banking and Finance")+($AL889="Management and Administration")+($AL889="Marketing")+($AL889="Sales")+($AL889="Entrepreneurship")+($AL889="Hospitality and Tourism"))&gt;0,"Commerce",IF((($AL889="Social Sciences and Humanities")+($AL889="Law Studies")+($AL889="Education and Training")+($AL889="Art, Design")+($AL889="Entertainment and Mass Media")+($AL889="Community and Social Service")+($AL889="Personal Care and Services")+($AL889="Government and Public Administration")+($AL889="Defence/ Protective Service")+($AL889="Sports"))&gt;0,"Arts / Humanities",""))))</f>
        <v/>
      </c>
      <c r="BD889" s="5" t="str">
        <f aca="false">IF($B889="","",--(F889&gt;=10)+--(G889&gt;=10)+--(H889&gt;=10)+--(I889&gt;=10)+--(J889&gt;=10)+--(K889&gt;=10)+--(L889&gt;=10)+--(M889&gt;=10)+--(N889&gt;=10)+--(O889&gt;=10))</f>
        <v/>
      </c>
      <c r="BE889" s="5" t="str">
        <f aca="false">IF($B889="","",--(AND(F889&lt;&gt;"",F889&lt;=8))+--(AND(G889&lt;&gt;"",G889&lt;=8))+--(AND(H889&lt;&gt;"",H889&lt;=8))+--(AND(I889&lt;&gt;"",I889&lt;=8))+--(AND(J889&lt;&gt;"",J889&lt;=8))+--(AND(K889&lt;&gt;"",K889&lt;=8))+--(AND(L889&lt;&gt;"",L889&lt;=8))+--(AND(M889&lt;&gt;"",M889&lt;=8))+--(AND(N889&lt;&gt;"",N889&lt;=8))+--(AND(O889&lt;&gt;"",O889&lt;=8)))</f>
        <v/>
      </c>
    </row>
    <row r="890" customFormat="false" ht="15" hidden="false" customHeight="false" outlineLevel="0" collapsed="false">
      <c r="AZ890" s="5" t="str">
        <f aca="false">IF($B890="","",SUMPRODUCT(($AL890:$AO890&lt;&gt;"")*(COUNTIF($AP890:$AX890,$AL890:$AO890)&gt;0)))</f>
        <v/>
      </c>
      <c r="BA890" s="5" t="str">
        <f aca="false">IF($B890="","",IF(AZ890&gt;0,1,0))</f>
        <v/>
      </c>
      <c r="BB890" s="5" t="str">
        <f aca="false">IF($AP890="","",IF((($AP890="Engineering and Technology")+($AP890="Science and Mathematics")+($AP890="Computer Science, IT and Allied Fields")+($AP890="Life Sciences /Medicine and Healthcare")+($AP890="Paramedical")+($AP890="Architecture")+($AP890="Environmental Service")+($AP890="Agriculture, Food Industry and Forestry"))&gt;0,"Science",IF((($AP890="Banking and Finance")+($AP890="Management and Administration")+($AP890="Marketing")+($AP890="Sales")+($AP890="Entrepreneurship")+($AP890="Hospitality and Tourism"))&gt;0,"Commerce",IF((($AP890="Social Sciences and Humanities")+($AP890="Law Studies")+($AP890="Education and Training")+($AP890="Art, Design")+($AP890="Entertainment and Mass Media")+($AP890="Community and Social Service")+($AP890="Personal Care and Services")+($AP890="Government and Public Administration")+($AP890="Defence/ Protective Service")+($AP890="Sports"))&gt;0,"Arts / Humanities",""))))</f>
        <v/>
      </c>
      <c r="BC890" s="5" t="str">
        <f aca="false">IF($AL890="","",IF((($AL890="Engineering and Technology")+($AL890="Science and Mathematics")+($AL890="Computer Science, IT and Allied Fields")+($AL890="Life Sciences /Medicine and Healthcare")+($AL890="Paramedical")+($AL890="Architecture")+($AL890="Environmental Service")+($AL890="Agriculture, Food Industry and Forestry"))&gt;0,"Science",IF((($AL890="Banking and Finance")+($AL890="Management and Administration")+($AL890="Marketing")+($AL890="Sales")+($AL890="Entrepreneurship")+($AL890="Hospitality and Tourism"))&gt;0,"Commerce",IF((($AL890="Social Sciences and Humanities")+($AL890="Law Studies")+($AL890="Education and Training")+($AL890="Art, Design")+($AL890="Entertainment and Mass Media")+($AL890="Community and Social Service")+($AL890="Personal Care and Services")+($AL890="Government and Public Administration")+($AL890="Defence/ Protective Service")+($AL890="Sports"))&gt;0,"Arts / Humanities",""))))</f>
        <v/>
      </c>
      <c r="BD890" s="5" t="str">
        <f aca="false">IF($B890="","",--(F890&gt;=10)+--(G890&gt;=10)+--(H890&gt;=10)+--(I890&gt;=10)+--(J890&gt;=10)+--(K890&gt;=10)+--(L890&gt;=10)+--(M890&gt;=10)+--(N890&gt;=10)+--(O890&gt;=10))</f>
        <v/>
      </c>
      <c r="BE890" s="5" t="str">
        <f aca="false">IF($B890="","",--(AND(F890&lt;&gt;"",F890&lt;=8))+--(AND(G890&lt;&gt;"",G890&lt;=8))+--(AND(H890&lt;&gt;"",H890&lt;=8))+--(AND(I890&lt;&gt;"",I890&lt;=8))+--(AND(J890&lt;&gt;"",J890&lt;=8))+--(AND(K890&lt;&gt;"",K890&lt;=8))+--(AND(L890&lt;&gt;"",L890&lt;=8))+--(AND(M890&lt;&gt;"",M890&lt;=8))+--(AND(N890&lt;&gt;"",N890&lt;=8))+--(AND(O890&lt;&gt;"",O890&lt;=8)))</f>
        <v/>
      </c>
    </row>
    <row r="891" customFormat="false" ht="15" hidden="false" customHeight="false" outlineLevel="0" collapsed="false">
      <c r="AZ891" s="5" t="str">
        <f aca="false">IF($B891="","",SUMPRODUCT(($AL891:$AO891&lt;&gt;"")*(COUNTIF($AP891:$AX891,$AL891:$AO891)&gt;0)))</f>
        <v/>
      </c>
      <c r="BA891" s="5" t="str">
        <f aca="false">IF($B891="","",IF(AZ891&gt;0,1,0))</f>
        <v/>
      </c>
      <c r="BB891" s="5" t="str">
        <f aca="false">IF($AP891="","",IF((($AP891="Engineering and Technology")+($AP891="Science and Mathematics")+($AP891="Computer Science, IT and Allied Fields")+($AP891="Life Sciences /Medicine and Healthcare")+($AP891="Paramedical")+($AP891="Architecture")+($AP891="Environmental Service")+($AP891="Agriculture, Food Industry and Forestry"))&gt;0,"Science",IF((($AP891="Banking and Finance")+($AP891="Management and Administration")+($AP891="Marketing")+($AP891="Sales")+($AP891="Entrepreneurship")+($AP891="Hospitality and Tourism"))&gt;0,"Commerce",IF((($AP891="Social Sciences and Humanities")+($AP891="Law Studies")+($AP891="Education and Training")+($AP891="Art, Design")+($AP891="Entertainment and Mass Media")+($AP891="Community and Social Service")+($AP891="Personal Care and Services")+($AP891="Government and Public Administration")+($AP891="Defence/ Protective Service")+($AP891="Sports"))&gt;0,"Arts / Humanities",""))))</f>
        <v/>
      </c>
      <c r="BC891" s="5" t="str">
        <f aca="false">IF($AL891="","",IF((($AL891="Engineering and Technology")+($AL891="Science and Mathematics")+($AL891="Computer Science, IT and Allied Fields")+($AL891="Life Sciences /Medicine and Healthcare")+($AL891="Paramedical")+($AL891="Architecture")+($AL891="Environmental Service")+($AL891="Agriculture, Food Industry and Forestry"))&gt;0,"Science",IF((($AL891="Banking and Finance")+($AL891="Management and Administration")+($AL891="Marketing")+($AL891="Sales")+($AL891="Entrepreneurship")+($AL891="Hospitality and Tourism"))&gt;0,"Commerce",IF((($AL891="Social Sciences and Humanities")+($AL891="Law Studies")+($AL891="Education and Training")+($AL891="Art, Design")+($AL891="Entertainment and Mass Media")+($AL891="Community and Social Service")+($AL891="Personal Care and Services")+($AL891="Government and Public Administration")+($AL891="Defence/ Protective Service")+($AL891="Sports"))&gt;0,"Arts / Humanities",""))))</f>
        <v/>
      </c>
      <c r="BD891" s="5" t="str">
        <f aca="false">IF($B891="","",--(F891&gt;=10)+--(G891&gt;=10)+--(H891&gt;=10)+--(I891&gt;=10)+--(J891&gt;=10)+--(K891&gt;=10)+--(L891&gt;=10)+--(M891&gt;=10)+--(N891&gt;=10)+--(O891&gt;=10))</f>
        <v/>
      </c>
      <c r="BE891" s="5" t="str">
        <f aca="false">IF($B891="","",--(AND(F891&lt;&gt;"",F891&lt;=8))+--(AND(G891&lt;&gt;"",G891&lt;=8))+--(AND(H891&lt;&gt;"",H891&lt;=8))+--(AND(I891&lt;&gt;"",I891&lt;=8))+--(AND(J891&lt;&gt;"",J891&lt;=8))+--(AND(K891&lt;&gt;"",K891&lt;=8))+--(AND(L891&lt;&gt;"",L891&lt;=8))+--(AND(M891&lt;&gt;"",M891&lt;=8))+--(AND(N891&lt;&gt;"",N891&lt;=8))+--(AND(O891&lt;&gt;"",O891&lt;=8)))</f>
        <v/>
      </c>
    </row>
    <row r="892" customFormat="false" ht="15" hidden="false" customHeight="false" outlineLevel="0" collapsed="false">
      <c r="AZ892" s="5" t="str">
        <f aca="false">IF($B892="","",SUMPRODUCT(($AL892:$AO892&lt;&gt;"")*(COUNTIF($AP892:$AX892,$AL892:$AO892)&gt;0)))</f>
        <v/>
      </c>
      <c r="BA892" s="5" t="str">
        <f aca="false">IF($B892="","",IF(AZ892&gt;0,1,0))</f>
        <v/>
      </c>
      <c r="BB892" s="5" t="str">
        <f aca="false">IF($AP892="","",IF((($AP892="Engineering and Technology")+($AP892="Science and Mathematics")+($AP892="Computer Science, IT and Allied Fields")+($AP892="Life Sciences /Medicine and Healthcare")+($AP892="Paramedical")+($AP892="Architecture")+($AP892="Environmental Service")+($AP892="Agriculture, Food Industry and Forestry"))&gt;0,"Science",IF((($AP892="Banking and Finance")+($AP892="Management and Administration")+($AP892="Marketing")+($AP892="Sales")+($AP892="Entrepreneurship")+($AP892="Hospitality and Tourism"))&gt;0,"Commerce",IF((($AP892="Social Sciences and Humanities")+($AP892="Law Studies")+($AP892="Education and Training")+($AP892="Art, Design")+($AP892="Entertainment and Mass Media")+($AP892="Community and Social Service")+($AP892="Personal Care and Services")+($AP892="Government and Public Administration")+($AP892="Defence/ Protective Service")+($AP892="Sports"))&gt;0,"Arts / Humanities",""))))</f>
        <v/>
      </c>
      <c r="BC892" s="5" t="str">
        <f aca="false">IF($AL892="","",IF((($AL892="Engineering and Technology")+($AL892="Science and Mathematics")+($AL892="Computer Science, IT and Allied Fields")+($AL892="Life Sciences /Medicine and Healthcare")+($AL892="Paramedical")+($AL892="Architecture")+($AL892="Environmental Service")+($AL892="Agriculture, Food Industry and Forestry"))&gt;0,"Science",IF((($AL892="Banking and Finance")+($AL892="Management and Administration")+($AL892="Marketing")+($AL892="Sales")+($AL892="Entrepreneurship")+($AL892="Hospitality and Tourism"))&gt;0,"Commerce",IF((($AL892="Social Sciences and Humanities")+($AL892="Law Studies")+($AL892="Education and Training")+($AL892="Art, Design")+($AL892="Entertainment and Mass Media")+($AL892="Community and Social Service")+($AL892="Personal Care and Services")+($AL892="Government and Public Administration")+($AL892="Defence/ Protective Service")+($AL892="Sports"))&gt;0,"Arts / Humanities",""))))</f>
        <v/>
      </c>
      <c r="BD892" s="5" t="str">
        <f aca="false">IF($B892="","",--(F892&gt;=10)+--(G892&gt;=10)+--(H892&gt;=10)+--(I892&gt;=10)+--(J892&gt;=10)+--(K892&gt;=10)+--(L892&gt;=10)+--(M892&gt;=10)+--(N892&gt;=10)+--(O892&gt;=10))</f>
        <v/>
      </c>
      <c r="BE892" s="5" t="str">
        <f aca="false">IF($B892="","",--(AND(F892&lt;&gt;"",F892&lt;=8))+--(AND(G892&lt;&gt;"",G892&lt;=8))+--(AND(H892&lt;&gt;"",H892&lt;=8))+--(AND(I892&lt;&gt;"",I892&lt;=8))+--(AND(J892&lt;&gt;"",J892&lt;=8))+--(AND(K892&lt;&gt;"",K892&lt;=8))+--(AND(L892&lt;&gt;"",L892&lt;=8))+--(AND(M892&lt;&gt;"",M892&lt;=8))+--(AND(N892&lt;&gt;"",N892&lt;=8))+--(AND(O892&lt;&gt;"",O892&lt;=8)))</f>
        <v/>
      </c>
    </row>
    <row r="893" customFormat="false" ht="15" hidden="false" customHeight="false" outlineLevel="0" collapsed="false">
      <c r="AZ893" s="5" t="str">
        <f aca="false">IF($B893="","",SUMPRODUCT(($AL893:$AO893&lt;&gt;"")*(COUNTIF($AP893:$AX893,$AL893:$AO893)&gt;0)))</f>
        <v/>
      </c>
      <c r="BA893" s="5" t="str">
        <f aca="false">IF($B893="","",IF(AZ893&gt;0,1,0))</f>
        <v/>
      </c>
      <c r="BB893" s="5" t="str">
        <f aca="false">IF($AP893="","",IF((($AP893="Engineering and Technology")+($AP893="Science and Mathematics")+($AP893="Computer Science, IT and Allied Fields")+($AP893="Life Sciences /Medicine and Healthcare")+($AP893="Paramedical")+($AP893="Architecture")+($AP893="Environmental Service")+($AP893="Agriculture, Food Industry and Forestry"))&gt;0,"Science",IF((($AP893="Banking and Finance")+($AP893="Management and Administration")+($AP893="Marketing")+($AP893="Sales")+($AP893="Entrepreneurship")+($AP893="Hospitality and Tourism"))&gt;0,"Commerce",IF((($AP893="Social Sciences and Humanities")+($AP893="Law Studies")+($AP893="Education and Training")+($AP893="Art, Design")+($AP893="Entertainment and Mass Media")+($AP893="Community and Social Service")+($AP893="Personal Care and Services")+($AP893="Government and Public Administration")+($AP893="Defence/ Protective Service")+($AP893="Sports"))&gt;0,"Arts / Humanities",""))))</f>
        <v/>
      </c>
      <c r="BC893" s="5" t="str">
        <f aca="false">IF($AL893="","",IF((($AL893="Engineering and Technology")+($AL893="Science and Mathematics")+($AL893="Computer Science, IT and Allied Fields")+($AL893="Life Sciences /Medicine and Healthcare")+($AL893="Paramedical")+($AL893="Architecture")+($AL893="Environmental Service")+($AL893="Agriculture, Food Industry and Forestry"))&gt;0,"Science",IF((($AL893="Banking and Finance")+($AL893="Management and Administration")+($AL893="Marketing")+($AL893="Sales")+($AL893="Entrepreneurship")+($AL893="Hospitality and Tourism"))&gt;0,"Commerce",IF((($AL893="Social Sciences and Humanities")+($AL893="Law Studies")+($AL893="Education and Training")+($AL893="Art, Design")+($AL893="Entertainment and Mass Media")+($AL893="Community and Social Service")+($AL893="Personal Care and Services")+($AL893="Government and Public Administration")+($AL893="Defence/ Protective Service")+($AL893="Sports"))&gt;0,"Arts / Humanities",""))))</f>
        <v/>
      </c>
      <c r="BD893" s="5" t="str">
        <f aca="false">IF($B893="","",--(F893&gt;=10)+--(G893&gt;=10)+--(H893&gt;=10)+--(I893&gt;=10)+--(J893&gt;=10)+--(K893&gt;=10)+--(L893&gt;=10)+--(M893&gt;=10)+--(N893&gt;=10)+--(O893&gt;=10))</f>
        <v/>
      </c>
      <c r="BE893" s="5" t="str">
        <f aca="false">IF($B893="","",--(AND(F893&lt;&gt;"",F893&lt;=8))+--(AND(G893&lt;&gt;"",G893&lt;=8))+--(AND(H893&lt;&gt;"",H893&lt;=8))+--(AND(I893&lt;&gt;"",I893&lt;=8))+--(AND(J893&lt;&gt;"",J893&lt;=8))+--(AND(K893&lt;&gt;"",K893&lt;=8))+--(AND(L893&lt;&gt;"",L893&lt;=8))+--(AND(M893&lt;&gt;"",M893&lt;=8))+--(AND(N893&lt;&gt;"",N893&lt;=8))+--(AND(O893&lt;&gt;"",O893&lt;=8)))</f>
        <v/>
      </c>
    </row>
    <row r="894" customFormat="false" ht="15" hidden="false" customHeight="false" outlineLevel="0" collapsed="false">
      <c r="AZ894" s="5" t="str">
        <f aca="false">IF($B894="","",SUMPRODUCT(($AL894:$AO894&lt;&gt;"")*(COUNTIF($AP894:$AX894,$AL894:$AO894)&gt;0)))</f>
        <v/>
      </c>
      <c r="BA894" s="5" t="str">
        <f aca="false">IF($B894="","",IF(AZ894&gt;0,1,0))</f>
        <v/>
      </c>
      <c r="BB894" s="5" t="str">
        <f aca="false">IF($AP894="","",IF((($AP894="Engineering and Technology")+($AP894="Science and Mathematics")+($AP894="Computer Science, IT and Allied Fields")+($AP894="Life Sciences /Medicine and Healthcare")+($AP894="Paramedical")+($AP894="Architecture")+($AP894="Environmental Service")+($AP894="Agriculture, Food Industry and Forestry"))&gt;0,"Science",IF((($AP894="Banking and Finance")+($AP894="Management and Administration")+($AP894="Marketing")+($AP894="Sales")+($AP894="Entrepreneurship")+($AP894="Hospitality and Tourism"))&gt;0,"Commerce",IF((($AP894="Social Sciences and Humanities")+($AP894="Law Studies")+($AP894="Education and Training")+($AP894="Art, Design")+($AP894="Entertainment and Mass Media")+($AP894="Community and Social Service")+($AP894="Personal Care and Services")+($AP894="Government and Public Administration")+($AP894="Defence/ Protective Service")+($AP894="Sports"))&gt;0,"Arts / Humanities",""))))</f>
        <v/>
      </c>
      <c r="BC894" s="5" t="str">
        <f aca="false">IF($AL894="","",IF((($AL894="Engineering and Technology")+($AL894="Science and Mathematics")+($AL894="Computer Science, IT and Allied Fields")+($AL894="Life Sciences /Medicine and Healthcare")+($AL894="Paramedical")+($AL894="Architecture")+($AL894="Environmental Service")+($AL894="Agriculture, Food Industry and Forestry"))&gt;0,"Science",IF((($AL894="Banking and Finance")+($AL894="Management and Administration")+($AL894="Marketing")+($AL894="Sales")+($AL894="Entrepreneurship")+($AL894="Hospitality and Tourism"))&gt;0,"Commerce",IF((($AL894="Social Sciences and Humanities")+($AL894="Law Studies")+($AL894="Education and Training")+($AL894="Art, Design")+($AL894="Entertainment and Mass Media")+($AL894="Community and Social Service")+($AL894="Personal Care and Services")+($AL894="Government and Public Administration")+($AL894="Defence/ Protective Service")+($AL894="Sports"))&gt;0,"Arts / Humanities",""))))</f>
        <v/>
      </c>
      <c r="BD894" s="5" t="str">
        <f aca="false">IF($B894="","",--(F894&gt;=10)+--(G894&gt;=10)+--(H894&gt;=10)+--(I894&gt;=10)+--(J894&gt;=10)+--(K894&gt;=10)+--(L894&gt;=10)+--(M894&gt;=10)+--(N894&gt;=10)+--(O894&gt;=10))</f>
        <v/>
      </c>
      <c r="BE894" s="5" t="str">
        <f aca="false">IF($B894="","",--(AND(F894&lt;&gt;"",F894&lt;=8))+--(AND(G894&lt;&gt;"",G894&lt;=8))+--(AND(H894&lt;&gt;"",H894&lt;=8))+--(AND(I894&lt;&gt;"",I894&lt;=8))+--(AND(J894&lt;&gt;"",J894&lt;=8))+--(AND(K894&lt;&gt;"",K894&lt;=8))+--(AND(L894&lt;&gt;"",L894&lt;=8))+--(AND(M894&lt;&gt;"",M894&lt;=8))+--(AND(N894&lt;&gt;"",N894&lt;=8))+--(AND(O894&lt;&gt;"",O894&lt;=8)))</f>
        <v/>
      </c>
    </row>
    <row r="895" customFormat="false" ht="15" hidden="false" customHeight="false" outlineLevel="0" collapsed="false">
      <c r="AZ895" s="5" t="str">
        <f aca="false">IF($B895="","",SUMPRODUCT(($AL895:$AO895&lt;&gt;"")*(COUNTIF($AP895:$AX895,$AL895:$AO895)&gt;0)))</f>
        <v/>
      </c>
      <c r="BA895" s="5" t="str">
        <f aca="false">IF($B895="","",IF(AZ895&gt;0,1,0))</f>
        <v/>
      </c>
      <c r="BB895" s="5" t="str">
        <f aca="false">IF($AP895="","",IF((($AP895="Engineering and Technology")+($AP895="Science and Mathematics")+($AP895="Computer Science, IT and Allied Fields")+($AP895="Life Sciences /Medicine and Healthcare")+($AP895="Paramedical")+($AP895="Architecture")+($AP895="Environmental Service")+($AP895="Agriculture, Food Industry and Forestry"))&gt;0,"Science",IF((($AP895="Banking and Finance")+($AP895="Management and Administration")+($AP895="Marketing")+($AP895="Sales")+($AP895="Entrepreneurship")+($AP895="Hospitality and Tourism"))&gt;0,"Commerce",IF((($AP895="Social Sciences and Humanities")+($AP895="Law Studies")+($AP895="Education and Training")+($AP895="Art, Design")+($AP895="Entertainment and Mass Media")+($AP895="Community and Social Service")+($AP895="Personal Care and Services")+($AP895="Government and Public Administration")+($AP895="Defence/ Protective Service")+($AP895="Sports"))&gt;0,"Arts / Humanities",""))))</f>
        <v/>
      </c>
      <c r="BC895" s="5" t="str">
        <f aca="false">IF($AL895="","",IF((($AL895="Engineering and Technology")+($AL895="Science and Mathematics")+($AL895="Computer Science, IT and Allied Fields")+($AL895="Life Sciences /Medicine and Healthcare")+($AL895="Paramedical")+($AL895="Architecture")+($AL895="Environmental Service")+($AL895="Agriculture, Food Industry and Forestry"))&gt;0,"Science",IF((($AL895="Banking and Finance")+($AL895="Management and Administration")+($AL895="Marketing")+($AL895="Sales")+($AL895="Entrepreneurship")+($AL895="Hospitality and Tourism"))&gt;0,"Commerce",IF((($AL895="Social Sciences and Humanities")+($AL895="Law Studies")+($AL895="Education and Training")+($AL895="Art, Design")+($AL895="Entertainment and Mass Media")+($AL895="Community and Social Service")+($AL895="Personal Care and Services")+($AL895="Government and Public Administration")+($AL895="Defence/ Protective Service")+($AL895="Sports"))&gt;0,"Arts / Humanities",""))))</f>
        <v/>
      </c>
      <c r="BD895" s="5" t="str">
        <f aca="false">IF($B895="","",--(F895&gt;=10)+--(G895&gt;=10)+--(H895&gt;=10)+--(I895&gt;=10)+--(J895&gt;=10)+--(K895&gt;=10)+--(L895&gt;=10)+--(M895&gt;=10)+--(N895&gt;=10)+--(O895&gt;=10))</f>
        <v/>
      </c>
      <c r="BE895" s="5" t="str">
        <f aca="false">IF($B895="","",--(AND(F895&lt;&gt;"",F895&lt;=8))+--(AND(G895&lt;&gt;"",G895&lt;=8))+--(AND(H895&lt;&gt;"",H895&lt;=8))+--(AND(I895&lt;&gt;"",I895&lt;=8))+--(AND(J895&lt;&gt;"",J895&lt;=8))+--(AND(K895&lt;&gt;"",K895&lt;=8))+--(AND(L895&lt;&gt;"",L895&lt;=8))+--(AND(M895&lt;&gt;"",M895&lt;=8))+--(AND(N895&lt;&gt;"",N895&lt;=8))+--(AND(O895&lt;&gt;"",O895&lt;=8)))</f>
        <v/>
      </c>
    </row>
    <row r="896" customFormat="false" ht="15" hidden="false" customHeight="false" outlineLevel="0" collapsed="false">
      <c r="AZ896" s="5" t="str">
        <f aca="false">IF($B896="","",SUMPRODUCT(($AL896:$AO896&lt;&gt;"")*(COUNTIF($AP896:$AX896,$AL896:$AO896)&gt;0)))</f>
        <v/>
      </c>
      <c r="BA896" s="5" t="str">
        <f aca="false">IF($B896="","",IF(AZ896&gt;0,1,0))</f>
        <v/>
      </c>
      <c r="BB896" s="5" t="str">
        <f aca="false">IF($AP896="","",IF((($AP896="Engineering and Technology")+($AP896="Science and Mathematics")+($AP896="Computer Science, IT and Allied Fields")+($AP896="Life Sciences /Medicine and Healthcare")+($AP896="Paramedical")+($AP896="Architecture")+($AP896="Environmental Service")+($AP896="Agriculture, Food Industry and Forestry"))&gt;0,"Science",IF((($AP896="Banking and Finance")+($AP896="Management and Administration")+($AP896="Marketing")+($AP896="Sales")+($AP896="Entrepreneurship")+($AP896="Hospitality and Tourism"))&gt;0,"Commerce",IF((($AP896="Social Sciences and Humanities")+($AP896="Law Studies")+($AP896="Education and Training")+($AP896="Art, Design")+($AP896="Entertainment and Mass Media")+($AP896="Community and Social Service")+($AP896="Personal Care and Services")+($AP896="Government and Public Administration")+($AP896="Defence/ Protective Service")+($AP896="Sports"))&gt;0,"Arts / Humanities",""))))</f>
        <v/>
      </c>
      <c r="BC896" s="5" t="str">
        <f aca="false">IF($AL896="","",IF((($AL896="Engineering and Technology")+($AL896="Science and Mathematics")+($AL896="Computer Science, IT and Allied Fields")+($AL896="Life Sciences /Medicine and Healthcare")+($AL896="Paramedical")+($AL896="Architecture")+($AL896="Environmental Service")+($AL896="Agriculture, Food Industry and Forestry"))&gt;0,"Science",IF((($AL896="Banking and Finance")+($AL896="Management and Administration")+($AL896="Marketing")+($AL896="Sales")+($AL896="Entrepreneurship")+($AL896="Hospitality and Tourism"))&gt;0,"Commerce",IF((($AL896="Social Sciences and Humanities")+($AL896="Law Studies")+($AL896="Education and Training")+($AL896="Art, Design")+($AL896="Entertainment and Mass Media")+($AL896="Community and Social Service")+($AL896="Personal Care and Services")+($AL896="Government and Public Administration")+($AL896="Defence/ Protective Service")+($AL896="Sports"))&gt;0,"Arts / Humanities",""))))</f>
        <v/>
      </c>
      <c r="BD896" s="5" t="str">
        <f aca="false">IF($B896="","",--(F896&gt;=10)+--(G896&gt;=10)+--(H896&gt;=10)+--(I896&gt;=10)+--(J896&gt;=10)+--(K896&gt;=10)+--(L896&gt;=10)+--(M896&gt;=10)+--(N896&gt;=10)+--(O896&gt;=10))</f>
        <v/>
      </c>
      <c r="BE896" s="5" t="str">
        <f aca="false">IF($B896="","",--(AND(F896&lt;&gt;"",F896&lt;=8))+--(AND(G896&lt;&gt;"",G896&lt;=8))+--(AND(H896&lt;&gt;"",H896&lt;=8))+--(AND(I896&lt;&gt;"",I896&lt;=8))+--(AND(J896&lt;&gt;"",J896&lt;=8))+--(AND(K896&lt;&gt;"",K896&lt;=8))+--(AND(L896&lt;&gt;"",L896&lt;=8))+--(AND(M896&lt;&gt;"",M896&lt;=8))+--(AND(N896&lt;&gt;"",N896&lt;=8))+--(AND(O896&lt;&gt;"",O896&lt;=8)))</f>
        <v/>
      </c>
    </row>
    <row r="897" customFormat="false" ht="15" hidden="false" customHeight="false" outlineLevel="0" collapsed="false">
      <c r="AZ897" s="5" t="str">
        <f aca="false">IF($B897="","",SUMPRODUCT(($AL897:$AO897&lt;&gt;"")*(COUNTIF($AP897:$AX897,$AL897:$AO897)&gt;0)))</f>
        <v/>
      </c>
      <c r="BA897" s="5" t="str">
        <f aca="false">IF($B897="","",IF(AZ897&gt;0,1,0))</f>
        <v/>
      </c>
      <c r="BB897" s="5" t="str">
        <f aca="false">IF($AP897="","",IF((($AP897="Engineering and Technology")+($AP897="Science and Mathematics")+($AP897="Computer Science, IT and Allied Fields")+($AP897="Life Sciences /Medicine and Healthcare")+($AP897="Paramedical")+($AP897="Architecture")+($AP897="Environmental Service")+($AP897="Agriculture, Food Industry and Forestry"))&gt;0,"Science",IF((($AP897="Banking and Finance")+($AP897="Management and Administration")+($AP897="Marketing")+($AP897="Sales")+($AP897="Entrepreneurship")+($AP897="Hospitality and Tourism"))&gt;0,"Commerce",IF((($AP897="Social Sciences and Humanities")+($AP897="Law Studies")+($AP897="Education and Training")+($AP897="Art, Design")+($AP897="Entertainment and Mass Media")+($AP897="Community and Social Service")+($AP897="Personal Care and Services")+($AP897="Government and Public Administration")+($AP897="Defence/ Protective Service")+($AP897="Sports"))&gt;0,"Arts / Humanities",""))))</f>
        <v/>
      </c>
      <c r="BC897" s="5" t="str">
        <f aca="false">IF($AL897="","",IF((($AL897="Engineering and Technology")+($AL897="Science and Mathematics")+($AL897="Computer Science, IT and Allied Fields")+($AL897="Life Sciences /Medicine and Healthcare")+($AL897="Paramedical")+($AL897="Architecture")+($AL897="Environmental Service")+($AL897="Agriculture, Food Industry and Forestry"))&gt;0,"Science",IF((($AL897="Banking and Finance")+($AL897="Management and Administration")+($AL897="Marketing")+($AL897="Sales")+($AL897="Entrepreneurship")+($AL897="Hospitality and Tourism"))&gt;0,"Commerce",IF((($AL897="Social Sciences and Humanities")+($AL897="Law Studies")+($AL897="Education and Training")+($AL897="Art, Design")+($AL897="Entertainment and Mass Media")+($AL897="Community and Social Service")+($AL897="Personal Care and Services")+($AL897="Government and Public Administration")+($AL897="Defence/ Protective Service")+($AL897="Sports"))&gt;0,"Arts / Humanities",""))))</f>
        <v/>
      </c>
      <c r="BD897" s="5" t="str">
        <f aca="false">IF($B897="","",--(F897&gt;=10)+--(G897&gt;=10)+--(H897&gt;=10)+--(I897&gt;=10)+--(J897&gt;=10)+--(K897&gt;=10)+--(L897&gt;=10)+--(M897&gt;=10)+--(N897&gt;=10)+--(O897&gt;=10))</f>
        <v/>
      </c>
      <c r="BE897" s="5" t="str">
        <f aca="false">IF($B897="","",--(AND(F897&lt;&gt;"",F897&lt;=8))+--(AND(G897&lt;&gt;"",G897&lt;=8))+--(AND(H897&lt;&gt;"",H897&lt;=8))+--(AND(I897&lt;&gt;"",I897&lt;=8))+--(AND(J897&lt;&gt;"",J897&lt;=8))+--(AND(K897&lt;&gt;"",K897&lt;=8))+--(AND(L897&lt;&gt;"",L897&lt;=8))+--(AND(M897&lt;&gt;"",M897&lt;=8))+--(AND(N897&lt;&gt;"",N897&lt;=8))+--(AND(O897&lt;&gt;"",O897&lt;=8)))</f>
        <v/>
      </c>
    </row>
    <row r="898" customFormat="false" ht="15" hidden="false" customHeight="false" outlineLevel="0" collapsed="false">
      <c r="AZ898" s="5" t="str">
        <f aca="false">IF($B898="","",SUMPRODUCT(($AL898:$AO898&lt;&gt;"")*(COUNTIF($AP898:$AX898,$AL898:$AO898)&gt;0)))</f>
        <v/>
      </c>
      <c r="BA898" s="5" t="str">
        <f aca="false">IF($B898="","",IF(AZ898&gt;0,1,0))</f>
        <v/>
      </c>
      <c r="BB898" s="5" t="str">
        <f aca="false">IF($AP898="","",IF((($AP898="Engineering and Technology")+($AP898="Science and Mathematics")+($AP898="Computer Science, IT and Allied Fields")+($AP898="Life Sciences /Medicine and Healthcare")+($AP898="Paramedical")+($AP898="Architecture")+($AP898="Environmental Service")+($AP898="Agriculture, Food Industry and Forestry"))&gt;0,"Science",IF((($AP898="Banking and Finance")+($AP898="Management and Administration")+($AP898="Marketing")+($AP898="Sales")+($AP898="Entrepreneurship")+($AP898="Hospitality and Tourism"))&gt;0,"Commerce",IF((($AP898="Social Sciences and Humanities")+($AP898="Law Studies")+($AP898="Education and Training")+($AP898="Art, Design")+($AP898="Entertainment and Mass Media")+($AP898="Community and Social Service")+($AP898="Personal Care and Services")+($AP898="Government and Public Administration")+($AP898="Defence/ Protective Service")+($AP898="Sports"))&gt;0,"Arts / Humanities",""))))</f>
        <v/>
      </c>
      <c r="BC898" s="5" t="str">
        <f aca="false">IF($AL898="","",IF((($AL898="Engineering and Technology")+($AL898="Science and Mathematics")+($AL898="Computer Science, IT and Allied Fields")+($AL898="Life Sciences /Medicine and Healthcare")+($AL898="Paramedical")+($AL898="Architecture")+($AL898="Environmental Service")+($AL898="Agriculture, Food Industry and Forestry"))&gt;0,"Science",IF((($AL898="Banking and Finance")+($AL898="Management and Administration")+($AL898="Marketing")+($AL898="Sales")+($AL898="Entrepreneurship")+($AL898="Hospitality and Tourism"))&gt;0,"Commerce",IF((($AL898="Social Sciences and Humanities")+($AL898="Law Studies")+($AL898="Education and Training")+($AL898="Art, Design")+($AL898="Entertainment and Mass Media")+($AL898="Community and Social Service")+($AL898="Personal Care and Services")+($AL898="Government and Public Administration")+($AL898="Defence/ Protective Service")+($AL898="Sports"))&gt;0,"Arts / Humanities",""))))</f>
        <v/>
      </c>
      <c r="BD898" s="5" t="str">
        <f aca="false">IF($B898="","",--(F898&gt;=10)+--(G898&gt;=10)+--(H898&gt;=10)+--(I898&gt;=10)+--(J898&gt;=10)+--(K898&gt;=10)+--(L898&gt;=10)+--(M898&gt;=10)+--(N898&gt;=10)+--(O898&gt;=10))</f>
        <v/>
      </c>
      <c r="BE898" s="5" t="str">
        <f aca="false">IF($B898="","",--(AND(F898&lt;&gt;"",F898&lt;=8))+--(AND(G898&lt;&gt;"",G898&lt;=8))+--(AND(H898&lt;&gt;"",H898&lt;=8))+--(AND(I898&lt;&gt;"",I898&lt;=8))+--(AND(J898&lt;&gt;"",J898&lt;=8))+--(AND(K898&lt;&gt;"",K898&lt;=8))+--(AND(L898&lt;&gt;"",L898&lt;=8))+--(AND(M898&lt;&gt;"",M898&lt;=8))+--(AND(N898&lt;&gt;"",N898&lt;=8))+--(AND(O898&lt;&gt;"",O898&lt;=8)))</f>
        <v/>
      </c>
    </row>
    <row r="899" customFormat="false" ht="15" hidden="false" customHeight="false" outlineLevel="0" collapsed="false">
      <c r="AZ899" s="5" t="str">
        <f aca="false">IF($B899="","",SUMPRODUCT(($AL899:$AO899&lt;&gt;"")*(COUNTIF($AP899:$AX899,$AL899:$AO899)&gt;0)))</f>
        <v/>
      </c>
      <c r="BA899" s="5" t="str">
        <f aca="false">IF($B899="","",IF(AZ899&gt;0,1,0))</f>
        <v/>
      </c>
      <c r="BB899" s="5" t="str">
        <f aca="false">IF($AP899="","",IF((($AP899="Engineering and Technology")+($AP899="Science and Mathematics")+($AP899="Computer Science, IT and Allied Fields")+($AP899="Life Sciences /Medicine and Healthcare")+($AP899="Paramedical")+($AP899="Architecture")+($AP899="Environmental Service")+($AP899="Agriculture, Food Industry and Forestry"))&gt;0,"Science",IF((($AP899="Banking and Finance")+($AP899="Management and Administration")+($AP899="Marketing")+($AP899="Sales")+($AP899="Entrepreneurship")+($AP899="Hospitality and Tourism"))&gt;0,"Commerce",IF((($AP899="Social Sciences and Humanities")+($AP899="Law Studies")+($AP899="Education and Training")+($AP899="Art, Design")+($AP899="Entertainment and Mass Media")+($AP899="Community and Social Service")+($AP899="Personal Care and Services")+($AP899="Government and Public Administration")+($AP899="Defence/ Protective Service")+($AP899="Sports"))&gt;0,"Arts / Humanities",""))))</f>
        <v/>
      </c>
      <c r="BC899" s="5" t="str">
        <f aca="false">IF($AL899="","",IF((($AL899="Engineering and Technology")+($AL899="Science and Mathematics")+($AL899="Computer Science, IT and Allied Fields")+($AL899="Life Sciences /Medicine and Healthcare")+($AL899="Paramedical")+($AL899="Architecture")+($AL899="Environmental Service")+($AL899="Agriculture, Food Industry and Forestry"))&gt;0,"Science",IF((($AL899="Banking and Finance")+($AL899="Management and Administration")+($AL899="Marketing")+($AL899="Sales")+($AL899="Entrepreneurship")+($AL899="Hospitality and Tourism"))&gt;0,"Commerce",IF((($AL899="Social Sciences and Humanities")+($AL899="Law Studies")+($AL899="Education and Training")+($AL899="Art, Design")+($AL899="Entertainment and Mass Media")+($AL899="Community and Social Service")+($AL899="Personal Care and Services")+($AL899="Government and Public Administration")+($AL899="Defence/ Protective Service")+($AL899="Sports"))&gt;0,"Arts / Humanities",""))))</f>
        <v/>
      </c>
      <c r="BD899" s="5" t="str">
        <f aca="false">IF($B899="","",--(F899&gt;=10)+--(G899&gt;=10)+--(H899&gt;=10)+--(I899&gt;=10)+--(J899&gt;=10)+--(K899&gt;=10)+--(L899&gt;=10)+--(M899&gt;=10)+--(N899&gt;=10)+--(O899&gt;=10))</f>
        <v/>
      </c>
      <c r="BE899" s="5" t="str">
        <f aca="false">IF($B899="","",--(AND(F899&lt;&gt;"",F899&lt;=8))+--(AND(G899&lt;&gt;"",G899&lt;=8))+--(AND(H899&lt;&gt;"",H899&lt;=8))+--(AND(I899&lt;&gt;"",I899&lt;=8))+--(AND(J899&lt;&gt;"",J899&lt;=8))+--(AND(K899&lt;&gt;"",K899&lt;=8))+--(AND(L899&lt;&gt;"",L899&lt;=8))+--(AND(M899&lt;&gt;"",M899&lt;=8))+--(AND(N899&lt;&gt;"",N899&lt;=8))+--(AND(O899&lt;&gt;"",O899&lt;=8)))</f>
        <v/>
      </c>
    </row>
    <row r="900" customFormat="false" ht="15" hidden="false" customHeight="false" outlineLevel="0" collapsed="false">
      <c r="AZ900" s="5" t="str">
        <f aca="false">IF($B900="","",SUMPRODUCT(($AL900:$AO900&lt;&gt;"")*(COUNTIF($AP900:$AX900,$AL900:$AO900)&gt;0)))</f>
        <v/>
      </c>
      <c r="BA900" s="5" t="str">
        <f aca="false">IF($B900="","",IF(AZ900&gt;0,1,0))</f>
        <v/>
      </c>
      <c r="BB900" s="5" t="str">
        <f aca="false">IF($AP900="","",IF((($AP900="Engineering and Technology")+($AP900="Science and Mathematics")+($AP900="Computer Science, IT and Allied Fields")+($AP900="Life Sciences /Medicine and Healthcare")+($AP900="Paramedical")+($AP900="Architecture")+($AP900="Environmental Service")+($AP900="Agriculture, Food Industry and Forestry"))&gt;0,"Science",IF((($AP900="Banking and Finance")+($AP900="Management and Administration")+($AP900="Marketing")+($AP900="Sales")+($AP900="Entrepreneurship")+($AP900="Hospitality and Tourism"))&gt;0,"Commerce",IF((($AP900="Social Sciences and Humanities")+($AP900="Law Studies")+($AP900="Education and Training")+($AP900="Art, Design")+($AP900="Entertainment and Mass Media")+($AP900="Community and Social Service")+($AP900="Personal Care and Services")+($AP900="Government and Public Administration")+($AP900="Defence/ Protective Service")+($AP900="Sports"))&gt;0,"Arts / Humanities",""))))</f>
        <v/>
      </c>
      <c r="BC900" s="5" t="str">
        <f aca="false">IF($AL900="","",IF((($AL900="Engineering and Technology")+($AL900="Science and Mathematics")+($AL900="Computer Science, IT and Allied Fields")+($AL900="Life Sciences /Medicine and Healthcare")+($AL900="Paramedical")+($AL900="Architecture")+($AL900="Environmental Service")+($AL900="Agriculture, Food Industry and Forestry"))&gt;0,"Science",IF((($AL900="Banking and Finance")+($AL900="Management and Administration")+($AL900="Marketing")+($AL900="Sales")+($AL900="Entrepreneurship")+($AL900="Hospitality and Tourism"))&gt;0,"Commerce",IF((($AL900="Social Sciences and Humanities")+($AL900="Law Studies")+($AL900="Education and Training")+($AL900="Art, Design")+($AL900="Entertainment and Mass Media")+($AL900="Community and Social Service")+($AL900="Personal Care and Services")+($AL900="Government and Public Administration")+($AL900="Defence/ Protective Service")+($AL900="Sports"))&gt;0,"Arts / Humanities",""))))</f>
        <v/>
      </c>
      <c r="BD900" s="5" t="str">
        <f aca="false">IF($B900="","",--(F900&gt;=10)+--(G900&gt;=10)+--(H900&gt;=10)+--(I900&gt;=10)+--(J900&gt;=10)+--(K900&gt;=10)+--(L900&gt;=10)+--(M900&gt;=10)+--(N900&gt;=10)+--(O900&gt;=10))</f>
        <v/>
      </c>
      <c r="BE900" s="5" t="str">
        <f aca="false">IF($B900="","",--(AND(F900&lt;&gt;"",F900&lt;=8))+--(AND(G900&lt;&gt;"",G900&lt;=8))+--(AND(H900&lt;&gt;"",H900&lt;=8))+--(AND(I900&lt;&gt;"",I900&lt;=8))+--(AND(J900&lt;&gt;"",J900&lt;=8))+--(AND(K900&lt;&gt;"",K900&lt;=8))+--(AND(L900&lt;&gt;"",L900&lt;=8))+--(AND(M900&lt;&gt;"",M900&lt;=8))+--(AND(N900&lt;&gt;"",N900&lt;=8))+--(AND(O900&lt;&gt;"",O900&lt;=8)))</f>
        <v/>
      </c>
    </row>
    <row r="901" customFormat="false" ht="15" hidden="false" customHeight="false" outlineLevel="0" collapsed="false">
      <c r="AZ901" s="5" t="str">
        <f aca="false">IF($B901="","",SUMPRODUCT(($AL901:$AO901&lt;&gt;"")*(COUNTIF($AP901:$AX901,$AL901:$AO901)&gt;0)))</f>
        <v/>
      </c>
      <c r="BA901" s="5" t="str">
        <f aca="false">IF($B901="","",IF(AZ901&gt;0,1,0))</f>
        <v/>
      </c>
      <c r="BB901" s="5" t="str">
        <f aca="false">IF($AP901="","",IF((($AP901="Engineering and Technology")+($AP901="Science and Mathematics")+($AP901="Computer Science, IT and Allied Fields")+($AP901="Life Sciences /Medicine and Healthcare")+($AP901="Paramedical")+($AP901="Architecture")+($AP901="Environmental Service")+($AP901="Agriculture, Food Industry and Forestry"))&gt;0,"Science",IF((($AP901="Banking and Finance")+($AP901="Management and Administration")+($AP901="Marketing")+($AP901="Sales")+($AP901="Entrepreneurship")+($AP901="Hospitality and Tourism"))&gt;0,"Commerce",IF((($AP901="Social Sciences and Humanities")+($AP901="Law Studies")+($AP901="Education and Training")+($AP901="Art, Design")+($AP901="Entertainment and Mass Media")+($AP901="Community and Social Service")+($AP901="Personal Care and Services")+($AP901="Government and Public Administration")+($AP901="Defence/ Protective Service")+($AP901="Sports"))&gt;0,"Arts / Humanities",""))))</f>
        <v/>
      </c>
      <c r="BC901" s="5" t="str">
        <f aca="false">IF($AL901="","",IF((($AL901="Engineering and Technology")+($AL901="Science and Mathematics")+($AL901="Computer Science, IT and Allied Fields")+($AL901="Life Sciences /Medicine and Healthcare")+($AL901="Paramedical")+($AL901="Architecture")+($AL901="Environmental Service")+($AL901="Agriculture, Food Industry and Forestry"))&gt;0,"Science",IF((($AL901="Banking and Finance")+($AL901="Management and Administration")+($AL901="Marketing")+($AL901="Sales")+($AL901="Entrepreneurship")+($AL901="Hospitality and Tourism"))&gt;0,"Commerce",IF((($AL901="Social Sciences and Humanities")+($AL901="Law Studies")+($AL901="Education and Training")+($AL901="Art, Design")+($AL901="Entertainment and Mass Media")+($AL901="Community and Social Service")+($AL901="Personal Care and Services")+($AL901="Government and Public Administration")+($AL901="Defence/ Protective Service")+($AL901="Sports"))&gt;0,"Arts / Humanities",""))))</f>
        <v/>
      </c>
      <c r="BD901" s="5" t="str">
        <f aca="false">IF($B901="","",--(F901&gt;=10)+--(G901&gt;=10)+--(H901&gt;=10)+--(I901&gt;=10)+--(J901&gt;=10)+--(K901&gt;=10)+--(L901&gt;=10)+--(M901&gt;=10)+--(N901&gt;=10)+--(O901&gt;=10))</f>
        <v/>
      </c>
      <c r="BE901" s="5" t="str">
        <f aca="false">IF($B901="","",--(AND(F901&lt;&gt;"",F901&lt;=8))+--(AND(G901&lt;&gt;"",G901&lt;=8))+--(AND(H901&lt;&gt;"",H901&lt;=8))+--(AND(I901&lt;&gt;"",I901&lt;=8))+--(AND(J901&lt;&gt;"",J901&lt;=8))+--(AND(K901&lt;&gt;"",K901&lt;=8))+--(AND(L901&lt;&gt;"",L901&lt;=8))+--(AND(M901&lt;&gt;"",M901&lt;=8))+--(AND(N901&lt;&gt;"",N901&lt;=8))+--(AND(O901&lt;&gt;"",O901&lt;=8)))</f>
        <v/>
      </c>
    </row>
    <row r="902" customFormat="false" ht="15" hidden="false" customHeight="false" outlineLevel="0" collapsed="false">
      <c r="AZ902" s="5" t="str">
        <f aca="false">IF($B902="","",SUMPRODUCT(($AL902:$AO902&lt;&gt;"")*(COUNTIF($AP902:$AX902,$AL902:$AO902)&gt;0)))</f>
        <v/>
      </c>
      <c r="BA902" s="5" t="str">
        <f aca="false">IF($B902="","",IF(AZ902&gt;0,1,0))</f>
        <v/>
      </c>
      <c r="BB902" s="5" t="str">
        <f aca="false">IF($AP902="","",IF((($AP902="Engineering and Technology")+($AP902="Science and Mathematics")+($AP902="Computer Science, IT and Allied Fields")+($AP902="Life Sciences /Medicine and Healthcare")+($AP902="Paramedical")+($AP902="Architecture")+($AP902="Environmental Service")+($AP902="Agriculture, Food Industry and Forestry"))&gt;0,"Science",IF((($AP902="Banking and Finance")+($AP902="Management and Administration")+($AP902="Marketing")+($AP902="Sales")+($AP902="Entrepreneurship")+($AP902="Hospitality and Tourism"))&gt;0,"Commerce",IF((($AP902="Social Sciences and Humanities")+($AP902="Law Studies")+($AP902="Education and Training")+($AP902="Art, Design")+($AP902="Entertainment and Mass Media")+($AP902="Community and Social Service")+($AP902="Personal Care and Services")+($AP902="Government and Public Administration")+($AP902="Defence/ Protective Service")+($AP902="Sports"))&gt;0,"Arts / Humanities",""))))</f>
        <v/>
      </c>
      <c r="BC902" s="5" t="str">
        <f aca="false">IF($AL902="","",IF((($AL902="Engineering and Technology")+($AL902="Science and Mathematics")+($AL902="Computer Science, IT and Allied Fields")+($AL902="Life Sciences /Medicine and Healthcare")+($AL902="Paramedical")+($AL902="Architecture")+($AL902="Environmental Service")+($AL902="Agriculture, Food Industry and Forestry"))&gt;0,"Science",IF((($AL902="Banking and Finance")+($AL902="Management and Administration")+($AL902="Marketing")+($AL902="Sales")+($AL902="Entrepreneurship")+($AL902="Hospitality and Tourism"))&gt;0,"Commerce",IF((($AL902="Social Sciences and Humanities")+($AL902="Law Studies")+($AL902="Education and Training")+($AL902="Art, Design")+($AL902="Entertainment and Mass Media")+($AL902="Community and Social Service")+($AL902="Personal Care and Services")+($AL902="Government and Public Administration")+($AL902="Defence/ Protective Service")+($AL902="Sports"))&gt;0,"Arts / Humanities",""))))</f>
        <v/>
      </c>
      <c r="BD902" s="5" t="str">
        <f aca="false">IF($B902="","",--(F902&gt;=10)+--(G902&gt;=10)+--(H902&gt;=10)+--(I902&gt;=10)+--(J902&gt;=10)+--(K902&gt;=10)+--(L902&gt;=10)+--(M902&gt;=10)+--(N902&gt;=10)+--(O902&gt;=10))</f>
        <v/>
      </c>
      <c r="BE902" s="5" t="str">
        <f aca="false">IF($B902="","",--(AND(F902&lt;&gt;"",F902&lt;=8))+--(AND(G902&lt;&gt;"",G902&lt;=8))+--(AND(H902&lt;&gt;"",H902&lt;=8))+--(AND(I902&lt;&gt;"",I902&lt;=8))+--(AND(J902&lt;&gt;"",J902&lt;=8))+--(AND(K902&lt;&gt;"",K902&lt;=8))+--(AND(L902&lt;&gt;"",L902&lt;=8))+--(AND(M902&lt;&gt;"",M902&lt;=8))+--(AND(N902&lt;&gt;"",N902&lt;=8))+--(AND(O902&lt;&gt;"",O902&lt;=8)))</f>
        <v/>
      </c>
    </row>
    <row r="903" customFormat="false" ht="15" hidden="false" customHeight="false" outlineLevel="0" collapsed="false">
      <c r="AZ903" s="5" t="str">
        <f aca="false">IF($B903="","",SUMPRODUCT(($AL903:$AO903&lt;&gt;"")*(COUNTIF($AP903:$AX903,$AL903:$AO903)&gt;0)))</f>
        <v/>
      </c>
      <c r="BA903" s="5" t="str">
        <f aca="false">IF($B903="","",IF(AZ903&gt;0,1,0))</f>
        <v/>
      </c>
      <c r="BB903" s="5" t="str">
        <f aca="false">IF($AP903="","",IF((($AP903="Engineering and Technology")+($AP903="Science and Mathematics")+($AP903="Computer Science, IT and Allied Fields")+($AP903="Life Sciences /Medicine and Healthcare")+($AP903="Paramedical")+($AP903="Architecture")+($AP903="Environmental Service")+($AP903="Agriculture, Food Industry and Forestry"))&gt;0,"Science",IF((($AP903="Banking and Finance")+($AP903="Management and Administration")+($AP903="Marketing")+($AP903="Sales")+($AP903="Entrepreneurship")+($AP903="Hospitality and Tourism"))&gt;0,"Commerce",IF((($AP903="Social Sciences and Humanities")+($AP903="Law Studies")+($AP903="Education and Training")+($AP903="Art, Design")+($AP903="Entertainment and Mass Media")+($AP903="Community and Social Service")+($AP903="Personal Care and Services")+($AP903="Government and Public Administration")+($AP903="Defence/ Protective Service")+($AP903="Sports"))&gt;0,"Arts / Humanities",""))))</f>
        <v/>
      </c>
      <c r="BC903" s="5" t="str">
        <f aca="false">IF($AL903="","",IF((($AL903="Engineering and Technology")+($AL903="Science and Mathematics")+($AL903="Computer Science, IT and Allied Fields")+($AL903="Life Sciences /Medicine and Healthcare")+($AL903="Paramedical")+($AL903="Architecture")+($AL903="Environmental Service")+($AL903="Agriculture, Food Industry and Forestry"))&gt;0,"Science",IF((($AL903="Banking and Finance")+($AL903="Management and Administration")+($AL903="Marketing")+($AL903="Sales")+($AL903="Entrepreneurship")+($AL903="Hospitality and Tourism"))&gt;0,"Commerce",IF((($AL903="Social Sciences and Humanities")+($AL903="Law Studies")+($AL903="Education and Training")+($AL903="Art, Design")+($AL903="Entertainment and Mass Media")+($AL903="Community and Social Service")+($AL903="Personal Care and Services")+($AL903="Government and Public Administration")+($AL903="Defence/ Protective Service")+($AL903="Sports"))&gt;0,"Arts / Humanities",""))))</f>
        <v/>
      </c>
      <c r="BD903" s="5" t="str">
        <f aca="false">IF($B903="","",--(F903&gt;=10)+--(G903&gt;=10)+--(H903&gt;=10)+--(I903&gt;=10)+--(J903&gt;=10)+--(K903&gt;=10)+--(L903&gt;=10)+--(M903&gt;=10)+--(N903&gt;=10)+--(O903&gt;=10))</f>
        <v/>
      </c>
      <c r="BE903" s="5" t="str">
        <f aca="false">IF($B903="","",--(AND(F903&lt;&gt;"",F903&lt;=8))+--(AND(G903&lt;&gt;"",G903&lt;=8))+--(AND(H903&lt;&gt;"",H903&lt;=8))+--(AND(I903&lt;&gt;"",I903&lt;=8))+--(AND(J903&lt;&gt;"",J903&lt;=8))+--(AND(K903&lt;&gt;"",K903&lt;=8))+--(AND(L903&lt;&gt;"",L903&lt;=8))+--(AND(M903&lt;&gt;"",M903&lt;=8))+--(AND(N903&lt;&gt;"",N903&lt;=8))+--(AND(O903&lt;&gt;"",O903&lt;=8)))</f>
        <v/>
      </c>
    </row>
    <row r="904" customFormat="false" ht="15" hidden="false" customHeight="false" outlineLevel="0" collapsed="false">
      <c r="AZ904" s="5" t="str">
        <f aca="false">IF($B904="","",SUMPRODUCT(($AL904:$AO904&lt;&gt;"")*(COUNTIF($AP904:$AX904,$AL904:$AO904)&gt;0)))</f>
        <v/>
      </c>
      <c r="BA904" s="5" t="str">
        <f aca="false">IF($B904="","",IF(AZ904&gt;0,1,0))</f>
        <v/>
      </c>
      <c r="BB904" s="5" t="str">
        <f aca="false">IF($AP904="","",IF((($AP904="Engineering and Technology")+($AP904="Science and Mathematics")+($AP904="Computer Science, IT and Allied Fields")+($AP904="Life Sciences /Medicine and Healthcare")+($AP904="Paramedical")+($AP904="Architecture")+($AP904="Environmental Service")+($AP904="Agriculture, Food Industry and Forestry"))&gt;0,"Science",IF((($AP904="Banking and Finance")+($AP904="Management and Administration")+($AP904="Marketing")+($AP904="Sales")+($AP904="Entrepreneurship")+($AP904="Hospitality and Tourism"))&gt;0,"Commerce",IF((($AP904="Social Sciences and Humanities")+($AP904="Law Studies")+($AP904="Education and Training")+($AP904="Art, Design")+($AP904="Entertainment and Mass Media")+($AP904="Community and Social Service")+($AP904="Personal Care and Services")+($AP904="Government and Public Administration")+($AP904="Defence/ Protective Service")+($AP904="Sports"))&gt;0,"Arts / Humanities",""))))</f>
        <v/>
      </c>
      <c r="BC904" s="5" t="str">
        <f aca="false">IF($AL904="","",IF((($AL904="Engineering and Technology")+($AL904="Science and Mathematics")+($AL904="Computer Science, IT and Allied Fields")+($AL904="Life Sciences /Medicine and Healthcare")+($AL904="Paramedical")+($AL904="Architecture")+($AL904="Environmental Service")+($AL904="Agriculture, Food Industry and Forestry"))&gt;0,"Science",IF((($AL904="Banking and Finance")+($AL904="Management and Administration")+($AL904="Marketing")+($AL904="Sales")+($AL904="Entrepreneurship")+($AL904="Hospitality and Tourism"))&gt;0,"Commerce",IF((($AL904="Social Sciences and Humanities")+($AL904="Law Studies")+($AL904="Education and Training")+($AL904="Art, Design")+($AL904="Entertainment and Mass Media")+($AL904="Community and Social Service")+($AL904="Personal Care and Services")+($AL904="Government and Public Administration")+($AL904="Defence/ Protective Service")+($AL904="Sports"))&gt;0,"Arts / Humanities",""))))</f>
        <v/>
      </c>
      <c r="BD904" s="5" t="str">
        <f aca="false">IF($B904="","",--(F904&gt;=10)+--(G904&gt;=10)+--(H904&gt;=10)+--(I904&gt;=10)+--(J904&gt;=10)+--(K904&gt;=10)+--(L904&gt;=10)+--(M904&gt;=10)+--(N904&gt;=10)+--(O904&gt;=10))</f>
        <v/>
      </c>
      <c r="BE904" s="5" t="str">
        <f aca="false">IF($B904="","",--(AND(F904&lt;&gt;"",F904&lt;=8))+--(AND(G904&lt;&gt;"",G904&lt;=8))+--(AND(H904&lt;&gt;"",H904&lt;=8))+--(AND(I904&lt;&gt;"",I904&lt;=8))+--(AND(J904&lt;&gt;"",J904&lt;=8))+--(AND(K904&lt;&gt;"",K904&lt;=8))+--(AND(L904&lt;&gt;"",L904&lt;=8))+--(AND(M904&lt;&gt;"",M904&lt;=8))+--(AND(N904&lt;&gt;"",N904&lt;=8))+--(AND(O904&lt;&gt;"",O904&lt;=8)))</f>
        <v/>
      </c>
    </row>
    <row r="905" customFormat="false" ht="15" hidden="false" customHeight="false" outlineLevel="0" collapsed="false">
      <c r="AZ905" s="5" t="str">
        <f aca="false">IF($B905="","",SUMPRODUCT(($AL905:$AO905&lt;&gt;"")*(COUNTIF($AP905:$AX905,$AL905:$AO905)&gt;0)))</f>
        <v/>
      </c>
      <c r="BA905" s="5" t="str">
        <f aca="false">IF($B905="","",IF(AZ905&gt;0,1,0))</f>
        <v/>
      </c>
      <c r="BB905" s="5" t="str">
        <f aca="false">IF($AP905="","",IF((($AP905="Engineering and Technology")+($AP905="Science and Mathematics")+($AP905="Computer Science, IT and Allied Fields")+($AP905="Life Sciences /Medicine and Healthcare")+($AP905="Paramedical")+($AP905="Architecture")+($AP905="Environmental Service")+($AP905="Agriculture, Food Industry and Forestry"))&gt;0,"Science",IF((($AP905="Banking and Finance")+($AP905="Management and Administration")+($AP905="Marketing")+($AP905="Sales")+($AP905="Entrepreneurship")+($AP905="Hospitality and Tourism"))&gt;0,"Commerce",IF((($AP905="Social Sciences and Humanities")+($AP905="Law Studies")+($AP905="Education and Training")+($AP905="Art, Design")+($AP905="Entertainment and Mass Media")+($AP905="Community and Social Service")+($AP905="Personal Care and Services")+($AP905="Government and Public Administration")+($AP905="Defence/ Protective Service")+($AP905="Sports"))&gt;0,"Arts / Humanities",""))))</f>
        <v/>
      </c>
      <c r="BC905" s="5" t="str">
        <f aca="false">IF($AL905="","",IF((($AL905="Engineering and Technology")+($AL905="Science and Mathematics")+($AL905="Computer Science, IT and Allied Fields")+($AL905="Life Sciences /Medicine and Healthcare")+($AL905="Paramedical")+($AL905="Architecture")+($AL905="Environmental Service")+($AL905="Agriculture, Food Industry and Forestry"))&gt;0,"Science",IF((($AL905="Banking and Finance")+($AL905="Management and Administration")+($AL905="Marketing")+($AL905="Sales")+($AL905="Entrepreneurship")+($AL905="Hospitality and Tourism"))&gt;0,"Commerce",IF((($AL905="Social Sciences and Humanities")+($AL905="Law Studies")+($AL905="Education and Training")+($AL905="Art, Design")+($AL905="Entertainment and Mass Media")+($AL905="Community and Social Service")+($AL905="Personal Care and Services")+($AL905="Government and Public Administration")+($AL905="Defence/ Protective Service")+($AL905="Sports"))&gt;0,"Arts / Humanities",""))))</f>
        <v/>
      </c>
      <c r="BD905" s="5" t="str">
        <f aca="false">IF($B905="","",--(F905&gt;=10)+--(G905&gt;=10)+--(H905&gt;=10)+--(I905&gt;=10)+--(J905&gt;=10)+--(K905&gt;=10)+--(L905&gt;=10)+--(M905&gt;=10)+--(N905&gt;=10)+--(O905&gt;=10))</f>
        <v/>
      </c>
      <c r="BE905" s="5" t="str">
        <f aca="false">IF($B905="","",--(AND(F905&lt;&gt;"",F905&lt;=8))+--(AND(G905&lt;&gt;"",G905&lt;=8))+--(AND(H905&lt;&gt;"",H905&lt;=8))+--(AND(I905&lt;&gt;"",I905&lt;=8))+--(AND(J905&lt;&gt;"",J905&lt;=8))+--(AND(K905&lt;&gt;"",K905&lt;=8))+--(AND(L905&lt;&gt;"",L905&lt;=8))+--(AND(M905&lt;&gt;"",M905&lt;=8))+--(AND(N905&lt;&gt;"",N905&lt;=8))+--(AND(O905&lt;&gt;"",O905&lt;=8)))</f>
        <v/>
      </c>
    </row>
    <row r="906" customFormat="false" ht="15" hidden="false" customHeight="false" outlineLevel="0" collapsed="false">
      <c r="AZ906" s="5" t="str">
        <f aca="false">IF($B906="","",SUMPRODUCT(($AL906:$AO906&lt;&gt;"")*(COUNTIF($AP906:$AX906,$AL906:$AO906)&gt;0)))</f>
        <v/>
      </c>
      <c r="BA906" s="5" t="str">
        <f aca="false">IF($B906="","",IF(AZ906&gt;0,1,0))</f>
        <v/>
      </c>
      <c r="BB906" s="5" t="str">
        <f aca="false">IF($AP906="","",IF((($AP906="Engineering and Technology")+($AP906="Science and Mathematics")+($AP906="Computer Science, IT and Allied Fields")+($AP906="Life Sciences /Medicine and Healthcare")+($AP906="Paramedical")+($AP906="Architecture")+($AP906="Environmental Service")+($AP906="Agriculture, Food Industry and Forestry"))&gt;0,"Science",IF((($AP906="Banking and Finance")+($AP906="Management and Administration")+($AP906="Marketing")+($AP906="Sales")+($AP906="Entrepreneurship")+($AP906="Hospitality and Tourism"))&gt;0,"Commerce",IF((($AP906="Social Sciences and Humanities")+($AP906="Law Studies")+($AP906="Education and Training")+($AP906="Art, Design")+($AP906="Entertainment and Mass Media")+($AP906="Community and Social Service")+($AP906="Personal Care and Services")+($AP906="Government and Public Administration")+($AP906="Defence/ Protective Service")+($AP906="Sports"))&gt;0,"Arts / Humanities",""))))</f>
        <v/>
      </c>
      <c r="BC906" s="5" t="str">
        <f aca="false">IF($AL906="","",IF((($AL906="Engineering and Technology")+($AL906="Science and Mathematics")+($AL906="Computer Science, IT and Allied Fields")+($AL906="Life Sciences /Medicine and Healthcare")+($AL906="Paramedical")+($AL906="Architecture")+($AL906="Environmental Service")+($AL906="Agriculture, Food Industry and Forestry"))&gt;0,"Science",IF((($AL906="Banking and Finance")+($AL906="Management and Administration")+($AL906="Marketing")+($AL906="Sales")+($AL906="Entrepreneurship")+($AL906="Hospitality and Tourism"))&gt;0,"Commerce",IF((($AL906="Social Sciences and Humanities")+($AL906="Law Studies")+($AL906="Education and Training")+($AL906="Art, Design")+($AL906="Entertainment and Mass Media")+($AL906="Community and Social Service")+($AL906="Personal Care and Services")+($AL906="Government and Public Administration")+($AL906="Defence/ Protective Service")+($AL906="Sports"))&gt;0,"Arts / Humanities",""))))</f>
        <v/>
      </c>
      <c r="BD906" s="5" t="str">
        <f aca="false">IF($B906="","",--(F906&gt;=10)+--(G906&gt;=10)+--(H906&gt;=10)+--(I906&gt;=10)+--(J906&gt;=10)+--(K906&gt;=10)+--(L906&gt;=10)+--(M906&gt;=10)+--(N906&gt;=10)+--(O906&gt;=10))</f>
        <v/>
      </c>
      <c r="BE906" s="5" t="str">
        <f aca="false">IF($B906="","",--(AND(F906&lt;&gt;"",F906&lt;=8))+--(AND(G906&lt;&gt;"",G906&lt;=8))+--(AND(H906&lt;&gt;"",H906&lt;=8))+--(AND(I906&lt;&gt;"",I906&lt;=8))+--(AND(J906&lt;&gt;"",J906&lt;=8))+--(AND(K906&lt;&gt;"",K906&lt;=8))+--(AND(L906&lt;&gt;"",L906&lt;=8))+--(AND(M906&lt;&gt;"",M906&lt;=8))+--(AND(N906&lt;&gt;"",N906&lt;=8))+--(AND(O906&lt;&gt;"",O906&lt;=8)))</f>
        <v/>
      </c>
    </row>
    <row r="907" customFormat="false" ht="15" hidden="false" customHeight="false" outlineLevel="0" collapsed="false">
      <c r="AZ907" s="5" t="str">
        <f aca="false">IF($B907="","",SUMPRODUCT(($AL907:$AO907&lt;&gt;"")*(COUNTIF($AP907:$AX907,$AL907:$AO907)&gt;0)))</f>
        <v/>
      </c>
      <c r="BA907" s="5" t="str">
        <f aca="false">IF($B907="","",IF(AZ907&gt;0,1,0))</f>
        <v/>
      </c>
      <c r="BB907" s="5" t="str">
        <f aca="false">IF($AP907="","",IF((($AP907="Engineering and Technology")+($AP907="Science and Mathematics")+($AP907="Computer Science, IT and Allied Fields")+($AP907="Life Sciences /Medicine and Healthcare")+($AP907="Paramedical")+($AP907="Architecture")+($AP907="Environmental Service")+($AP907="Agriculture, Food Industry and Forestry"))&gt;0,"Science",IF((($AP907="Banking and Finance")+($AP907="Management and Administration")+($AP907="Marketing")+($AP907="Sales")+($AP907="Entrepreneurship")+($AP907="Hospitality and Tourism"))&gt;0,"Commerce",IF((($AP907="Social Sciences and Humanities")+($AP907="Law Studies")+($AP907="Education and Training")+($AP907="Art, Design")+($AP907="Entertainment and Mass Media")+($AP907="Community and Social Service")+($AP907="Personal Care and Services")+($AP907="Government and Public Administration")+($AP907="Defence/ Protective Service")+($AP907="Sports"))&gt;0,"Arts / Humanities",""))))</f>
        <v/>
      </c>
      <c r="BC907" s="5" t="str">
        <f aca="false">IF($AL907="","",IF((($AL907="Engineering and Technology")+($AL907="Science and Mathematics")+($AL907="Computer Science, IT and Allied Fields")+($AL907="Life Sciences /Medicine and Healthcare")+($AL907="Paramedical")+($AL907="Architecture")+($AL907="Environmental Service")+($AL907="Agriculture, Food Industry and Forestry"))&gt;0,"Science",IF((($AL907="Banking and Finance")+($AL907="Management and Administration")+($AL907="Marketing")+($AL907="Sales")+($AL907="Entrepreneurship")+($AL907="Hospitality and Tourism"))&gt;0,"Commerce",IF((($AL907="Social Sciences and Humanities")+($AL907="Law Studies")+($AL907="Education and Training")+($AL907="Art, Design")+($AL907="Entertainment and Mass Media")+($AL907="Community and Social Service")+($AL907="Personal Care and Services")+($AL907="Government and Public Administration")+($AL907="Defence/ Protective Service")+($AL907="Sports"))&gt;0,"Arts / Humanities",""))))</f>
        <v/>
      </c>
      <c r="BD907" s="5" t="str">
        <f aca="false">IF($B907="","",--(F907&gt;=10)+--(G907&gt;=10)+--(H907&gt;=10)+--(I907&gt;=10)+--(J907&gt;=10)+--(K907&gt;=10)+--(L907&gt;=10)+--(M907&gt;=10)+--(N907&gt;=10)+--(O907&gt;=10))</f>
        <v/>
      </c>
      <c r="BE907" s="5" t="str">
        <f aca="false">IF($B907="","",--(AND(F907&lt;&gt;"",F907&lt;=8))+--(AND(G907&lt;&gt;"",G907&lt;=8))+--(AND(H907&lt;&gt;"",H907&lt;=8))+--(AND(I907&lt;&gt;"",I907&lt;=8))+--(AND(J907&lt;&gt;"",J907&lt;=8))+--(AND(K907&lt;&gt;"",K907&lt;=8))+--(AND(L907&lt;&gt;"",L907&lt;=8))+--(AND(M907&lt;&gt;"",M907&lt;=8))+--(AND(N907&lt;&gt;"",N907&lt;=8))+--(AND(O907&lt;&gt;"",O907&lt;=8)))</f>
        <v/>
      </c>
    </row>
    <row r="908" customFormat="false" ht="15" hidden="false" customHeight="false" outlineLevel="0" collapsed="false">
      <c r="AZ908" s="5" t="str">
        <f aca="false">IF($B908="","",SUMPRODUCT(($AL908:$AO908&lt;&gt;"")*(COUNTIF($AP908:$AX908,$AL908:$AO908)&gt;0)))</f>
        <v/>
      </c>
      <c r="BA908" s="5" t="str">
        <f aca="false">IF($B908="","",IF(AZ908&gt;0,1,0))</f>
        <v/>
      </c>
      <c r="BB908" s="5" t="str">
        <f aca="false">IF($AP908="","",IF((($AP908="Engineering and Technology")+($AP908="Science and Mathematics")+($AP908="Computer Science, IT and Allied Fields")+($AP908="Life Sciences /Medicine and Healthcare")+($AP908="Paramedical")+($AP908="Architecture")+($AP908="Environmental Service")+($AP908="Agriculture, Food Industry and Forestry"))&gt;0,"Science",IF((($AP908="Banking and Finance")+($AP908="Management and Administration")+($AP908="Marketing")+($AP908="Sales")+($AP908="Entrepreneurship")+($AP908="Hospitality and Tourism"))&gt;0,"Commerce",IF((($AP908="Social Sciences and Humanities")+($AP908="Law Studies")+($AP908="Education and Training")+($AP908="Art, Design")+($AP908="Entertainment and Mass Media")+($AP908="Community and Social Service")+($AP908="Personal Care and Services")+($AP908="Government and Public Administration")+($AP908="Defence/ Protective Service")+($AP908="Sports"))&gt;0,"Arts / Humanities",""))))</f>
        <v/>
      </c>
      <c r="BC908" s="5" t="str">
        <f aca="false">IF($AL908="","",IF((($AL908="Engineering and Technology")+($AL908="Science and Mathematics")+($AL908="Computer Science, IT and Allied Fields")+($AL908="Life Sciences /Medicine and Healthcare")+($AL908="Paramedical")+($AL908="Architecture")+($AL908="Environmental Service")+($AL908="Agriculture, Food Industry and Forestry"))&gt;0,"Science",IF((($AL908="Banking and Finance")+($AL908="Management and Administration")+($AL908="Marketing")+($AL908="Sales")+($AL908="Entrepreneurship")+($AL908="Hospitality and Tourism"))&gt;0,"Commerce",IF((($AL908="Social Sciences and Humanities")+($AL908="Law Studies")+($AL908="Education and Training")+($AL908="Art, Design")+($AL908="Entertainment and Mass Media")+($AL908="Community and Social Service")+($AL908="Personal Care and Services")+($AL908="Government and Public Administration")+($AL908="Defence/ Protective Service")+($AL908="Sports"))&gt;0,"Arts / Humanities",""))))</f>
        <v/>
      </c>
      <c r="BD908" s="5" t="str">
        <f aca="false">IF($B908="","",--(F908&gt;=10)+--(G908&gt;=10)+--(H908&gt;=10)+--(I908&gt;=10)+--(J908&gt;=10)+--(K908&gt;=10)+--(L908&gt;=10)+--(M908&gt;=10)+--(N908&gt;=10)+--(O908&gt;=10))</f>
        <v/>
      </c>
      <c r="BE908" s="5" t="str">
        <f aca="false">IF($B908="","",--(AND(F908&lt;&gt;"",F908&lt;=8))+--(AND(G908&lt;&gt;"",G908&lt;=8))+--(AND(H908&lt;&gt;"",H908&lt;=8))+--(AND(I908&lt;&gt;"",I908&lt;=8))+--(AND(J908&lt;&gt;"",J908&lt;=8))+--(AND(K908&lt;&gt;"",K908&lt;=8))+--(AND(L908&lt;&gt;"",L908&lt;=8))+--(AND(M908&lt;&gt;"",M908&lt;=8))+--(AND(N908&lt;&gt;"",N908&lt;=8))+--(AND(O908&lt;&gt;"",O908&lt;=8)))</f>
        <v/>
      </c>
    </row>
    <row r="909" customFormat="false" ht="15" hidden="false" customHeight="false" outlineLevel="0" collapsed="false">
      <c r="AZ909" s="5" t="str">
        <f aca="false">IF($B909="","",SUMPRODUCT(($AL909:$AO909&lt;&gt;"")*(COUNTIF($AP909:$AX909,$AL909:$AO909)&gt;0)))</f>
        <v/>
      </c>
      <c r="BA909" s="5" t="str">
        <f aca="false">IF($B909="","",IF(AZ909&gt;0,1,0))</f>
        <v/>
      </c>
      <c r="BB909" s="5" t="str">
        <f aca="false">IF($AP909="","",IF((($AP909="Engineering and Technology")+($AP909="Science and Mathematics")+($AP909="Computer Science, IT and Allied Fields")+($AP909="Life Sciences /Medicine and Healthcare")+($AP909="Paramedical")+($AP909="Architecture")+($AP909="Environmental Service")+($AP909="Agriculture, Food Industry and Forestry"))&gt;0,"Science",IF((($AP909="Banking and Finance")+($AP909="Management and Administration")+($AP909="Marketing")+($AP909="Sales")+($AP909="Entrepreneurship")+($AP909="Hospitality and Tourism"))&gt;0,"Commerce",IF((($AP909="Social Sciences and Humanities")+($AP909="Law Studies")+($AP909="Education and Training")+($AP909="Art, Design")+($AP909="Entertainment and Mass Media")+($AP909="Community and Social Service")+($AP909="Personal Care and Services")+($AP909="Government and Public Administration")+($AP909="Defence/ Protective Service")+($AP909="Sports"))&gt;0,"Arts / Humanities",""))))</f>
        <v/>
      </c>
      <c r="BC909" s="5" t="str">
        <f aca="false">IF($AL909="","",IF((($AL909="Engineering and Technology")+($AL909="Science and Mathematics")+($AL909="Computer Science, IT and Allied Fields")+($AL909="Life Sciences /Medicine and Healthcare")+($AL909="Paramedical")+($AL909="Architecture")+($AL909="Environmental Service")+($AL909="Agriculture, Food Industry and Forestry"))&gt;0,"Science",IF((($AL909="Banking and Finance")+($AL909="Management and Administration")+($AL909="Marketing")+($AL909="Sales")+($AL909="Entrepreneurship")+($AL909="Hospitality and Tourism"))&gt;0,"Commerce",IF((($AL909="Social Sciences and Humanities")+($AL909="Law Studies")+($AL909="Education and Training")+($AL909="Art, Design")+($AL909="Entertainment and Mass Media")+($AL909="Community and Social Service")+($AL909="Personal Care and Services")+($AL909="Government and Public Administration")+($AL909="Defence/ Protective Service")+($AL909="Sports"))&gt;0,"Arts / Humanities",""))))</f>
        <v/>
      </c>
      <c r="BD909" s="5" t="str">
        <f aca="false">IF($B909="","",--(F909&gt;=10)+--(G909&gt;=10)+--(H909&gt;=10)+--(I909&gt;=10)+--(J909&gt;=10)+--(K909&gt;=10)+--(L909&gt;=10)+--(M909&gt;=10)+--(N909&gt;=10)+--(O909&gt;=10))</f>
        <v/>
      </c>
      <c r="BE909" s="5" t="str">
        <f aca="false">IF($B909="","",--(AND(F909&lt;&gt;"",F909&lt;=8))+--(AND(G909&lt;&gt;"",G909&lt;=8))+--(AND(H909&lt;&gt;"",H909&lt;=8))+--(AND(I909&lt;&gt;"",I909&lt;=8))+--(AND(J909&lt;&gt;"",J909&lt;=8))+--(AND(K909&lt;&gt;"",K909&lt;=8))+--(AND(L909&lt;&gt;"",L909&lt;=8))+--(AND(M909&lt;&gt;"",M909&lt;=8))+--(AND(N909&lt;&gt;"",N909&lt;=8))+--(AND(O909&lt;&gt;"",O909&lt;=8)))</f>
        <v/>
      </c>
    </row>
    <row r="910" customFormat="false" ht="15" hidden="false" customHeight="false" outlineLevel="0" collapsed="false">
      <c r="AZ910" s="5" t="str">
        <f aca="false">IF($B910="","",SUMPRODUCT(($AL910:$AO910&lt;&gt;"")*(COUNTIF($AP910:$AX910,$AL910:$AO910)&gt;0)))</f>
        <v/>
      </c>
      <c r="BA910" s="5" t="str">
        <f aca="false">IF($B910="","",IF(AZ910&gt;0,1,0))</f>
        <v/>
      </c>
      <c r="BB910" s="5" t="str">
        <f aca="false">IF($AP910="","",IF((($AP910="Engineering and Technology")+($AP910="Science and Mathematics")+($AP910="Computer Science, IT and Allied Fields")+($AP910="Life Sciences /Medicine and Healthcare")+($AP910="Paramedical")+($AP910="Architecture")+($AP910="Environmental Service")+($AP910="Agriculture, Food Industry and Forestry"))&gt;0,"Science",IF((($AP910="Banking and Finance")+($AP910="Management and Administration")+($AP910="Marketing")+($AP910="Sales")+($AP910="Entrepreneurship")+($AP910="Hospitality and Tourism"))&gt;0,"Commerce",IF((($AP910="Social Sciences and Humanities")+($AP910="Law Studies")+($AP910="Education and Training")+($AP910="Art, Design")+($AP910="Entertainment and Mass Media")+($AP910="Community and Social Service")+($AP910="Personal Care and Services")+($AP910="Government and Public Administration")+($AP910="Defence/ Protective Service")+($AP910="Sports"))&gt;0,"Arts / Humanities",""))))</f>
        <v/>
      </c>
      <c r="BC910" s="5" t="str">
        <f aca="false">IF($AL910="","",IF((($AL910="Engineering and Technology")+($AL910="Science and Mathematics")+($AL910="Computer Science, IT and Allied Fields")+($AL910="Life Sciences /Medicine and Healthcare")+($AL910="Paramedical")+($AL910="Architecture")+($AL910="Environmental Service")+($AL910="Agriculture, Food Industry and Forestry"))&gt;0,"Science",IF((($AL910="Banking and Finance")+($AL910="Management and Administration")+($AL910="Marketing")+($AL910="Sales")+($AL910="Entrepreneurship")+($AL910="Hospitality and Tourism"))&gt;0,"Commerce",IF((($AL910="Social Sciences and Humanities")+($AL910="Law Studies")+($AL910="Education and Training")+($AL910="Art, Design")+($AL910="Entertainment and Mass Media")+($AL910="Community and Social Service")+($AL910="Personal Care and Services")+($AL910="Government and Public Administration")+($AL910="Defence/ Protective Service")+($AL910="Sports"))&gt;0,"Arts / Humanities",""))))</f>
        <v/>
      </c>
      <c r="BD910" s="5" t="str">
        <f aca="false">IF($B910="","",--(F910&gt;=10)+--(G910&gt;=10)+--(H910&gt;=10)+--(I910&gt;=10)+--(J910&gt;=10)+--(K910&gt;=10)+--(L910&gt;=10)+--(M910&gt;=10)+--(N910&gt;=10)+--(O910&gt;=10))</f>
        <v/>
      </c>
      <c r="BE910" s="5" t="str">
        <f aca="false">IF($B910="","",--(AND(F910&lt;&gt;"",F910&lt;=8))+--(AND(G910&lt;&gt;"",G910&lt;=8))+--(AND(H910&lt;&gt;"",H910&lt;=8))+--(AND(I910&lt;&gt;"",I910&lt;=8))+--(AND(J910&lt;&gt;"",J910&lt;=8))+--(AND(K910&lt;&gt;"",K910&lt;=8))+--(AND(L910&lt;&gt;"",L910&lt;=8))+--(AND(M910&lt;&gt;"",M910&lt;=8))+--(AND(N910&lt;&gt;"",N910&lt;=8))+--(AND(O910&lt;&gt;"",O910&lt;=8)))</f>
        <v/>
      </c>
    </row>
    <row r="911" customFormat="false" ht="15" hidden="false" customHeight="false" outlineLevel="0" collapsed="false">
      <c r="AZ911" s="5" t="str">
        <f aca="false">IF($B911="","",SUMPRODUCT(($AL911:$AO911&lt;&gt;"")*(COUNTIF($AP911:$AX911,$AL911:$AO911)&gt;0)))</f>
        <v/>
      </c>
      <c r="BA911" s="5" t="str">
        <f aca="false">IF($B911="","",IF(AZ911&gt;0,1,0))</f>
        <v/>
      </c>
      <c r="BB911" s="5" t="str">
        <f aca="false">IF($AP911="","",IF((($AP911="Engineering and Technology")+($AP911="Science and Mathematics")+($AP911="Computer Science, IT and Allied Fields")+($AP911="Life Sciences /Medicine and Healthcare")+($AP911="Paramedical")+($AP911="Architecture")+($AP911="Environmental Service")+($AP911="Agriculture, Food Industry and Forestry"))&gt;0,"Science",IF((($AP911="Banking and Finance")+($AP911="Management and Administration")+($AP911="Marketing")+($AP911="Sales")+($AP911="Entrepreneurship")+($AP911="Hospitality and Tourism"))&gt;0,"Commerce",IF((($AP911="Social Sciences and Humanities")+($AP911="Law Studies")+($AP911="Education and Training")+($AP911="Art, Design")+($AP911="Entertainment and Mass Media")+($AP911="Community and Social Service")+($AP911="Personal Care and Services")+($AP911="Government and Public Administration")+($AP911="Defence/ Protective Service")+($AP911="Sports"))&gt;0,"Arts / Humanities",""))))</f>
        <v/>
      </c>
      <c r="BC911" s="5" t="str">
        <f aca="false">IF($AL911="","",IF((($AL911="Engineering and Technology")+($AL911="Science and Mathematics")+($AL911="Computer Science, IT and Allied Fields")+($AL911="Life Sciences /Medicine and Healthcare")+($AL911="Paramedical")+($AL911="Architecture")+($AL911="Environmental Service")+($AL911="Agriculture, Food Industry and Forestry"))&gt;0,"Science",IF((($AL911="Banking and Finance")+($AL911="Management and Administration")+($AL911="Marketing")+($AL911="Sales")+($AL911="Entrepreneurship")+($AL911="Hospitality and Tourism"))&gt;0,"Commerce",IF((($AL911="Social Sciences and Humanities")+($AL911="Law Studies")+($AL911="Education and Training")+($AL911="Art, Design")+($AL911="Entertainment and Mass Media")+($AL911="Community and Social Service")+($AL911="Personal Care and Services")+($AL911="Government and Public Administration")+($AL911="Defence/ Protective Service")+($AL911="Sports"))&gt;0,"Arts / Humanities",""))))</f>
        <v/>
      </c>
      <c r="BD911" s="5" t="str">
        <f aca="false">IF($B911="","",--(F911&gt;=10)+--(G911&gt;=10)+--(H911&gt;=10)+--(I911&gt;=10)+--(J911&gt;=10)+--(K911&gt;=10)+--(L911&gt;=10)+--(M911&gt;=10)+--(N911&gt;=10)+--(O911&gt;=10))</f>
        <v/>
      </c>
      <c r="BE911" s="5" t="str">
        <f aca="false">IF($B911="","",--(AND(F911&lt;&gt;"",F911&lt;=8))+--(AND(G911&lt;&gt;"",G911&lt;=8))+--(AND(H911&lt;&gt;"",H911&lt;=8))+--(AND(I911&lt;&gt;"",I911&lt;=8))+--(AND(J911&lt;&gt;"",J911&lt;=8))+--(AND(K911&lt;&gt;"",K911&lt;=8))+--(AND(L911&lt;&gt;"",L911&lt;=8))+--(AND(M911&lt;&gt;"",M911&lt;=8))+--(AND(N911&lt;&gt;"",N911&lt;=8))+--(AND(O911&lt;&gt;"",O911&lt;=8)))</f>
        <v/>
      </c>
    </row>
    <row r="912" customFormat="false" ht="15" hidden="false" customHeight="false" outlineLevel="0" collapsed="false">
      <c r="AZ912" s="5" t="str">
        <f aca="false">IF($B912="","",SUMPRODUCT(($AL912:$AO912&lt;&gt;"")*(COUNTIF($AP912:$AX912,$AL912:$AO912)&gt;0)))</f>
        <v/>
      </c>
      <c r="BA912" s="5" t="str">
        <f aca="false">IF($B912="","",IF(AZ912&gt;0,1,0))</f>
        <v/>
      </c>
      <c r="BB912" s="5" t="str">
        <f aca="false">IF($AP912="","",IF((($AP912="Engineering and Technology")+($AP912="Science and Mathematics")+($AP912="Computer Science, IT and Allied Fields")+($AP912="Life Sciences /Medicine and Healthcare")+($AP912="Paramedical")+($AP912="Architecture")+($AP912="Environmental Service")+($AP912="Agriculture, Food Industry and Forestry"))&gt;0,"Science",IF((($AP912="Banking and Finance")+($AP912="Management and Administration")+($AP912="Marketing")+($AP912="Sales")+($AP912="Entrepreneurship")+($AP912="Hospitality and Tourism"))&gt;0,"Commerce",IF((($AP912="Social Sciences and Humanities")+($AP912="Law Studies")+($AP912="Education and Training")+($AP912="Art, Design")+($AP912="Entertainment and Mass Media")+($AP912="Community and Social Service")+($AP912="Personal Care and Services")+($AP912="Government and Public Administration")+($AP912="Defence/ Protective Service")+($AP912="Sports"))&gt;0,"Arts / Humanities",""))))</f>
        <v/>
      </c>
      <c r="BC912" s="5" t="str">
        <f aca="false">IF($AL912="","",IF((($AL912="Engineering and Technology")+($AL912="Science and Mathematics")+($AL912="Computer Science, IT and Allied Fields")+($AL912="Life Sciences /Medicine and Healthcare")+($AL912="Paramedical")+($AL912="Architecture")+($AL912="Environmental Service")+($AL912="Agriculture, Food Industry and Forestry"))&gt;0,"Science",IF((($AL912="Banking and Finance")+($AL912="Management and Administration")+($AL912="Marketing")+($AL912="Sales")+($AL912="Entrepreneurship")+($AL912="Hospitality and Tourism"))&gt;0,"Commerce",IF((($AL912="Social Sciences and Humanities")+($AL912="Law Studies")+($AL912="Education and Training")+($AL912="Art, Design")+($AL912="Entertainment and Mass Media")+($AL912="Community and Social Service")+($AL912="Personal Care and Services")+($AL912="Government and Public Administration")+($AL912="Defence/ Protective Service")+($AL912="Sports"))&gt;0,"Arts / Humanities",""))))</f>
        <v/>
      </c>
      <c r="BD912" s="5" t="str">
        <f aca="false">IF($B912="","",--(F912&gt;=10)+--(G912&gt;=10)+--(H912&gt;=10)+--(I912&gt;=10)+--(J912&gt;=10)+--(K912&gt;=10)+--(L912&gt;=10)+--(M912&gt;=10)+--(N912&gt;=10)+--(O912&gt;=10))</f>
        <v/>
      </c>
      <c r="BE912" s="5" t="str">
        <f aca="false">IF($B912="","",--(AND(F912&lt;&gt;"",F912&lt;=8))+--(AND(G912&lt;&gt;"",G912&lt;=8))+--(AND(H912&lt;&gt;"",H912&lt;=8))+--(AND(I912&lt;&gt;"",I912&lt;=8))+--(AND(J912&lt;&gt;"",J912&lt;=8))+--(AND(K912&lt;&gt;"",K912&lt;=8))+--(AND(L912&lt;&gt;"",L912&lt;=8))+--(AND(M912&lt;&gt;"",M912&lt;=8))+--(AND(N912&lt;&gt;"",N912&lt;=8))+--(AND(O912&lt;&gt;"",O912&lt;=8)))</f>
        <v/>
      </c>
    </row>
    <row r="913" customFormat="false" ht="15" hidden="false" customHeight="false" outlineLevel="0" collapsed="false">
      <c r="AZ913" s="5" t="str">
        <f aca="false">IF($B913="","",SUMPRODUCT(($AL913:$AO913&lt;&gt;"")*(COUNTIF($AP913:$AX913,$AL913:$AO913)&gt;0)))</f>
        <v/>
      </c>
      <c r="BA913" s="5" t="str">
        <f aca="false">IF($B913="","",IF(AZ913&gt;0,1,0))</f>
        <v/>
      </c>
      <c r="BB913" s="5" t="str">
        <f aca="false">IF($AP913="","",IF((($AP913="Engineering and Technology")+($AP913="Science and Mathematics")+($AP913="Computer Science, IT and Allied Fields")+($AP913="Life Sciences /Medicine and Healthcare")+($AP913="Paramedical")+($AP913="Architecture")+($AP913="Environmental Service")+($AP913="Agriculture, Food Industry and Forestry"))&gt;0,"Science",IF((($AP913="Banking and Finance")+($AP913="Management and Administration")+($AP913="Marketing")+($AP913="Sales")+($AP913="Entrepreneurship")+($AP913="Hospitality and Tourism"))&gt;0,"Commerce",IF((($AP913="Social Sciences and Humanities")+($AP913="Law Studies")+($AP913="Education and Training")+($AP913="Art, Design")+($AP913="Entertainment and Mass Media")+($AP913="Community and Social Service")+($AP913="Personal Care and Services")+($AP913="Government and Public Administration")+($AP913="Defence/ Protective Service")+($AP913="Sports"))&gt;0,"Arts / Humanities",""))))</f>
        <v/>
      </c>
      <c r="BC913" s="5" t="str">
        <f aca="false">IF($AL913="","",IF((($AL913="Engineering and Technology")+($AL913="Science and Mathematics")+($AL913="Computer Science, IT and Allied Fields")+($AL913="Life Sciences /Medicine and Healthcare")+($AL913="Paramedical")+($AL913="Architecture")+($AL913="Environmental Service")+($AL913="Agriculture, Food Industry and Forestry"))&gt;0,"Science",IF((($AL913="Banking and Finance")+($AL913="Management and Administration")+($AL913="Marketing")+($AL913="Sales")+($AL913="Entrepreneurship")+($AL913="Hospitality and Tourism"))&gt;0,"Commerce",IF((($AL913="Social Sciences and Humanities")+($AL913="Law Studies")+($AL913="Education and Training")+($AL913="Art, Design")+($AL913="Entertainment and Mass Media")+($AL913="Community and Social Service")+($AL913="Personal Care and Services")+($AL913="Government and Public Administration")+($AL913="Defence/ Protective Service")+($AL913="Sports"))&gt;0,"Arts / Humanities",""))))</f>
        <v/>
      </c>
      <c r="BD913" s="5" t="str">
        <f aca="false">IF($B913="","",--(F913&gt;=10)+--(G913&gt;=10)+--(H913&gt;=10)+--(I913&gt;=10)+--(J913&gt;=10)+--(K913&gt;=10)+--(L913&gt;=10)+--(M913&gt;=10)+--(N913&gt;=10)+--(O913&gt;=10))</f>
        <v/>
      </c>
      <c r="BE913" s="5" t="str">
        <f aca="false">IF($B913="","",--(AND(F913&lt;&gt;"",F913&lt;=8))+--(AND(G913&lt;&gt;"",G913&lt;=8))+--(AND(H913&lt;&gt;"",H913&lt;=8))+--(AND(I913&lt;&gt;"",I913&lt;=8))+--(AND(J913&lt;&gt;"",J913&lt;=8))+--(AND(K913&lt;&gt;"",K913&lt;=8))+--(AND(L913&lt;&gt;"",L913&lt;=8))+--(AND(M913&lt;&gt;"",M913&lt;=8))+--(AND(N913&lt;&gt;"",N913&lt;=8))+--(AND(O913&lt;&gt;"",O913&lt;=8)))</f>
        <v/>
      </c>
    </row>
    <row r="914" customFormat="false" ht="15" hidden="false" customHeight="false" outlineLevel="0" collapsed="false">
      <c r="AZ914" s="5" t="str">
        <f aca="false">IF($B914="","",SUMPRODUCT(($AL914:$AO914&lt;&gt;"")*(COUNTIF($AP914:$AX914,$AL914:$AO914)&gt;0)))</f>
        <v/>
      </c>
      <c r="BA914" s="5" t="str">
        <f aca="false">IF($B914="","",IF(AZ914&gt;0,1,0))</f>
        <v/>
      </c>
      <c r="BB914" s="5" t="str">
        <f aca="false">IF($AP914="","",IF((($AP914="Engineering and Technology")+($AP914="Science and Mathematics")+($AP914="Computer Science, IT and Allied Fields")+($AP914="Life Sciences /Medicine and Healthcare")+($AP914="Paramedical")+($AP914="Architecture")+($AP914="Environmental Service")+($AP914="Agriculture, Food Industry and Forestry"))&gt;0,"Science",IF((($AP914="Banking and Finance")+($AP914="Management and Administration")+($AP914="Marketing")+($AP914="Sales")+($AP914="Entrepreneurship")+($AP914="Hospitality and Tourism"))&gt;0,"Commerce",IF((($AP914="Social Sciences and Humanities")+($AP914="Law Studies")+($AP914="Education and Training")+($AP914="Art, Design")+($AP914="Entertainment and Mass Media")+($AP914="Community and Social Service")+($AP914="Personal Care and Services")+($AP914="Government and Public Administration")+($AP914="Defence/ Protective Service")+($AP914="Sports"))&gt;0,"Arts / Humanities",""))))</f>
        <v/>
      </c>
      <c r="BC914" s="5" t="str">
        <f aca="false">IF($AL914="","",IF((($AL914="Engineering and Technology")+($AL914="Science and Mathematics")+($AL914="Computer Science, IT and Allied Fields")+($AL914="Life Sciences /Medicine and Healthcare")+($AL914="Paramedical")+($AL914="Architecture")+($AL914="Environmental Service")+($AL914="Agriculture, Food Industry and Forestry"))&gt;0,"Science",IF((($AL914="Banking and Finance")+($AL914="Management and Administration")+($AL914="Marketing")+($AL914="Sales")+($AL914="Entrepreneurship")+($AL914="Hospitality and Tourism"))&gt;0,"Commerce",IF((($AL914="Social Sciences and Humanities")+($AL914="Law Studies")+($AL914="Education and Training")+($AL914="Art, Design")+($AL914="Entertainment and Mass Media")+($AL914="Community and Social Service")+($AL914="Personal Care and Services")+($AL914="Government and Public Administration")+($AL914="Defence/ Protective Service")+($AL914="Sports"))&gt;0,"Arts / Humanities",""))))</f>
        <v/>
      </c>
      <c r="BD914" s="5" t="str">
        <f aca="false">IF($B914="","",--(F914&gt;=10)+--(G914&gt;=10)+--(H914&gt;=10)+--(I914&gt;=10)+--(J914&gt;=10)+--(K914&gt;=10)+--(L914&gt;=10)+--(M914&gt;=10)+--(N914&gt;=10)+--(O914&gt;=10))</f>
        <v/>
      </c>
      <c r="BE914" s="5" t="str">
        <f aca="false">IF($B914="","",--(AND(F914&lt;&gt;"",F914&lt;=8))+--(AND(G914&lt;&gt;"",G914&lt;=8))+--(AND(H914&lt;&gt;"",H914&lt;=8))+--(AND(I914&lt;&gt;"",I914&lt;=8))+--(AND(J914&lt;&gt;"",J914&lt;=8))+--(AND(K914&lt;&gt;"",K914&lt;=8))+--(AND(L914&lt;&gt;"",L914&lt;=8))+--(AND(M914&lt;&gt;"",M914&lt;=8))+--(AND(N914&lt;&gt;"",N914&lt;=8))+--(AND(O914&lt;&gt;"",O914&lt;=8)))</f>
        <v/>
      </c>
    </row>
    <row r="915" customFormat="false" ht="15" hidden="false" customHeight="false" outlineLevel="0" collapsed="false">
      <c r="AZ915" s="5" t="str">
        <f aca="false">IF($B915="","",SUMPRODUCT(($AL915:$AO915&lt;&gt;"")*(COUNTIF($AP915:$AX915,$AL915:$AO915)&gt;0)))</f>
        <v/>
      </c>
      <c r="BA915" s="5" t="str">
        <f aca="false">IF($B915="","",IF(AZ915&gt;0,1,0))</f>
        <v/>
      </c>
      <c r="BB915" s="5" t="str">
        <f aca="false">IF($AP915="","",IF((($AP915="Engineering and Technology")+($AP915="Science and Mathematics")+($AP915="Computer Science, IT and Allied Fields")+($AP915="Life Sciences /Medicine and Healthcare")+($AP915="Paramedical")+($AP915="Architecture")+($AP915="Environmental Service")+($AP915="Agriculture, Food Industry and Forestry"))&gt;0,"Science",IF((($AP915="Banking and Finance")+($AP915="Management and Administration")+($AP915="Marketing")+($AP915="Sales")+($AP915="Entrepreneurship")+($AP915="Hospitality and Tourism"))&gt;0,"Commerce",IF((($AP915="Social Sciences and Humanities")+($AP915="Law Studies")+($AP915="Education and Training")+($AP915="Art, Design")+($AP915="Entertainment and Mass Media")+($AP915="Community and Social Service")+($AP915="Personal Care and Services")+($AP915="Government and Public Administration")+($AP915="Defence/ Protective Service")+($AP915="Sports"))&gt;0,"Arts / Humanities",""))))</f>
        <v/>
      </c>
      <c r="BC915" s="5" t="str">
        <f aca="false">IF($AL915="","",IF((($AL915="Engineering and Technology")+($AL915="Science and Mathematics")+($AL915="Computer Science, IT and Allied Fields")+($AL915="Life Sciences /Medicine and Healthcare")+($AL915="Paramedical")+($AL915="Architecture")+($AL915="Environmental Service")+($AL915="Agriculture, Food Industry and Forestry"))&gt;0,"Science",IF((($AL915="Banking and Finance")+($AL915="Management and Administration")+($AL915="Marketing")+($AL915="Sales")+($AL915="Entrepreneurship")+($AL915="Hospitality and Tourism"))&gt;0,"Commerce",IF((($AL915="Social Sciences and Humanities")+($AL915="Law Studies")+($AL915="Education and Training")+($AL915="Art, Design")+($AL915="Entertainment and Mass Media")+($AL915="Community and Social Service")+($AL915="Personal Care and Services")+($AL915="Government and Public Administration")+($AL915="Defence/ Protective Service")+($AL915="Sports"))&gt;0,"Arts / Humanities",""))))</f>
        <v/>
      </c>
      <c r="BD915" s="5" t="str">
        <f aca="false">IF($B915="","",--(F915&gt;=10)+--(G915&gt;=10)+--(H915&gt;=10)+--(I915&gt;=10)+--(J915&gt;=10)+--(K915&gt;=10)+--(L915&gt;=10)+--(M915&gt;=10)+--(N915&gt;=10)+--(O915&gt;=10))</f>
        <v/>
      </c>
      <c r="BE915" s="5" t="str">
        <f aca="false">IF($B915="","",--(AND(F915&lt;&gt;"",F915&lt;=8))+--(AND(G915&lt;&gt;"",G915&lt;=8))+--(AND(H915&lt;&gt;"",H915&lt;=8))+--(AND(I915&lt;&gt;"",I915&lt;=8))+--(AND(J915&lt;&gt;"",J915&lt;=8))+--(AND(K915&lt;&gt;"",K915&lt;=8))+--(AND(L915&lt;&gt;"",L915&lt;=8))+--(AND(M915&lt;&gt;"",M915&lt;=8))+--(AND(N915&lt;&gt;"",N915&lt;=8))+--(AND(O915&lt;&gt;"",O915&lt;=8)))</f>
        <v/>
      </c>
    </row>
    <row r="916" customFormat="false" ht="15" hidden="false" customHeight="false" outlineLevel="0" collapsed="false">
      <c r="AZ916" s="5" t="str">
        <f aca="false">IF($B916="","",SUMPRODUCT(($AL916:$AO916&lt;&gt;"")*(COUNTIF($AP916:$AX916,$AL916:$AO916)&gt;0)))</f>
        <v/>
      </c>
      <c r="BA916" s="5" t="str">
        <f aca="false">IF($B916="","",IF(AZ916&gt;0,1,0))</f>
        <v/>
      </c>
      <c r="BB916" s="5" t="str">
        <f aca="false">IF($AP916="","",IF((($AP916="Engineering and Technology")+($AP916="Science and Mathematics")+($AP916="Computer Science, IT and Allied Fields")+($AP916="Life Sciences /Medicine and Healthcare")+($AP916="Paramedical")+($AP916="Architecture")+($AP916="Environmental Service")+($AP916="Agriculture, Food Industry and Forestry"))&gt;0,"Science",IF((($AP916="Banking and Finance")+($AP916="Management and Administration")+($AP916="Marketing")+($AP916="Sales")+($AP916="Entrepreneurship")+($AP916="Hospitality and Tourism"))&gt;0,"Commerce",IF((($AP916="Social Sciences and Humanities")+($AP916="Law Studies")+($AP916="Education and Training")+($AP916="Art, Design")+($AP916="Entertainment and Mass Media")+($AP916="Community and Social Service")+($AP916="Personal Care and Services")+($AP916="Government and Public Administration")+($AP916="Defence/ Protective Service")+($AP916="Sports"))&gt;0,"Arts / Humanities",""))))</f>
        <v/>
      </c>
      <c r="BC916" s="5" t="str">
        <f aca="false">IF($AL916="","",IF((($AL916="Engineering and Technology")+($AL916="Science and Mathematics")+($AL916="Computer Science, IT and Allied Fields")+($AL916="Life Sciences /Medicine and Healthcare")+($AL916="Paramedical")+($AL916="Architecture")+($AL916="Environmental Service")+($AL916="Agriculture, Food Industry and Forestry"))&gt;0,"Science",IF((($AL916="Banking and Finance")+($AL916="Management and Administration")+($AL916="Marketing")+($AL916="Sales")+($AL916="Entrepreneurship")+($AL916="Hospitality and Tourism"))&gt;0,"Commerce",IF((($AL916="Social Sciences and Humanities")+($AL916="Law Studies")+($AL916="Education and Training")+($AL916="Art, Design")+($AL916="Entertainment and Mass Media")+($AL916="Community and Social Service")+($AL916="Personal Care and Services")+($AL916="Government and Public Administration")+($AL916="Defence/ Protective Service")+($AL916="Sports"))&gt;0,"Arts / Humanities",""))))</f>
        <v/>
      </c>
      <c r="BD916" s="5" t="str">
        <f aca="false">IF($B916="","",--(F916&gt;=10)+--(G916&gt;=10)+--(H916&gt;=10)+--(I916&gt;=10)+--(J916&gt;=10)+--(K916&gt;=10)+--(L916&gt;=10)+--(M916&gt;=10)+--(N916&gt;=10)+--(O916&gt;=10))</f>
        <v/>
      </c>
      <c r="BE916" s="5" t="str">
        <f aca="false">IF($B916="","",--(AND(F916&lt;&gt;"",F916&lt;=8))+--(AND(G916&lt;&gt;"",G916&lt;=8))+--(AND(H916&lt;&gt;"",H916&lt;=8))+--(AND(I916&lt;&gt;"",I916&lt;=8))+--(AND(J916&lt;&gt;"",J916&lt;=8))+--(AND(K916&lt;&gt;"",K916&lt;=8))+--(AND(L916&lt;&gt;"",L916&lt;=8))+--(AND(M916&lt;&gt;"",M916&lt;=8))+--(AND(N916&lt;&gt;"",N916&lt;=8))+--(AND(O916&lt;&gt;"",O916&lt;=8)))</f>
        <v/>
      </c>
    </row>
    <row r="917" customFormat="false" ht="15" hidden="false" customHeight="false" outlineLevel="0" collapsed="false">
      <c r="AZ917" s="5" t="str">
        <f aca="false">IF($B917="","",SUMPRODUCT(($AL917:$AO917&lt;&gt;"")*(COUNTIF($AP917:$AX917,$AL917:$AO917)&gt;0)))</f>
        <v/>
      </c>
      <c r="BA917" s="5" t="str">
        <f aca="false">IF($B917="","",IF(AZ917&gt;0,1,0))</f>
        <v/>
      </c>
      <c r="BB917" s="5" t="str">
        <f aca="false">IF($AP917="","",IF((($AP917="Engineering and Technology")+($AP917="Science and Mathematics")+($AP917="Computer Science, IT and Allied Fields")+($AP917="Life Sciences /Medicine and Healthcare")+($AP917="Paramedical")+($AP917="Architecture")+($AP917="Environmental Service")+($AP917="Agriculture, Food Industry and Forestry"))&gt;0,"Science",IF((($AP917="Banking and Finance")+($AP917="Management and Administration")+($AP917="Marketing")+($AP917="Sales")+($AP917="Entrepreneurship")+($AP917="Hospitality and Tourism"))&gt;0,"Commerce",IF((($AP917="Social Sciences and Humanities")+($AP917="Law Studies")+($AP917="Education and Training")+($AP917="Art, Design")+($AP917="Entertainment and Mass Media")+($AP917="Community and Social Service")+($AP917="Personal Care and Services")+($AP917="Government and Public Administration")+($AP917="Defence/ Protective Service")+($AP917="Sports"))&gt;0,"Arts / Humanities",""))))</f>
        <v/>
      </c>
      <c r="BC917" s="5" t="str">
        <f aca="false">IF($AL917="","",IF((($AL917="Engineering and Technology")+($AL917="Science and Mathematics")+($AL917="Computer Science, IT and Allied Fields")+($AL917="Life Sciences /Medicine and Healthcare")+($AL917="Paramedical")+($AL917="Architecture")+($AL917="Environmental Service")+($AL917="Agriculture, Food Industry and Forestry"))&gt;0,"Science",IF((($AL917="Banking and Finance")+($AL917="Management and Administration")+($AL917="Marketing")+($AL917="Sales")+($AL917="Entrepreneurship")+($AL917="Hospitality and Tourism"))&gt;0,"Commerce",IF((($AL917="Social Sciences and Humanities")+($AL917="Law Studies")+($AL917="Education and Training")+($AL917="Art, Design")+($AL917="Entertainment and Mass Media")+($AL917="Community and Social Service")+($AL917="Personal Care and Services")+($AL917="Government and Public Administration")+($AL917="Defence/ Protective Service")+($AL917="Sports"))&gt;0,"Arts / Humanities",""))))</f>
        <v/>
      </c>
      <c r="BD917" s="5" t="str">
        <f aca="false">IF($B917="","",--(F917&gt;=10)+--(G917&gt;=10)+--(H917&gt;=10)+--(I917&gt;=10)+--(J917&gt;=10)+--(K917&gt;=10)+--(L917&gt;=10)+--(M917&gt;=10)+--(N917&gt;=10)+--(O917&gt;=10))</f>
        <v/>
      </c>
      <c r="BE917" s="5" t="str">
        <f aca="false">IF($B917="","",--(AND(F917&lt;&gt;"",F917&lt;=8))+--(AND(G917&lt;&gt;"",G917&lt;=8))+--(AND(H917&lt;&gt;"",H917&lt;=8))+--(AND(I917&lt;&gt;"",I917&lt;=8))+--(AND(J917&lt;&gt;"",J917&lt;=8))+--(AND(K917&lt;&gt;"",K917&lt;=8))+--(AND(L917&lt;&gt;"",L917&lt;=8))+--(AND(M917&lt;&gt;"",M917&lt;=8))+--(AND(N917&lt;&gt;"",N917&lt;=8))+--(AND(O917&lt;&gt;"",O917&lt;=8)))</f>
        <v/>
      </c>
    </row>
    <row r="918" customFormat="false" ht="15" hidden="false" customHeight="false" outlineLevel="0" collapsed="false">
      <c r="AZ918" s="5" t="str">
        <f aca="false">IF($B918="","",SUMPRODUCT(($AL918:$AO918&lt;&gt;"")*(COUNTIF($AP918:$AX918,$AL918:$AO918)&gt;0)))</f>
        <v/>
      </c>
      <c r="BA918" s="5" t="str">
        <f aca="false">IF($B918="","",IF(AZ918&gt;0,1,0))</f>
        <v/>
      </c>
      <c r="BB918" s="5" t="str">
        <f aca="false">IF($AP918="","",IF((($AP918="Engineering and Technology")+($AP918="Science and Mathematics")+($AP918="Computer Science, IT and Allied Fields")+($AP918="Life Sciences /Medicine and Healthcare")+($AP918="Paramedical")+($AP918="Architecture")+($AP918="Environmental Service")+($AP918="Agriculture, Food Industry and Forestry"))&gt;0,"Science",IF((($AP918="Banking and Finance")+($AP918="Management and Administration")+($AP918="Marketing")+($AP918="Sales")+($AP918="Entrepreneurship")+($AP918="Hospitality and Tourism"))&gt;0,"Commerce",IF((($AP918="Social Sciences and Humanities")+($AP918="Law Studies")+($AP918="Education and Training")+($AP918="Art, Design")+($AP918="Entertainment and Mass Media")+($AP918="Community and Social Service")+($AP918="Personal Care and Services")+($AP918="Government and Public Administration")+($AP918="Defence/ Protective Service")+($AP918="Sports"))&gt;0,"Arts / Humanities",""))))</f>
        <v/>
      </c>
      <c r="BC918" s="5" t="str">
        <f aca="false">IF($AL918="","",IF((($AL918="Engineering and Technology")+($AL918="Science and Mathematics")+($AL918="Computer Science, IT and Allied Fields")+($AL918="Life Sciences /Medicine and Healthcare")+($AL918="Paramedical")+($AL918="Architecture")+($AL918="Environmental Service")+($AL918="Agriculture, Food Industry and Forestry"))&gt;0,"Science",IF((($AL918="Banking and Finance")+($AL918="Management and Administration")+($AL918="Marketing")+($AL918="Sales")+($AL918="Entrepreneurship")+($AL918="Hospitality and Tourism"))&gt;0,"Commerce",IF((($AL918="Social Sciences and Humanities")+($AL918="Law Studies")+($AL918="Education and Training")+($AL918="Art, Design")+($AL918="Entertainment and Mass Media")+($AL918="Community and Social Service")+($AL918="Personal Care and Services")+($AL918="Government and Public Administration")+($AL918="Defence/ Protective Service")+($AL918="Sports"))&gt;0,"Arts / Humanities",""))))</f>
        <v/>
      </c>
      <c r="BD918" s="5" t="str">
        <f aca="false">IF($B918="","",--(F918&gt;=10)+--(G918&gt;=10)+--(H918&gt;=10)+--(I918&gt;=10)+--(J918&gt;=10)+--(K918&gt;=10)+--(L918&gt;=10)+--(M918&gt;=10)+--(N918&gt;=10)+--(O918&gt;=10))</f>
        <v/>
      </c>
      <c r="BE918" s="5" t="str">
        <f aca="false">IF($B918="","",--(AND(F918&lt;&gt;"",F918&lt;=8))+--(AND(G918&lt;&gt;"",G918&lt;=8))+--(AND(H918&lt;&gt;"",H918&lt;=8))+--(AND(I918&lt;&gt;"",I918&lt;=8))+--(AND(J918&lt;&gt;"",J918&lt;=8))+--(AND(K918&lt;&gt;"",K918&lt;=8))+--(AND(L918&lt;&gt;"",L918&lt;=8))+--(AND(M918&lt;&gt;"",M918&lt;=8))+--(AND(N918&lt;&gt;"",N918&lt;=8))+--(AND(O918&lt;&gt;"",O918&lt;=8)))</f>
        <v/>
      </c>
    </row>
    <row r="919" customFormat="false" ht="15" hidden="false" customHeight="false" outlineLevel="0" collapsed="false">
      <c r="AZ919" s="5" t="str">
        <f aca="false">IF($B919="","",SUMPRODUCT(($AL919:$AO919&lt;&gt;"")*(COUNTIF($AP919:$AX919,$AL919:$AO919)&gt;0)))</f>
        <v/>
      </c>
      <c r="BA919" s="5" t="str">
        <f aca="false">IF($B919="","",IF(AZ919&gt;0,1,0))</f>
        <v/>
      </c>
      <c r="BB919" s="5" t="str">
        <f aca="false">IF($AP919="","",IF((($AP919="Engineering and Technology")+($AP919="Science and Mathematics")+($AP919="Computer Science, IT and Allied Fields")+($AP919="Life Sciences /Medicine and Healthcare")+($AP919="Paramedical")+($AP919="Architecture")+($AP919="Environmental Service")+($AP919="Agriculture, Food Industry and Forestry"))&gt;0,"Science",IF((($AP919="Banking and Finance")+($AP919="Management and Administration")+($AP919="Marketing")+($AP919="Sales")+($AP919="Entrepreneurship")+($AP919="Hospitality and Tourism"))&gt;0,"Commerce",IF((($AP919="Social Sciences and Humanities")+($AP919="Law Studies")+($AP919="Education and Training")+($AP919="Art, Design")+($AP919="Entertainment and Mass Media")+($AP919="Community and Social Service")+($AP919="Personal Care and Services")+($AP919="Government and Public Administration")+($AP919="Defence/ Protective Service")+($AP919="Sports"))&gt;0,"Arts / Humanities",""))))</f>
        <v/>
      </c>
      <c r="BC919" s="5" t="str">
        <f aca="false">IF($AL919="","",IF((($AL919="Engineering and Technology")+($AL919="Science and Mathematics")+($AL919="Computer Science, IT and Allied Fields")+($AL919="Life Sciences /Medicine and Healthcare")+($AL919="Paramedical")+($AL919="Architecture")+($AL919="Environmental Service")+($AL919="Agriculture, Food Industry and Forestry"))&gt;0,"Science",IF((($AL919="Banking and Finance")+($AL919="Management and Administration")+($AL919="Marketing")+($AL919="Sales")+($AL919="Entrepreneurship")+($AL919="Hospitality and Tourism"))&gt;0,"Commerce",IF((($AL919="Social Sciences and Humanities")+($AL919="Law Studies")+($AL919="Education and Training")+($AL919="Art, Design")+($AL919="Entertainment and Mass Media")+($AL919="Community and Social Service")+($AL919="Personal Care and Services")+($AL919="Government and Public Administration")+($AL919="Defence/ Protective Service")+($AL919="Sports"))&gt;0,"Arts / Humanities",""))))</f>
        <v/>
      </c>
      <c r="BD919" s="5" t="str">
        <f aca="false">IF($B919="","",--(F919&gt;=10)+--(G919&gt;=10)+--(H919&gt;=10)+--(I919&gt;=10)+--(J919&gt;=10)+--(K919&gt;=10)+--(L919&gt;=10)+--(M919&gt;=10)+--(N919&gt;=10)+--(O919&gt;=10))</f>
        <v/>
      </c>
      <c r="BE919" s="5" t="str">
        <f aca="false">IF($B919="","",--(AND(F919&lt;&gt;"",F919&lt;=8))+--(AND(G919&lt;&gt;"",G919&lt;=8))+--(AND(H919&lt;&gt;"",H919&lt;=8))+--(AND(I919&lt;&gt;"",I919&lt;=8))+--(AND(J919&lt;&gt;"",J919&lt;=8))+--(AND(K919&lt;&gt;"",K919&lt;=8))+--(AND(L919&lt;&gt;"",L919&lt;=8))+--(AND(M919&lt;&gt;"",M919&lt;=8))+--(AND(N919&lt;&gt;"",N919&lt;=8))+--(AND(O919&lt;&gt;"",O919&lt;=8)))</f>
        <v/>
      </c>
    </row>
    <row r="920" customFormat="false" ht="15" hidden="false" customHeight="false" outlineLevel="0" collapsed="false">
      <c r="AZ920" s="5" t="str">
        <f aca="false">IF($B920="","",SUMPRODUCT(($AL920:$AO920&lt;&gt;"")*(COUNTIF($AP920:$AX920,$AL920:$AO920)&gt;0)))</f>
        <v/>
      </c>
      <c r="BA920" s="5" t="str">
        <f aca="false">IF($B920="","",IF(AZ920&gt;0,1,0))</f>
        <v/>
      </c>
      <c r="BB920" s="5" t="str">
        <f aca="false">IF($AP920="","",IF((($AP920="Engineering and Technology")+($AP920="Science and Mathematics")+($AP920="Computer Science, IT and Allied Fields")+($AP920="Life Sciences /Medicine and Healthcare")+($AP920="Paramedical")+($AP920="Architecture")+($AP920="Environmental Service")+($AP920="Agriculture, Food Industry and Forestry"))&gt;0,"Science",IF((($AP920="Banking and Finance")+($AP920="Management and Administration")+($AP920="Marketing")+($AP920="Sales")+($AP920="Entrepreneurship")+($AP920="Hospitality and Tourism"))&gt;0,"Commerce",IF((($AP920="Social Sciences and Humanities")+($AP920="Law Studies")+($AP920="Education and Training")+($AP920="Art, Design")+($AP920="Entertainment and Mass Media")+($AP920="Community and Social Service")+($AP920="Personal Care and Services")+($AP920="Government and Public Administration")+($AP920="Defence/ Protective Service")+($AP920="Sports"))&gt;0,"Arts / Humanities",""))))</f>
        <v/>
      </c>
      <c r="BC920" s="5" t="str">
        <f aca="false">IF($AL920="","",IF((($AL920="Engineering and Technology")+($AL920="Science and Mathematics")+($AL920="Computer Science, IT and Allied Fields")+($AL920="Life Sciences /Medicine and Healthcare")+($AL920="Paramedical")+($AL920="Architecture")+($AL920="Environmental Service")+($AL920="Agriculture, Food Industry and Forestry"))&gt;0,"Science",IF((($AL920="Banking and Finance")+($AL920="Management and Administration")+($AL920="Marketing")+($AL920="Sales")+($AL920="Entrepreneurship")+($AL920="Hospitality and Tourism"))&gt;0,"Commerce",IF((($AL920="Social Sciences and Humanities")+($AL920="Law Studies")+($AL920="Education and Training")+($AL920="Art, Design")+($AL920="Entertainment and Mass Media")+($AL920="Community and Social Service")+($AL920="Personal Care and Services")+($AL920="Government and Public Administration")+($AL920="Defence/ Protective Service")+($AL920="Sports"))&gt;0,"Arts / Humanities",""))))</f>
        <v/>
      </c>
      <c r="BD920" s="5" t="str">
        <f aca="false">IF($B920="","",--(F920&gt;=10)+--(G920&gt;=10)+--(H920&gt;=10)+--(I920&gt;=10)+--(J920&gt;=10)+--(K920&gt;=10)+--(L920&gt;=10)+--(M920&gt;=10)+--(N920&gt;=10)+--(O920&gt;=10))</f>
        <v/>
      </c>
      <c r="BE920" s="5" t="str">
        <f aca="false">IF($B920="","",--(AND(F920&lt;&gt;"",F920&lt;=8))+--(AND(G920&lt;&gt;"",G920&lt;=8))+--(AND(H920&lt;&gt;"",H920&lt;=8))+--(AND(I920&lt;&gt;"",I920&lt;=8))+--(AND(J920&lt;&gt;"",J920&lt;=8))+--(AND(K920&lt;&gt;"",K920&lt;=8))+--(AND(L920&lt;&gt;"",L920&lt;=8))+--(AND(M920&lt;&gt;"",M920&lt;=8))+--(AND(N920&lt;&gt;"",N920&lt;=8))+--(AND(O920&lt;&gt;"",O920&lt;=8)))</f>
        <v/>
      </c>
    </row>
    <row r="921" customFormat="false" ht="15" hidden="false" customHeight="false" outlineLevel="0" collapsed="false">
      <c r="AZ921" s="5" t="str">
        <f aca="false">IF($B921="","",SUMPRODUCT(($AL921:$AO921&lt;&gt;"")*(COUNTIF($AP921:$AX921,$AL921:$AO921)&gt;0)))</f>
        <v/>
      </c>
      <c r="BA921" s="5" t="str">
        <f aca="false">IF($B921="","",IF(AZ921&gt;0,1,0))</f>
        <v/>
      </c>
      <c r="BB921" s="5" t="str">
        <f aca="false">IF($AP921="","",IF((($AP921="Engineering and Technology")+($AP921="Science and Mathematics")+($AP921="Computer Science, IT and Allied Fields")+($AP921="Life Sciences /Medicine and Healthcare")+($AP921="Paramedical")+($AP921="Architecture")+($AP921="Environmental Service")+($AP921="Agriculture, Food Industry and Forestry"))&gt;0,"Science",IF((($AP921="Banking and Finance")+($AP921="Management and Administration")+($AP921="Marketing")+($AP921="Sales")+($AP921="Entrepreneurship")+($AP921="Hospitality and Tourism"))&gt;0,"Commerce",IF((($AP921="Social Sciences and Humanities")+($AP921="Law Studies")+($AP921="Education and Training")+($AP921="Art, Design")+($AP921="Entertainment and Mass Media")+($AP921="Community and Social Service")+($AP921="Personal Care and Services")+($AP921="Government and Public Administration")+($AP921="Defence/ Protective Service")+($AP921="Sports"))&gt;0,"Arts / Humanities",""))))</f>
        <v/>
      </c>
      <c r="BC921" s="5" t="str">
        <f aca="false">IF($AL921="","",IF((($AL921="Engineering and Technology")+($AL921="Science and Mathematics")+($AL921="Computer Science, IT and Allied Fields")+($AL921="Life Sciences /Medicine and Healthcare")+($AL921="Paramedical")+($AL921="Architecture")+($AL921="Environmental Service")+($AL921="Agriculture, Food Industry and Forestry"))&gt;0,"Science",IF((($AL921="Banking and Finance")+($AL921="Management and Administration")+($AL921="Marketing")+($AL921="Sales")+($AL921="Entrepreneurship")+($AL921="Hospitality and Tourism"))&gt;0,"Commerce",IF((($AL921="Social Sciences and Humanities")+($AL921="Law Studies")+($AL921="Education and Training")+($AL921="Art, Design")+($AL921="Entertainment and Mass Media")+($AL921="Community and Social Service")+($AL921="Personal Care and Services")+($AL921="Government and Public Administration")+($AL921="Defence/ Protective Service")+($AL921="Sports"))&gt;0,"Arts / Humanities",""))))</f>
        <v/>
      </c>
      <c r="BD921" s="5" t="str">
        <f aca="false">IF($B921="","",--(F921&gt;=10)+--(G921&gt;=10)+--(H921&gt;=10)+--(I921&gt;=10)+--(J921&gt;=10)+--(K921&gt;=10)+--(L921&gt;=10)+--(M921&gt;=10)+--(N921&gt;=10)+--(O921&gt;=10))</f>
        <v/>
      </c>
      <c r="BE921" s="5" t="str">
        <f aca="false">IF($B921="","",--(AND(F921&lt;&gt;"",F921&lt;=8))+--(AND(G921&lt;&gt;"",G921&lt;=8))+--(AND(H921&lt;&gt;"",H921&lt;=8))+--(AND(I921&lt;&gt;"",I921&lt;=8))+--(AND(J921&lt;&gt;"",J921&lt;=8))+--(AND(K921&lt;&gt;"",K921&lt;=8))+--(AND(L921&lt;&gt;"",L921&lt;=8))+--(AND(M921&lt;&gt;"",M921&lt;=8))+--(AND(N921&lt;&gt;"",N921&lt;=8))+--(AND(O921&lt;&gt;"",O921&lt;=8)))</f>
        <v/>
      </c>
    </row>
    <row r="922" customFormat="false" ht="15" hidden="false" customHeight="false" outlineLevel="0" collapsed="false">
      <c r="AZ922" s="5" t="str">
        <f aca="false">IF($B922="","",SUMPRODUCT(($AL922:$AO922&lt;&gt;"")*(COUNTIF($AP922:$AX922,$AL922:$AO922)&gt;0)))</f>
        <v/>
      </c>
      <c r="BA922" s="5" t="str">
        <f aca="false">IF($B922="","",IF(AZ922&gt;0,1,0))</f>
        <v/>
      </c>
      <c r="BB922" s="5" t="str">
        <f aca="false">IF($AP922="","",IF((($AP922="Engineering and Technology")+($AP922="Science and Mathematics")+($AP922="Computer Science, IT and Allied Fields")+($AP922="Life Sciences /Medicine and Healthcare")+($AP922="Paramedical")+($AP922="Architecture")+($AP922="Environmental Service")+($AP922="Agriculture, Food Industry and Forestry"))&gt;0,"Science",IF((($AP922="Banking and Finance")+($AP922="Management and Administration")+($AP922="Marketing")+($AP922="Sales")+($AP922="Entrepreneurship")+($AP922="Hospitality and Tourism"))&gt;0,"Commerce",IF((($AP922="Social Sciences and Humanities")+($AP922="Law Studies")+($AP922="Education and Training")+($AP922="Art, Design")+($AP922="Entertainment and Mass Media")+($AP922="Community and Social Service")+($AP922="Personal Care and Services")+($AP922="Government and Public Administration")+($AP922="Defence/ Protective Service")+($AP922="Sports"))&gt;0,"Arts / Humanities",""))))</f>
        <v/>
      </c>
      <c r="BC922" s="5" t="str">
        <f aca="false">IF($AL922="","",IF((($AL922="Engineering and Technology")+($AL922="Science and Mathematics")+($AL922="Computer Science, IT and Allied Fields")+($AL922="Life Sciences /Medicine and Healthcare")+($AL922="Paramedical")+($AL922="Architecture")+($AL922="Environmental Service")+($AL922="Agriculture, Food Industry and Forestry"))&gt;0,"Science",IF((($AL922="Banking and Finance")+($AL922="Management and Administration")+($AL922="Marketing")+($AL922="Sales")+($AL922="Entrepreneurship")+($AL922="Hospitality and Tourism"))&gt;0,"Commerce",IF((($AL922="Social Sciences and Humanities")+($AL922="Law Studies")+($AL922="Education and Training")+($AL922="Art, Design")+($AL922="Entertainment and Mass Media")+($AL922="Community and Social Service")+($AL922="Personal Care and Services")+($AL922="Government and Public Administration")+($AL922="Defence/ Protective Service")+($AL922="Sports"))&gt;0,"Arts / Humanities",""))))</f>
        <v/>
      </c>
      <c r="BD922" s="5" t="str">
        <f aca="false">IF($B922="","",--(F922&gt;=10)+--(G922&gt;=10)+--(H922&gt;=10)+--(I922&gt;=10)+--(J922&gt;=10)+--(K922&gt;=10)+--(L922&gt;=10)+--(M922&gt;=10)+--(N922&gt;=10)+--(O922&gt;=10))</f>
        <v/>
      </c>
      <c r="BE922" s="5" t="str">
        <f aca="false">IF($B922="","",--(AND(F922&lt;&gt;"",F922&lt;=8))+--(AND(G922&lt;&gt;"",G922&lt;=8))+--(AND(H922&lt;&gt;"",H922&lt;=8))+--(AND(I922&lt;&gt;"",I922&lt;=8))+--(AND(J922&lt;&gt;"",J922&lt;=8))+--(AND(K922&lt;&gt;"",K922&lt;=8))+--(AND(L922&lt;&gt;"",L922&lt;=8))+--(AND(M922&lt;&gt;"",M922&lt;=8))+--(AND(N922&lt;&gt;"",N922&lt;=8))+--(AND(O922&lt;&gt;"",O922&lt;=8)))</f>
        <v/>
      </c>
    </row>
    <row r="923" customFormat="false" ht="15" hidden="false" customHeight="false" outlineLevel="0" collapsed="false">
      <c r="AZ923" s="5" t="str">
        <f aca="false">IF($B923="","",SUMPRODUCT(($AL923:$AO923&lt;&gt;"")*(COUNTIF($AP923:$AX923,$AL923:$AO923)&gt;0)))</f>
        <v/>
      </c>
      <c r="BA923" s="5" t="str">
        <f aca="false">IF($B923="","",IF(AZ923&gt;0,1,0))</f>
        <v/>
      </c>
      <c r="BB923" s="5" t="str">
        <f aca="false">IF($AP923="","",IF((($AP923="Engineering and Technology")+($AP923="Science and Mathematics")+($AP923="Computer Science, IT and Allied Fields")+($AP923="Life Sciences /Medicine and Healthcare")+($AP923="Paramedical")+($AP923="Architecture")+($AP923="Environmental Service")+($AP923="Agriculture, Food Industry and Forestry"))&gt;0,"Science",IF((($AP923="Banking and Finance")+($AP923="Management and Administration")+($AP923="Marketing")+($AP923="Sales")+($AP923="Entrepreneurship")+($AP923="Hospitality and Tourism"))&gt;0,"Commerce",IF((($AP923="Social Sciences and Humanities")+($AP923="Law Studies")+($AP923="Education and Training")+($AP923="Art, Design")+($AP923="Entertainment and Mass Media")+($AP923="Community and Social Service")+($AP923="Personal Care and Services")+($AP923="Government and Public Administration")+($AP923="Defence/ Protective Service")+($AP923="Sports"))&gt;0,"Arts / Humanities",""))))</f>
        <v/>
      </c>
      <c r="BC923" s="5" t="str">
        <f aca="false">IF($AL923="","",IF((($AL923="Engineering and Technology")+($AL923="Science and Mathematics")+($AL923="Computer Science, IT and Allied Fields")+($AL923="Life Sciences /Medicine and Healthcare")+($AL923="Paramedical")+($AL923="Architecture")+($AL923="Environmental Service")+($AL923="Agriculture, Food Industry and Forestry"))&gt;0,"Science",IF((($AL923="Banking and Finance")+($AL923="Management and Administration")+($AL923="Marketing")+($AL923="Sales")+($AL923="Entrepreneurship")+($AL923="Hospitality and Tourism"))&gt;0,"Commerce",IF((($AL923="Social Sciences and Humanities")+($AL923="Law Studies")+($AL923="Education and Training")+($AL923="Art, Design")+($AL923="Entertainment and Mass Media")+($AL923="Community and Social Service")+($AL923="Personal Care and Services")+($AL923="Government and Public Administration")+($AL923="Defence/ Protective Service")+($AL923="Sports"))&gt;0,"Arts / Humanities",""))))</f>
        <v/>
      </c>
      <c r="BD923" s="5" t="str">
        <f aca="false">IF($B923="","",--(F923&gt;=10)+--(G923&gt;=10)+--(H923&gt;=10)+--(I923&gt;=10)+--(J923&gt;=10)+--(K923&gt;=10)+--(L923&gt;=10)+--(M923&gt;=10)+--(N923&gt;=10)+--(O923&gt;=10))</f>
        <v/>
      </c>
      <c r="BE923" s="5" t="str">
        <f aca="false">IF($B923="","",--(AND(F923&lt;&gt;"",F923&lt;=8))+--(AND(G923&lt;&gt;"",G923&lt;=8))+--(AND(H923&lt;&gt;"",H923&lt;=8))+--(AND(I923&lt;&gt;"",I923&lt;=8))+--(AND(J923&lt;&gt;"",J923&lt;=8))+--(AND(K923&lt;&gt;"",K923&lt;=8))+--(AND(L923&lt;&gt;"",L923&lt;=8))+--(AND(M923&lt;&gt;"",M923&lt;=8))+--(AND(N923&lt;&gt;"",N923&lt;=8))+--(AND(O923&lt;&gt;"",O923&lt;=8)))</f>
        <v/>
      </c>
    </row>
    <row r="924" customFormat="false" ht="15" hidden="false" customHeight="false" outlineLevel="0" collapsed="false">
      <c r="AZ924" s="5" t="str">
        <f aca="false">IF($B924="","",SUMPRODUCT(($AL924:$AO924&lt;&gt;"")*(COUNTIF($AP924:$AX924,$AL924:$AO924)&gt;0)))</f>
        <v/>
      </c>
      <c r="BA924" s="5" t="str">
        <f aca="false">IF($B924="","",IF(AZ924&gt;0,1,0))</f>
        <v/>
      </c>
      <c r="BB924" s="5" t="str">
        <f aca="false">IF($AP924="","",IF((($AP924="Engineering and Technology")+($AP924="Science and Mathematics")+($AP924="Computer Science, IT and Allied Fields")+($AP924="Life Sciences /Medicine and Healthcare")+($AP924="Paramedical")+($AP924="Architecture")+($AP924="Environmental Service")+($AP924="Agriculture, Food Industry and Forestry"))&gt;0,"Science",IF((($AP924="Banking and Finance")+($AP924="Management and Administration")+($AP924="Marketing")+($AP924="Sales")+($AP924="Entrepreneurship")+($AP924="Hospitality and Tourism"))&gt;0,"Commerce",IF((($AP924="Social Sciences and Humanities")+($AP924="Law Studies")+($AP924="Education and Training")+($AP924="Art, Design")+($AP924="Entertainment and Mass Media")+($AP924="Community and Social Service")+($AP924="Personal Care and Services")+($AP924="Government and Public Administration")+($AP924="Defence/ Protective Service")+($AP924="Sports"))&gt;0,"Arts / Humanities",""))))</f>
        <v/>
      </c>
      <c r="BC924" s="5" t="str">
        <f aca="false">IF($AL924="","",IF((($AL924="Engineering and Technology")+($AL924="Science and Mathematics")+($AL924="Computer Science, IT and Allied Fields")+($AL924="Life Sciences /Medicine and Healthcare")+($AL924="Paramedical")+($AL924="Architecture")+($AL924="Environmental Service")+($AL924="Agriculture, Food Industry and Forestry"))&gt;0,"Science",IF((($AL924="Banking and Finance")+($AL924="Management and Administration")+($AL924="Marketing")+($AL924="Sales")+($AL924="Entrepreneurship")+($AL924="Hospitality and Tourism"))&gt;0,"Commerce",IF((($AL924="Social Sciences and Humanities")+($AL924="Law Studies")+($AL924="Education and Training")+($AL924="Art, Design")+($AL924="Entertainment and Mass Media")+($AL924="Community and Social Service")+($AL924="Personal Care and Services")+($AL924="Government and Public Administration")+($AL924="Defence/ Protective Service")+($AL924="Sports"))&gt;0,"Arts / Humanities",""))))</f>
        <v/>
      </c>
      <c r="BD924" s="5" t="str">
        <f aca="false">IF($B924="","",--(F924&gt;=10)+--(G924&gt;=10)+--(H924&gt;=10)+--(I924&gt;=10)+--(J924&gt;=10)+--(K924&gt;=10)+--(L924&gt;=10)+--(M924&gt;=10)+--(N924&gt;=10)+--(O924&gt;=10))</f>
        <v/>
      </c>
      <c r="BE924" s="5" t="str">
        <f aca="false">IF($B924="","",--(AND(F924&lt;&gt;"",F924&lt;=8))+--(AND(G924&lt;&gt;"",G924&lt;=8))+--(AND(H924&lt;&gt;"",H924&lt;=8))+--(AND(I924&lt;&gt;"",I924&lt;=8))+--(AND(J924&lt;&gt;"",J924&lt;=8))+--(AND(K924&lt;&gt;"",K924&lt;=8))+--(AND(L924&lt;&gt;"",L924&lt;=8))+--(AND(M924&lt;&gt;"",M924&lt;=8))+--(AND(N924&lt;&gt;"",N924&lt;=8))+--(AND(O924&lt;&gt;"",O924&lt;=8)))</f>
        <v/>
      </c>
    </row>
    <row r="925" customFormat="false" ht="15" hidden="false" customHeight="false" outlineLevel="0" collapsed="false">
      <c r="AZ925" s="5" t="str">
        <f aca="false">IF($B925="","",SUMPRODUCT(($AL925:$AO925&lt;&gt;"")*(COUNTIF($AP925:$AX925,$AL925:$AO925)&gt;0)))</f>
        <v/>
      </c>
      <c r="BA925" s="5" t="str">
        <f aca="false">IF($B925="","",IF(AZ925&gt;0,1,0))</f>
        <v/>
      </c>
      <c r="BB925" s="5" t="str">
        <f aca="false">IF($AP925="","",IF((($AP925="Engineering and Technology")+($AP925="Science and Mathematics")+($AP925="Computer Science, IT and Allied Fields")+($AP925="Life Sciences /Medicine and Healthcare")+($AP925="Paramedical")+($AP925="Architecture")+($AP925="Environmental Service")+($AP925="Agriculture, Food Industry and Forestry"))&gt;0,"Science",IF((($AP925="Banking and Finance")+($AP925="Management and Administration")+($AP925="Marketing")+($AP925="Sales")+($AP925="Entrepreneurship")+($AP925="Hospitality and Tourism"))&gt;0,"Commerce",IF((($AP925="Social Sciences and Humanities")+($AP925="Law Studies")+($AP925="Education and Training")+($AP925="Art, Design")+($AP925="Entertainment and Mass Media")+($AP925="Community and Social Service")+($AP925="Personal Care and Services")+($AP925="Government and Public Administration")+($AP925="Defence/ Protective Service")+($AP925="Sports"))&gt;0,"Arts / Humanities",""))))</f>
        <v/>
      </c>
      <c r="BC925" s="5" t="str">
        <f aca="false">IF($AL925="","",IF((($AL925="Engineering and Technology")+($AL925="Science and Mathematics")+($AL925="Computer Science, IT and Allied Fields")+($AL925="Life Sciences /Medicine and Healthcare")+($AL925="Paramedical")+($AL925="Architecture")+($AL925="Environmental Service")+($AL925="Agriculture, Food Industry and Forestry"))&gt;0,"Science",IF((($AL925="Banking and Finance")+($AL925="Management and Administration")+($AL925="Marketing")+($AL925="Sales")+($AL925="Entrepreneurship")+($AL925="Hospitality and Tourism"))&gt;0,"Commerce",IF((($AL925="Social Sciences and Humanities")+($AL925="Law Studies")+($AL925="Education and Training")+($AL925="Art, Design")+($AL925="Entertainment and Mass Media")+($AL925="Community and Social Service")+($AL925="Personal Care and Services")+($AL925="Government and Public Administration")+($AL925="Defence/ Protective Service")+($AL925="Sports"))&gt;0,"Arts / Humanities",""))))</f>
        <v/>
      </c>
      <c r="BD925" s="5" t="str">
        <f aca="false">IF($B925="","",--(F925&gt;=10)+--(G925&gt;=10)+--(H925&gt;=10)+--(I925&gt;=10)+--(J925&gt;=10)+--(K925&gt;=10)+--(L925&gt;=10)+--(M925&gt;=10)+--(N925&gt;=10)+--(O925&gt;=10))</f>
        <v/>
      </c>
      <c r="BE925" s="5" t="str">
        <f aca="false">IF($B925="","",--(AND(F925&lt;&gt;"",F925&lt;=8))+--(AND(G925&lt;&gt;"",G925&lt;=8))+--(AND(H925&lt;&gt;"",H925&lt;=8))+--(AND(I925&lt;&gt;"",I925&lt;=8))+--(AND(J925&lt;&gt;"",J925&lt;=8))+--(AND(K925&lt;&gt;"",K925&lt;=8))+--(AND(L925&lt;&gt;"",L925&lt;=8))+--(AND(M925&lt;&gt;"",M925&lt;=8))+--(AND(N925&lt;&gt;"",N925&lt;=8))+--(AND(O925&lt;&gt;"",O925&lt;=8)))</f>
        <v/>
      </c>
    </row>
    <row r="926" customFormat="false" ht="15" hidden="false" customHeight="false" outlineLevel="0" collapsed="false">
      <c r="AZ926" s="5" t="str">
        <f aca="false">IF($B926="","",SUMPRODUCT(($AL926:$AO926&lt;&gt;"")*(COUNTIF($AP926:$AX926,$AL926:$AO926)&gt;0)))</f>
        <v/>
      </c>
      <c r="BA926" s="5" t="str">
        <f aca="false">IF($B926="","",IF(AZ926&gt;0,1,0))</f>
        <v/>
      </c>
      <c r="BB926" s="5" t="str">
        <f aca="false">IF($AP926="","",IF((($AP926="Engineering and Technology")+($AP926="Science and Mathematics")+($AP926="Computer Science, IT and Allied Fields")+($AP926="Life Sciences /Medicine and Healthcare")+($AP926="Paramedical")+($AP926="Architecture")+($AP926="Environmental Service")+($AP926="Agriculture, Food Industry and Forestry"))&gt;0,"Science",IF((($AP926="Banking and Finance")+($AP926="Management and Administration")+($AP926="Marketing")+($AP926="Sales")+($AP926="Entrepreneurship")+($AP926="Hospitality and Tourism"))&gt;0,"Commerce",IF((($AP926="Social Sciences and Humanities")+($AP926="Law Studies")+($AP926="Education and Training")+($AP926="Art, Design")+($AP926="Entertainment and Mass Media")+($AP926="Community and Social Service")+($AP926="Personal Care and Services")+($AP926="Government and Public Administration")+($AP926="Defence/ Protective Service")+($AP926="Sports"))&gt;0,"Arts / Humanities",""))))</f>
        <v/>
      </c>
      <c r="BC926" s="5" t="str">
        <f aca="false">IF($AL926="","",IF((($AL926="Engineering and Technology")+($AL926="Science and Mathematics")+($AL926="Computer Science, IT and Allied Fields")+($AL926="Life Sciences /Medicine and Healthcare")+($AL926="Paramedical")+($AL926="Architecture")+($AL926="Environmental Service")+($AL926="Agriculture, Food Industry and Forestry"))&gt;0,"Science",IF((($AL926="Banking and Finance")+($AL926="Management and Administration")+($AL926="Marketing")+($AL926="Sales")+($AL926="Entrepreneurship")+($AL926="Hospitality and Tourism"))&gt;0,"Commerce",IF((($AL926="Social Sciences and Humanities")+($AL926="Law Studies")+($AL926="Education and Training")+($AL926="Art, Design")+($AL926="Entertainment and Mass Media")+($AL926="Community and Social Service")+($AL926="Personal Care and Services")+($AL926="Government and Public Administration")+($AL926="Defence/ Protective Service")+($AL926="Sports"))&gt;0,"Arts / Humanities",""))))</f>
        <v/>
      </c>
      <c r="BD926" s="5" t="str">
        <f aca="false">IF($B926="","",--(F926&gt;=10)+--(G926&gt;=10)+--(H926&gt;=10)+--(I926&gt;=10)+--(J926&gt;=10)+--(K926&gt;=10)+--(L926&gt;=10)+--(M926&gt;=10)+--(N926&gt;=10)+--(O926&gt;=10))</f>
        <v/>
      </c>
      <c r="BE926" s="5" t="str">
        <f aca="false">IF($B926="","",--(AND(F926&lt;&gt;"",F926&lt;=8))+--(AND(G926&lt;&gt;"",G926&lt;=8))+--(AND(H926&lt;&gt;"",H926&lt;=8))+--(AND(I926&lt;&gt;"",I926&lt;=8))+--(AND(J926&lt;&gt;"",J926&lt;=8))+--(AND(K926&lt;&gt;"",K926&lt;=8))+--(AND(L926&lt;&gt;"",L926&lt;=8))+--(AND(M926&lt;&gt;"",M926&lt;=8))+--(AND(N926&lt;&gt;"",N926&lt;=8))+--(AND(O926&lt;&gt;"",O926&lt;=8)))</f>
        <v/>
      </c>
    </row>
    <row r="927" customFormat="false" ht="15" hidden="false" customHeight="false" outlineLevel="0" collapsed="false">
      <c r="AZ927" s="5" t="str">
        <f aca="false">IF($B927="","",SUMPRODUCT(($AL927:$AO927&lt;&gt;"")*(COUNTIF($AP927:$AX927,$AL927:$AO927)&gt;0)))</f>
        <v/>
      </c>
      <c r="BA927" s="5" t="str">
        <f aca="false">IF($B927="","",IF(AZ927&gt;0,1,0))</f>
        <v/>
      </c>
      <c r="BB927" s="5" t="str">
        <f aca="false">IF($AP927="","",IF((($AP927="Engineering and Technology")+($AP927="Science and Mathematics")+($AP927="Computer Science, IT and Allied Fields")+($AP927="Life Sciences /Medicine and Healthcare")+($AP927="Paramedical")+($AP927="Architecture")+($AP927="Environmental Service")+($AP927="Agriculture, Food Industry and Forestry"))&gt;0,"Science",IF((($AP927="Banking and Finance")+($AP927="Management and Administration")+($AP927="Marketing")+($AP927="Sales")+($AP927="Entrepreneurship")+($AP927="Hospitality and Tourism"))&gt;0,"Commerce",IF((($AP927="Social Sciences and Humanities")+($AP927="Law Studies")+($AP927="Education and Training")+($AP927="Art, Design")+($AP927="Entertainment and Mass Media")+($AP927="Community and Social Service")+($AP927="Personal Care and Services")+($AP927="Government and Public Administration")+($AP927="Defence/ Protective Service")+($AP927="Sports"))&gt;0,"Arts / Humanities",""))))</f>
        <v/>
      </c>
      <c r="BC927" s="5" t="str">
        <f aca="false">IF($AL927="","",IF((($AL927="Engineering and Technology")+($AL927="Science and Mathematics")+($AL927="Computer Science, IT and Allied Fields")+($AL927="Life Sciences /Medicine and Healthcare")+($AL927="Paramedical")+($AL927="Architecture")+($AL927="Environmental Service")+($AL927="Agriculture, Food Industry and Forestry"))&gt;0,"Science",IF((($AL927="Banking and Finance")+($AL927="Management and Administration")+($AL927="Marketing")+($AL927="Sales")+($AL927="Entrepreneurship")+($AL927="Hospitality and Tourism"))&gt;0,"Commerce",IF((($AL927="Social Sciences and Humanities")+($AL927="Law Studies")+($AL927="Education and Training")+($AL927="Art, Design")+($AL927="Entertainment and Mass Media")+($AL927="Community and Social Service")+($AL927="Personal Care and Services")+($AL927="Government and Public Administration")+($AL927="Defence/ Protective Service")+($AL927="Sports"))&gt;0,"Arts / Humanities",""))))</f>
        <v/>
      </c>
      <c r="BD927" s="5" t="str">
        <f aca="false">IF($B927="","",--(F927&gt;=10)+--(G927&gt;=10)+--(H927&gt;=10)+--(I927&gt;=10)+--(J927&gt;=10)+--(K927&gt;=10)+--(L927&gt;=10)+--(M927&gt;=10)+--(N927&gt;=10)+--(O927&gt;=10))</f>
        <v/>
      </c>
      <c r="BE927" s="5" t="str">
        <f aca="false">IF($B927="","",--(AND(F927&lt;&gt;"",F927&lt;=8))+--(AND(G927&lt;&gt;"",G927&lt;=8))+--(AND(H927&lt;&gt;"",H927&lt;=8))+--(AND(I927&lt;&gt;"",I927&lt;=8))+--(AND(J927&lt;&gt;"",J927&lt;=8))+--(AND(K927&lt;&gt;"",K927&lt;=8))+--(AND(L927&lt;&gt;"",L927&lt;=8))+--(AND(M927&lt;&gt;"",M927&lt;=8))+--(AND(N927&lt;&gt;"",N927&lt;=8))+--(AND(O927&lt;&gt;"",O927&lt;=8)))</f>
        <v/>
      </c>
    </row>
    <row r="928" customFormat="false" ht="15" hidden="false" customHeight="false" outlineLevel="0" collapsed="false">
      <c r="AZ928" s="5" t="str">
        <f aca="false">IF($B928="","",SUMPRODUCT(($AL928:$AO928&lt;&gt;"")*(COUNTIF($AP928:$AX928,$AL928:$AO928)&gt;0)))</f>
        <v/>
      </c>
      <c r="BA928" s="5" t="str">
        <f aca="false">IF($B928="","",IF(AZ928&gt;0,1,0))</f>
        <v/>
      </c>
      <c r="BB928" s="5" t="str">
        <f aca="false">IF($AP928="","",IF((($AP928="Engineering and Technology")+($AP928="Science and Mathematics")+($AP928="Computer Science, IT and Allied Fields")+($AP928="Life Sciences /Medicine and Healthcare")+($AP928="Paramedical")+($AP928="Architecture")+($AP928="Environmental Service")+($AP928="Agriculture, Food Industry and Forestry"))&gt;0,"Science",IF((($AP928="Banking and Finance")+($AP928="Management and Administration")+($AP928="Marketing")+($AP928="Sales")+($AP928="Entrepreneurship")+($AP928="Hospitality and Tourism"))&gt;0,"Commerce",IF((($AP928="Social Sciences and Humanities")+($AP928="Law Studies")+($AP928="Education and Training")+($AP928="Art, Design")+($AP928="Entertainment and Mass Media")+($AP928="Community and Social Service")+($AP928="Personal Care and Services")+($AP928="Government and Public Administration")+($AP928="Defence/ Protective Service")+($AP928="Sports"))&gt;0,"Arts / Humanities",""))))</f>
        <v/>
      </c>
      <c r="BC928" s="5" t="str">
        <f aca="false">IF($AL928="","",IF((($AL928="Engineering and Technology")+($AL928="Science and Mathematics")+($AL928="Computer Science, IT and Allied Fields")+($AL928="Life Sciences /Medicine and Healthcare")+($AL928="Paramedical")+($AL928="Architecture")+($AL928="Environmental Service")+($AL928="Agriculture, Food Industry and Forestry"))&gt;0,"Science",IF((($AL928="Banking and Finance")+($AL928="Management and Administration")+($AL928="Marketing")+($AL928="Sales")+($AL928="Entrepreneurship")+($AL928="Hospitality and Tourism"))&gt;0,"Commerce",IF((($AL928="Social Sciences and Humanities")+($AL928="Law Studies")+($AL928="Education and Training")+($AL928="Art, Design")+($AL928="Entertainment and Mass Media")+($AL928="Community and Social Service")+($AL928="Personal Care and Services")+($AL928="Government and Public Administration")+($AL928="Defence/ Protective Service")+($AL928="Sports"))&gt;0,"Arts / Humanities",""))))</f>
        <v/>
      </c>
      <c r="BD928" s="5" t="str">
        <f aca="false">IF($B928="","",--(F928&gt;=10)+--(G928&gt;=10)+--(H928&gt;=10)+--(I928&gt;=10)+--(J928&gt;=10)+--(K928&gt;=10)+--(L928&gt;=10)+--(M928&gt;=10)+--(N928&gt;=10)+--(O928&gt;=10))</f>
        <v/>
      </c>
      <c r="BE928" s="5" t="str">
        <f aca="false">IF($B928="","",--(AND(F928&lt;&gt;"",F928&lt;=8))+--(AND(G928&lt;&gt;"",G928&lt;=8))+--(AND(H928&lt;&gt;"",H928&lt;=8))+--(AND(I928&lt;&gt;"",I928&lt;=8))+--(AND(J928&lt;&gt;"",J928&lt;=8))+--(AND(K928&lt;&gt;"",K928&lt;=8))+--(AND(L928&lt;&gt;"",L928&lt;=8))+--(AND(M928&lt;&gt;"",M928&lt;=8))+--(AND(N928&lt;&gt;"",N928&lt;=8))+--(AND(O928&lt;&gt;"",O928&lt;=8)))</f>
        <v/>
      </c>
    </row>
    <row r="929" customFormat="false" ht="15" hidden="false" customHeight="false" outlineLevel="0" collapsed="false">
      <c r="AZ929" s="5" t="str">
        <f aca="false">IF($B929="","",SUMPRODUCT(($AL929:$AO929&lt;&gt;"")*(COUNTIF($AP929:$AX929,$AL929:$AO929)&gt;0)))</f>
        <v/>
      </c>
      <c r="BA929" s="5" t="str">
        <f aca="false">IF($B929="","",IF(AZ929&gt;0,1,0))</f>
        <v/>
      </c>
      <c r="BB929" s="5" t="str">
        <f aca="false">IF($AP929="","",IF((($AP929="Engineering and Technology")+($AP929="Science and Mathematics")+($AP929="Computer Science, IT and Allied Fields")+($AP929="Life Sciences /Medicine and Healthcare")+($AP929="Paramedical")+($AP929="Architecture")+($AP929="Environmental Service")+($AP929="Agriculture, Food Industry and Forestry"))&gt;0,"Science",IF((($AP929="Banking and Finance")+($AP929="Management and Administration")+($AP929="Marketing")+($AP929="Sales")+($AP929="Entrepreneurship")+($AP929="Hospitality and Tourism"))&gt;0,"Commerce",IF((($AP929="Social Sciences and Humanities")+($AP929="Law Studies")+($AP929="Education and Training")+($AP929="Art, Design")+($AP929="Entertainment and Mass Media")+($AP929="Community and Social Service")+($AP929="Personal Care and Services")+($AP929="Government and Public Administration")+($AP929="Defence/ Protective Service")+($AP929="Sports"))&gt;0,"Arts / Humanities",""))))</f>
        <v/>
      </c>
      <c r="BC929" s="5" t="str">
        <f aca="false">IF($AL929="","",IF((($AL929="Engineering and Technology")+($AL929="Science and Mathematics")+($AL929="Computer Science, IT and Allied Fields")+($AL929="Life Sciences /Medicine and Healthcare")+($AL929="Paramedical")+($AL929="Architecture")+($AL929="Environmental Service")+($AL929="Agriculture, Food Industry and Forestry"))&gt;0,"Science",IF((($AL929="Banking and Finance")+($AL929="Management and Administration")+($AL929="Marketing")+($AL929="Sales")+($AL929="Entrepreneurship")+($AL929="Hospitality and Tourism"))&gt;0,"Commerce",IF((($AL929="Social Sciences and Humanities")+($AL929="Law Studies")+($AL929="Education and Training")+($AL929="Art, Design")+($AL929="Entertainment and Mass Media")+($AL929="Community and Social Service")+($AL929="Personal Care and Services")+($AL929="Government and Public Administration")+($AL929="Defence/ Protective Service")+($AL929="Sports"))&gt;0,"Arts / Humanities",""))))</f>
        <v/>
      </c>
      <c r="BD929" s="5" t="str">
        <f aca="false">IF($B929="","",--(F929&gt;=10)+--(G929&gt;=10)+--(H929&gt;=10)+--(I929&gt;=10)+--(J929&gt;=10)+--(K929&gt;=10)+--(L929&gt;=10)+--(M929&gt;=10)+--(N929&gt;=10)+--(O929&gt;=10))</f>
        <v/>
      </c>
      <c r="BE929" s="5" t="str">
        <f aca="false">IF($B929="","",--(AND(F929&lt;&gt;"",F929&lt;=8))+--(AND(G929&lt;&gt;"",G929&lt;=8))+--(AND(H929&lt;&gt;"",H929&lt;=8))+--(AND(I929&lt;&gt;"",I929&lt;=8))+--(AND(J929&lt;&gt;"",J929&lt;=8))+--(AND(K929&lt;&gt;"",K929&lt;=8))+--(AND(L929&lt;&gt;"",L929&lt;=8))+--(AND(M929&lt;&gt;"",M929&lt;=8))+--(AND(N929&lt;&gt;"",N929&lt;=8))+--(AND(O929&lt;&gt;"",O929&lt;=8)))</f>
        <v/>
      </c>
    </row>
    <row r="930" customFormat="false" ht="15" hidden="false" customHeight="false" outlineLevel="0" collapsed="false">
      <c r="AZ930" s="5" t="str">
        <f aca="false">IF($B930="","",SUMPRODUCT(($AL930:$AO930&lt;&gt;"")*(COUNTIF($AP930:$AX930,$AL930:$AO930)&gt;0)))</f>
        <v/>
      </c>
      <c r="BA930" s="5" t="str">
        <f aca="false">IF($B930="","",IF(AZ930&gt;0,1,0))</f>
        <v/>
      </c>
      <c r="BB930" s="5" t="str">
        <f aca="false">IF($AP930="","",IF((($AP930="Engineering and Technology")+($AP930="Science and Mathematics")+($AP930="Computer Science, IT and Allied Fields")+($AP930="Life Sciences /Medicine and Healthcare")+($AP930="Paramedical")+($AP930="Architecture")+($AP930="Environmental Service")+($AP930="Agriculture, Food Industry and Forestry"))&gt;0,"Science",IF((($AP930="Banking and Finance")+($AP930="Management and Administration")+($AP930="Marketing")+($AP930="Sales")+($AP930="Entrepreneurship")+($AP930="Hospitality and Tourism"))&gt;0,"Commerce",IF((($AP930="Social Sciences and Humanities")+($AP930="Law Studies")+($AP930="Education and Training")+($AP930="Art, Design")+($AP930="Entertainment and Mass Media")+($AP930="Community and Social Service")+($AP930="Personal Care and Services")+($AP930="Government and Public Administration")+($AP930="Defence/ Protective Service")+($AP930="Sports"))&gt;0,"Arts / Humanities",""))))</f>
        <v/>
      </c>
      <c r="BC930" s="5" t="str">
        <f aca="false">IF($AL930="","",IF((($AL930="Engineering and Technology")+($AL930="Science and Mathematics")+($AL930="Computer Science, IT and Allied Fields")+($AL930="Life Sciences /Medicine and Healthcare")+($AL930="Paramedical")+($AL930="Architecture")+($AL930="Environmental Service")+($AL930="Agriculture, Food Industry and Forestry"))&gt;0,"Science",IF((($AL930="Banking and Finance")+($AL930="Management and Administration")+($AL930="Marketing")+($AL930="Sales")+($AL930="Entrepreneurship")+($AL930="Hospitality and Tourism"))&gt;0,"Commerce",IF((($AL930="Social Sciences and Humanities")+($AL930="Law Studies")+($AL930="Education and Training")+($AL930="Art, Design")+($AL930="Entertainment and Mass Media")+($AL930="Community and Social Service")+($AL930="Personal Care and Services")+($AL930="Government and Public Administration")+($AL930="Defence/ Protective Service")+($AL930="Sports"))&gt;0,"Arts / Humanities",""))))</f>
        <v/>
      </c>
      <c r="BD930" s="5" t="str">
        <f aca="false">IF($B930="","",--(F930&gt;=10)+--(G930&gt;=10)+--(H930&gt;=10)+--(I930&gt;=10)+--(J930&gt;=10)+--(K930&gt;=10)+--(L930&gt;=10)+--(M930&gt;=10)+--(N930&gt;=10)+--(O930&gt;=10))</f>
        <v/>
      </c>
      <c r="BE930" s="5" t="str">
        <f aca="false">IF($B930="","",--(AND(F930&lt;&gt;"",F930&lt;=8))+--(AND(G930&lt;&gt;"",G930&lt;=8))+--(AND(H930&lt;&gt;"",H930&lt;=8))+--(AND(I930&lt;&gt;"",I930&lt;=8))+--(AND(J930&lt;&gt;"",J930&lt;=8))+--(AND(K930&lt;&gt;"",K930&lt;=8))+--(AND(L930&lt;&gt;"",L930&lt;=8))+--(AND(M930&lt;&gt;"",M930&lt;=8))+--(AND(N930&lt;&gt;"",N930&lt;=8))+--(AND(O930&lt;&gt;"",O930&lt;=8)))</f>
        <v/>
      </c>
    </row>
    <row r="931" customFormat="false" ht="15" hidden="false" customHeight="false" outlineLevel="0" collapsed="false">
      <c r="AZ931" s="5" t="str">
        <f aca="false">IF($B931="","",SUMPRODUCT(($AL931:$AO931&lt;&gt;"")*(COUNTIF($AP931:$AX931,$AL931:$AO931)&gt;0)))</f>
        <v/>
      </c>
      <c r="BA931" s="5" t="str">
        <f aca="false">IF($B931="","",IF(AZ931&gt;0,1,0))</f>
        <v/>
      </c>
      <c r="BB931" s="5" t="str">
        <f aca="false">IF($AP931="","",IF((($AP931="Engineering and Technology")+($AP931="Science and Mathematics")+($AP931="Computer Science, IT and Allied Fields")+($AP931="Life Sciences /Medicine and Healthcare")+($AP931="Paramedical")+($AP931="Architecture")+($AP931="Environmental Service")+($AP931="Agriculture, Food Industry and Forestry"))&gt;0,"Science",IF((($AP931="Banking and Finance")+($AP931="Management and Administration")+($AP931="Marketing")+($AP931="Sales")+($AP931="Entrepreneurship")+($AP931="Hospitality and Tourism"))&gt;0,"Commerce",IF((($AP931="Social Sciences and Humanities")+($AP931="Law Studies")+($AP931="Education and Training")+($AP931="Art, Design")+($AP931="Entertainment and Mass Media")+($AP931="Community and Social Service")+($AP931="Personal Care and Services")+($AP931="Government and Public Administration")+($AP931="Defence/ Protective Service")+($AP931="Sports"))&gt;0,"Arts / Humanities",""))))</f>
        <v/>
      </c>
      <c r="BC931" s="5" t="str">
        <f aca="false">IF($AL931="","",IF((($AL931="Engineering and Technology")+($AL931="Science and Mathematics")+($AL931="Computer Science, IT and Allied Fields")+($AL931="Life Sciences /Medicine and Healthcare")+($AL931="Paramedical")+($AL931="Architecture")+($AL931="Environmental Service")+($AL931="Agriculture, Food Industry and Forestry"))&gt;0,"Science",IF((($AL931="Banking and Finance")+($AL931="Management and Administration")+($AL931="Marketing")+($AL931="Sales")+($AL931="Entrepreneurship")+($AL931="Hospitality and Tourism"))&gt;0,"Commerce",IF((($AL931="Social Sciences and Humanities")+($AL931="Law Studies")+($AL931="Education and Training")+($AL931="Art, Design")+($AL931="Entertainment and Mass Media")+($AL931="Community and Social Service")+($AL931="Personal Care and Services")+($AL931="Government and Public Administration")+($AL931="Defence/ Protective Service")+($AL931="Sports"))&gt;0,"Arts / Humanities",""))))</f>
        <v/>
      </c>
      <c r="BD931" s="5" t="str">
        <f aca="false">IF($B931="","",--(F931&gt;=10)+--(G931&gt;=10)+--(H931&gt;=10)+--(I931&gt;=10)+--(J931&gt;=10)+--(K931&gt;=10)+--(L931&gt;=10)+--(M931&gt;=10)+--(N931&gt;=10)+--(O931&gt;=10))</f>
        <v/>
      </c>
      <c r="BE931" s="5" t="str">
        <f aca="false">IF($B931="","",--(AND(F931&lt;&gt;"",F931&lt;=8))+--(AND(G931&lt;&gt;"",G931&lt;=8))+--(AND(H931&lt;&gt;"",H931&lt;=8))+--(AND(I931&lt;&gt;"",I931&lt;=8))+--(AND(J931&lt;&gt;"",J931&lt;=8))+--(AND(K931&lt;&gt;"",K931&lt;=8))+--(AND(L931&lt;&gt;"",L931&lt;=8))+--(AND(M931&lt;&gt;"",M931&lt;=8))+--(AND(N931&lt;&gt;"",N931&lt;=8))+--(AND(O931&lt;&gt;"",O931&lt;=8)))</f>
        <v/>
      </c>
    </row>
    <row r="932" customFormat="false" ht="15" hidden="false" customHeight="false" outlineLevel="0" collapsed="false">
      <c r="AZ932" s="5" t="str">
        <f aca="false">IF($B932="","",SUMPRODUCT(($AL932:$AO932&lt;&gt;"")*(COUNTIF($AP932:$AX932,$AL932:$AO932)&gt;0)))</f>
        <v/>
      </c>
      <c r="BA932" s="5" t="str">
        <f aca="false">IF($B932="","",IF(AZ932&gt;0,1,0))</f>
        <v/>
      </c>
      <c r="BB932" s="5" t="str">
        <f aca="false">IF($AP932="","",IF((($AP932="Engineering and Technology")+($AP932="Science and Mathematics")+($AP932="Computer Science, IT and Allied Fields")+($AP932="Life Sciences /Medicine and Healthcare")+($AP932="Paramedical")+($AP932="Architecture")+($AP932="Environmental Service")+($AP932="Agriculture, Food Industry and Forestry"))&gt;0,"Science",IF((($AP932="Banking and Finance")+($AP932="Management and Administration")+($AP932="Marketing")+($AP932="Sales")+($AP932="Entrepreneurship")+($AP932="Hospitality and Tourism"))&gt;0,"Commerce",IF((($AP932="Social Sciences and Humanities")+($AP932="Law Studies")+($AP932="Education and Training")+($AP932="Art, Design")+($AP932="Entertainment and Mass Media")+($AP932="Community and Social Service")+($AP932="Personal Care and Services")+($AP932="Government and Public Administration")+($AP932="Defence/ Protective Service")+($AP932="Sports"))&gt;0,"Arts / Humanities",""))))</f>
        <v/>
      </c>
      <c r="BC932" s="5" t="str">
        <f aca="false">IF($AL932="","",IF((($AL932="Engineering and Technology")+($AL932="Science and Mathematics")+($AL932="Computer Science, IT and Allied Fields")+($AL932="Life Sciences /Medicine and Healthcare")+($AL932="Paramedical")+($AL932="Architecture")+($AL932="Environmental Service")+($AL932="Agriculture, Food Industry and Forestry"))&gt;0,"Science",IF((($AL932="Banking and Finance")+($AL932="Management and Administration")+($AL932="Marketing")+($AL932="Sales")+($AL932="Entrepreneurship")+($AL932="Hospitality and Tourism"))&gt;0,"Commerce",IF((($AL932="Social Sciences and Humanities")+($AL932="Law Studies")+($AL932="Education and Training")+($AL932="Art, Design")+($AL932="Entertainment and Mass Media")+($AL932="Community and Social Service")+($AL932="Personal Care and Services")+($AL932="Government and Public Administration")+($AL932="Defence/ Protective Service")+($AL932="Sports"))&gt;0,"Arts / Humanities",""))))</f>
        <v/>
      </c>
      <c r="BD932" s="5" t="str">
        <f aca="false">IF($B932="","",--(F932&gt;=10)+--(G932&gt;=10)+--(H932&gt;=10)+--(I932&gt;=10)+--(J932&gt;=10)+--(K932&gt;=10)+--(L932&gt;=10)+--(M932&gt;=10)+--(N932&gt;=10)+--(O932&gt;=10))</f>
        <v/>
      </c>
      <c r="BE932" s="5" t="str">
        <f aca="false">IF($B932="","",--(AND(F932&lt;&gt;"",F932&lt;=8))+--(AND(G932&lt;&gt;"",G932&lt;=8))+--(AND(H932&lt;&gt;"",H932&lt;=8))+--(AND(I932&lt;&gt;"",I932&lt;=8))+--(AND(J932&lt;&gt;"",J932&lt;=8))+--(AND(K932&lt;&gt;"",K932&lt;=8))+--(AND(L932&lt;&gt;"",L932&lt;=8))+--(AND(M932&lt;&gt;"",M932&lt;=8))+--(AND(N932&lt;&gt;"",N932&lt;=8))+--(AND(O932&lt;&gt;"",O932&lt;=8)))</f>
        <v/>
      </c>
    </row>
    <row r="933" customFormat="false" ht="15" hidden="false" customHeight="false" outlineLevel="0" collapsed="false">
      <c r="AZ933" s="5" t="str">
        <f aca="false">IF($B933="","",SUMPRODUCT(($AL933:$AO933&lt;&gt;"")*(COUNTIF($AP933:$AX933,$AL933:$AO933)&gt;0)))</f>
        <v/>
      </c>
      <c r="BA933" s="5" t="str">
        <f aca="false">IF($B933="","",IF(AZ933&gt;0,1,0))</f>
        <v/>
      </c>
      <c r="BB933" s="5" t="str">
        <f aca="false">IF($AP933="","",IF((($AP933="Engineering and Technology")+($AP933="Science and Mathematics")+($AP933="Computer Science, IT and Allied Fields")+($AP933="Life Sciences /Medicine and Healthcare")+($AP933="Paramedical")+($AP933="Architecture")+($AP933="Environmental Service")+($AP933="Agriculture, Food Industry and Forestry"))&gt;0,"Science",IF((($AP933="Banking and Finance")+($AP933="Management and Administration")+($AP933="Marketing")+($AP933="Sales")+($AP933="Entrepreneurship")+($AP933="Hospitality and Tourism"))&gt;0,"Commerce",IF((($AP933="Social Sciences and Humanities")+($AP933="Law Studies")+($AP933="Education and Training")+($AP933="Art, Design")+($AP933="Entertainment and Mass Media")+($AP933="Community and Social Service")+($AP933="Personal Care and Services")+($AP933="Government and Public Administration")+($AP933="Defence/ Protective Service")+($AP933="Sports"))&gt;0,"Arts / Humanities",""))))</f>
        <v/>
      </c>
      <c r="BC933" s="5" t="str">
        <f aca="false">IF($AL933="","",IF((($AL933="Engineering and Technology")+($AL933="Science and Mathematics")+($AL933="Computer Science, IT and Allied Fields")+($AL933="Life Sciences /Medicine and Healthcare")+($AL933="Paramedical")+($AL933="Architecture")+($AL933="Environmental Service")+($AL933="Agriculture, Food Industry and Forestry"))&gt;0,"Science",IF((($AL933="Banking and Finance")+($AL933="Management and Administration")+($AL933="Marketing")+($AL933="Sales")+($AL933="Entrepreneurship")+($AL933="Hospitality and Tourism"))&gt;0,"Commerce",IF((($AL933="Social Sciences and Humanities")+($AL933="Law Studies")+($AL933="Education and Training")+($AL933="Art, Design")+($AL933="Entertainment and Mass Media")+($AL933="Community and Social Service")+($AL933="Personal Care and Services")+($AL933="Government and Public Administration")+($AL933="Defence/ Protective Service")+($AL933="Sports"))&gt;0,"Arts / Humanities",""))))</f>
        <v/>
      </c>
      <c r="BD933" s="5" t="str">
        <f aca="false">IF($B933="","",--(F933&gt;=10)+--(G933&gt;=10)+--(H933&gt;=10)+--(I933&gt;=10)+--(J933&gt;=10)+--(K933&gt;=10)+--(L933&gt;=10)+--(M933&gt;=10)+--(N933&gt;=10)+--(O933&gt;=10))</f>
        <v/>
      </c>
      <c r="BE933" s="5" t="str">
        <f aca="false">IF($B933="","",--(AND(F933&lt;&gt;"",F933&lt;=8))+--(AND(G933&lt;&gt;"",G933&lt;=8))+--(AND(H933&lt;&gt;"",H933&lt;=8))+--(AND(I933&lt;&gt;"",I933&lt;=8))+--(AND(J933&lt;&gt;"",J933&lt;=8))+--(AND(K933&lt;&gt;"",K933&lt;=8))+--(AND(L933&lt;&gt;"",L933&lt;=8))+--(AND(M933&lt;&gt;"",M933&lt;=8))+--(AND(N933&lt;&gt;"",N933&lt;=8))+--(AND(O933&lt;&gt;"",O933&lt;=8)))</f>
        <v/>
      </c>
    </row>
    <row r="934" customFormat="false" ht="15" hidden="false" customHeight="false" outlineLevel="0" collapsed="false">
      <c r="AZ934" s="5" t="str">
        <f aca="false">IF($B934="","",SUMPRODUCT(($AL934:$AO934&lt;&gt;"")*(COUNTIF($AP934:$AX934,$AL934:$AO934)&gt;0)))</f>
        <v/>
      </c>
      <c r="BA934" s="5" t="str">
        <f aca="false">IF($B934="","",IF(AZ934&gt;0,1,0))</f>
        <v/>
      </c>
      <c r="BB934" s="5" t="str">
        <f aca="false">IF($AP934="","",IF((($AP934="Engineering and Technology")+($AP934="Science and Mathematics")+($AP934="Computer Science, IT and Allied Fields")+($AP934="Life Sciences /Medicine and Healthcare")+($AP934="Paramedical")+($AP934="Architecture")+($AP934="Environmental Service")+($AP934="Agriculture, Food Industry and Forestry"))&gt;0,"Science",IF((($AP934="Banking and Finance")+($AP934="Management and Administration")+($AP934="Marketing")+($AP934="Sales")+($AP934="Entrepreneurship")+($AP934="Hospitality and Tourism"))&gt;0,"Commerce",IF((($AP934="Social Sciences and Humanities")+($AP934="Law Studies")+($AP934="Education and Training")+($AP934="Art, Design")+($AP934="Entertainment and Mass Media")+($AP934="Community and Social Service")+($AP934="Personal Care and Services")+($AP934="Government and Public Administration")+($AP934="Defence/ Protective Service")+($AP934="Sports"))&gt;0,"Arts / Humanities",""))))</f>
        <v/>
      </c>
      <c r="BC934" s="5" t="str">
        <f aca="false">IF($AL934="","",IF((($AL934="Engineering and Technology")+($AL934="Science and Mathematics")+($AL934="Computer Science, IT and Allied Fields")+($AL934="Life Sciences /Medicine and Healthcare")+($AL934="Paramedical")+($AL934="Architecture")+($AL934="Environmental Service")+($AL934="Agriculture, Food Industry and Forestry"))&gt;0,"Science",IF((($AL934="Banking and Finance")+($AL934="Management and Administration")+($AL934="Marketing")+($AL934="Sales")+($AL934="Entrepreneurship")+($AL934="Hospitality and Tourism"))&gt;0,"Commerce",IF((($AL934="Social Sciences and Humanities")+($AL934="Law Studies")+($AL934="Education and Training")+($AL934="Art, Design")+($AL934="Entertainment and Mass Media")+($AL934="Community and Social Service")+($AL934="Personal Care and Services")+($AL934="Government and Public Administration")+($AL934="Defence/ Protective Service")+($AL934="Sports"))&gt;0,"Arts / Humanities",""))))</f>
        <v/>
      </c>
      <c r="BD934" s="5" t="str">
        <f aca="false">IF($B934="","",--(F934&gt;=10)+--(G934&gt;=10)+--(H934&gt;=10)+--(I934&gt;=10)+--(J934&gt;=10)+--(K934&gt;=10)+--(L934&gt;=10)+--(M934&gt;=10)+--(N934&gt;=10)+--(O934&gt;=10))</f>
        <v/>
      </c>
      <c r="BE934" s="5" t="str">
        <f aca="false">IF($B934="","",--(AND(F934&lt;&gt;"",F934&lt;=8))+--(AND(G934&lt;&gt;"",G934&lt;=8))+--(AND(H934&lt;&gt;"",H934&lt;=8))+--(AND(I934&lt;&gt;"",I934&lt;=8))+--(AND(J934&lt;&gt;"",J934&lt;=8))+--(AND(K934&lt;&gt;"",K934&lt;=8))+--(AND(L934&lt;&gt;"",L934&lt;=8))+--(AND(M934&lt;&gt;"",M934&lt;=8))+--(AND(N934&lt;&gt;"",N934&lt;=8))+--(AND(O934&lt;&gt;"",O934&lt;=8)))</f>
        <v/>
      </c>
    </row>
    <row r="935" customFormat="false" ht="15" hidden="false" customHeight="false" outlineLevel="0" collapsed="false">
      <c r="AZ935" s="5" t="str">
        <f aca="false">IF($B935="","",SUMPRODUCT(($AL935:$AO935&lt;&gt;"")*(COUNTIF($AP935:$AX935,$AL935:$AO935)&gt;0)))</f>
        <v/>
      </c>
      <c r="BA935" s="5" t="str">
        <f aca="false">IF($B935="","",IF(AZ935&gt;0,1,0))</f>
        <v/>
      </c>
      <c r="BB935" s="5" t="str">
        <f aca="false">IF($AP935="","",IF((($AP935="Engineering and Technology")+($AP935="Science and Mathematics")+($AP935="Computer Science, IT and Allied Fields")+($AP935="Life Sciences /Medicine and Healthcare")+($AP935="Paramedical")+($AP935="Architecture")+($AP935="Environmental Service")+($AP935="Agriculture, Food Industry and Forestry"))&gt;0,"Science",IF((($AP935="Banking and Finance")+($AP935="Management and Administration")+($AP935="Marketing")+($AP935="Sales")+($AP935="Entrepreneurship")+($AP935="Hospitality and Tourism"))&gt;0,"Commerce",IF((($AP935="Social Sciences and Humanities")+($AP935="Law Studies")+($AP935="Education and Training")+($AP935="Art, Design")+($AP935="Entertainment and Mass Media")+($AP935="Community and Social Service")+($AP935="Personal Care and Services")+($AP935="Government and Public Administration")+($AP935="Defence/ Protective Service")+($AP935="Sports"))&gt;0,"Arts / Humanities",""))))</f>
        <v/>
      </c>
      <c r="BC935" s="5" t="str">
        <f aca="false">IF($AL935="","",IF((($AL935="Engineering and Technology")+($AL935="Science and Mathematics")+($AL935="Computer Science, IT and Allied Fields")+($AL935="Life Sciences /Medicine and Healthcare")+($AL935="Paramedical")+($AL935="Architecture")+($AL935="Environmental Service")+($AL935="Agriculture, Food Industry and Forestry"))&gt;0,"Science",IF((($AL935="Banking and Finance")+($AL935="Management and Administration")+($AL935="Marketing")+($AL935="Sales")+($AL935="Entrepreneurship")+($AL935="Hospitality and Tourism"))&gt;0,"Commerce",IF((($AL935="Social Sciences and Humanities")+($AL935="Law Studies")+($AL935="Education and Training")+($AL935="Art, Design")+($AL935="Entertainment and Mass Media")+($AL935="Community and Social Service")+($AL935="Personal Care and Services")+($AL935="Government and Public Administration")+($AL935="Defence/ Protective Service")+($AL935="Sports"))&gt;0,"Arts / Humanities",""))))</f>
        <v/>
      </c>
      <c r="BD935" s="5" t="str">
        <f aca="false">IF($B935="","",--(F935&gt;=10)+--(G935&gt;=10)+--(H935&gt;=10)+--(I935&gt;=10)+--(J935&gt;=10)+--(K935&gt;=10)+--(L935&gt;=10)+--(M935&gt;=10)+--(N935&gt;=10)+--(O935&gt;=10))</f>
        <v/>
      </c>
      <c r="BE935" s="5" t="str">
        <f aca="false">IF($B935="","",--(AND(F935&lt;&gt;"",F935&lt;=8))+--(AND(G935&lt;&gt;"",G935&lt;=8))+--(AND(H935&lt;&gt;"",H935&lt;=8))+--(AND(I935&lt;&gt;"",I935&lt;=8))+--(AND(J935&lt;&gt;"",J935&lt;=8))+--(AND(K935&lt;&gt;"",K935&lt;=8))+--(AND(L935&lt;&gt;"",L935&lt;=8))+--(AND(M935&lt;&gt;"",M935&lt;=8))+--(AND(N935&lt;&gt;"",N935&lt;=8))+--(AND(O935&lt;&gt;"",O935&lt;=8)))</f>
        <v/>
      </c>
    </row>
    <row r="936" customFormat="false" ht="15" hidden="false" customHeight="false" outlineLevel="0" collapsed="false">
      <c r="AZ936" s="5" t="str">
        <f aca="false">IF($B936="","",SUMPRODUCT(($AL936:$AO936&lt;&gt;"")*(COUNTIF($AP936:$AX936,$AL936:$AO936)&gt;0)))</f>
        <v/>
      </c>
      <c r="BA936" s="5" t="str">
        <f aca="false">IF($B936="","",IF(AZ936&gt;0,1,0))</f>
        <v/>
      </c>
      <c r="BB936" s="5" t="str">
        <f aca="false">IF($AP936="","",IF((($AP936="Engineering and Technology")+($AP936="Science and Mathematics")+($AP936="Computer Science, IT and Allied Fields")+($AP936="Life Sciences /Medicine and Healthcare")+($AP936="Paramedical")+($AP936="Architecture")+($AP936="Environmental Service")+($AP936="Agriculture, Food Industry and Forestry"))&gt;0,"Science",IF((($AP936="Banking and Finance")+($AP936="Management and Administration")+($AP936="Marketing")+($AP936="Sales")+($AP936="Entrepreneurship")+($AP936="Hospitality and Tourism"))&gt;0,"Commerce",IF((($AP936="Social Sciences and Humanities")+($AP936="Law Studies")+($AP936="Education and Training")+($AP936="Art, Design")+($AP936="Entertainment and Mass Media")+($AP936="Community and Social Service")+($AP936="Personal Care and Services")+($AP936="Government and Public Administration")+($AP936="Defence/ Protective Service")+($AP936="Sports"))&gt;0,"Arts / Humanities",""))))</f>
        <v/>
      </c>
      <c r="BC936" s="5" t="str">
        <f aca="false">IF($AL936="","",IF((($AL936="Engineering and Technology")+($AL936="Science and Mathematics")+($AL936="Computer Science, IT and Allied Fields")+($AL936="Life Sciences /Medicine and Healthcare")+($AL936="Paramedical")+($AL936="Architecture")+($AL936="Environmental Service")+($AL936="Agriculture, Food Industry and Forestry"))&gt;0,"Science",IF((($AL936="Banking and Finance")+($AL936="Management and Administration")+($AL936="Marketing")+($AL936="Sales")+($AL936="Entrepreneurship")+($AL936="Hospitality and Tourism"))&gt;0,"Commerce",IF((($AL936="Social Sciences and Humanities")+($AL936="Law Studies")+($AL936="Education and Training")+($AL936="Art, Design")+($AL936="Entertainment and Mass Media")+($AL936="Community and Social Service")+($AL936="Personal Care and Services")+($AL936="Government and Public Administration")+($AL936="Defence/ Protective Service")+($AL936="Sports"))&gt;0,"Arts / Humanities",""))))</f>
        <v/>
      </c>
      <c r="BD936" s="5" t="str">
        <f aca="false">IF($B936="","",--(F936&gt;=10)+--(G936&gt;=10)+--(H936&gt;=10)+--(I936&gt;=10)+--(J936&gt;=10)+--(K936&gt;=10)+--(L936&gt;=10)+--(M936&gt;=10)+--(N936&gt;=10)+--(O936&gt;=10))</f>
        <v/>
      </c>
      <c r="BE936" s="5" t="str">
        <f aca="false">IF($B936="","",--(AND(F936&lt;&gt;"",F936&lt;=8))+--(AND(G936&lt;&gt;"",G936&lt;=8))+--(AND(H936&lt;&gt;"",H936&lt;=8))+--(AND(I936&lt;&gt;"",I936&lt;=8))+--(AND(J936&lt;&gt;"",J936&lt;=8))+--(AND(K936&lt;&gt;"",K936&lt;=8))+--(AND(L936&lt;&gt;"",L936&lt;=8))+--(AND(M936&lt;&gt;"",M936&lt;=8))+--(AND(N936&lt;&gt;"",N936&lt;=8))+--(AND(O936&lt;&gt;"",O936&lt;=8)))</f>
        <v/>
      </c>
    </row>
    <row r="937" customFormat="false" ht="15" hidden="false" customHeight="false" outlineLevel="0" collapsed="false">
      <c r="AZ937" s="5" t="str">
        <f aca="false">IF($B937="","",SUMPRODUCT(($AL937:$AO937&lt;&gt;"")*(COUNTIF($AP937:$AX937,$AL937:$AO937)&gt;0)))</f>
        <v/>
      </c>
      <c r="BA937" s="5" t="str">
        <f aca="false">IF($B937="","",IF(AZ937&gt;0,1,0))</f>
        <v/>
      </c>
      <c r="BB937" s="5" t="str">
        <f aca="false">IF($AP937="","",IF((($AP937="Engineering and Technology")+($AP937="Science and Mathematics")+($AP937="Computer Science, IT and Allied Fields")+($AP937="Life Sciences /Medicine and Healthcare")+($AP937="Paramedical")+($AP937="Architecture")+($AP937="Environmental Service")+($AP937="Agriculture, Food Industry and Forestry"))&gt;0,"Science",IF((($AP937="Banking and Finance")+($AP937="Management and Administration")+($AP937="Marketing")+($AP937="Sales")+($AP937="Entrepreneurship")+($AP937="Hospitality and Tourism"))&gt;0,"Commerce",IF((($AP937="Social Sciences and Humanities")+($AP937="Law Studies")+($AP937="Education and Training")+($AP937="Art, Design")+($AP937="Entertainment and Mass Media")+($AP937="Community and Social Service")+($AP937="Personal Care and Services")+($AP937="Government and Public Administration")+($AP937="Defence/ Protective Service")+($AP937="Sports"))&gt;0,"Arts / Humanities",""))))</f>
        <v/>
      </c>
      <c r="BC937" s="5" t="str">
        <f aca="false">IF($AL937="","",IF((($AL937="Engineering and Technology")+($AL937="Science and Mathematics")+($AL937="Computer Science, IT and Allied Fields")+($AL937="Life Sciences /Medicine and Healthcare")+($AL937="Paramedical")+($AL937="Architecture")+($AL937="Environmental Service")+($AL937="Agriculture, Food Industry and Forestry"))&gt;0,"Science",IF((($AL937="Banking and Finance")+($AL937="Management and Administration")+($AL937="Marketing")+($AL937="Sales")+($AL937="Entrepreneurship")+($AL937="Hospitality and Tourism"))&gt;0,"Commerce",IF((($AL937="Social Sciences and Humanities")+($AL937="Law Studies")+($AL937="Education and Training")+($AL937="Art, Design")+($AL937="Entertainment and Mass Media")+($AL937="Community and Social Service")+($AL937="Personal Care and Services")+($AL937="Government and Public Administration")+($AL937="Defence/ Protective Service")+($AL937="Sports"))&gt;0,"Arts / Humanities",""))))</f>
        <v/>
      </c>
      <c r="BD937" s="5" t="str">
        <f aca="false">IF($B937="","",--(F937&gt;=10)+--(G937&gt;=10)+--(H937&gt;=10)+--(I937&gt;=10)+--(J937&gt;=10)+--(K937&gt;=10)+--(L937&gt;=10)+--(M937&gt;=10)+--(N937&gt;=10)+--(O937&gt;=10))</f>
        <v/>
      </c>
      <c r="BE937" s="5" t="str">
        <f aca="false">IF($B937="","",--(AND(F937&lt;&gt;"",F937&lt;=8))+--(AND(G937&lt;&gt;"",G937&lt;=8))+--(AND(H937&lt;&gt;"",H937&lt;=8))+--(AND(I937&lt;&gt;"",I937&lt;=8))+--(AND(J937&lt;&gt;"",J937&lt;=8))+--(AND(K937&lt;&gt;"",K937&lt;=8))+--(AND(L937&lt;&gt;"",L937&lt;=8))+--(AND(M937&lt;&gt;"",M937&lt;=8))+--(AND(N937&lt;&gt;"",N937&lt;=8))+--(AND(O937&lt;&gt;"",O937&lt;=8)))</f>
        <v/>
      </c>
    </row>
    <row r="938" customFormat="false" ht="15" hidden="false" customHeight="false" outlineLevel="0" collapsed="false">
      <c r="AZ938" s="5" t="str">
        <f aca="false">IF($B938="","",SUMPRODUCT(($AL938:$AO938&lt;&gt;"")*(COUNTIF($AP938:$AX938,$AL938:$AO938)&gt;0)))</f>
        <v/>
      </c>
      <c r="BA938" s="5" t="str">
        <f aca="false">IF($B938="","",IF(AZ938&gt;0,1,0))</f>
        <v/>
      </c>
      <c r="BB938" s="5" t="str">
        <f aca="false">IF($AP938="","",IF((($AP938="Engineering and Technology")+($AP938="Science and Mathematics")+($AP938="Computer Science, IT and Allied Fields")+($AP938="Life Sciences /Medicine and Healthcare")+($AP938="Paramedical")+($AP938="Architecture")+($AP938="Environmental Service")+($AP938="Agriculture, Food Industry and Forestry"))&gt;0,"Science",IF((($AP938="Banking and Finance")+($AP938="Management and Administration")+($AP938="Marketing")+($AP938="Sales")+($AP938="Entrepreneurship")+($AP938="Hospitality and Tourism"))&gt;0,"Commerce",IF((($AP938="Social Sciences and Humanities")+($AP938="Law Studies")+($AP938="Education and Training")+($AP938="Art, Design")+($AP938="Entertainment and Mass Media")+($AP938="Community and Social Service")+($AP938="Personal Care and Services")+($AP938="Government and Public Administration")+($AP938="Defence/ Protective Service")+($AP938="Sports"))&gt;0,"Arts / Humanities",""))))</f>
        <v/>
      </c>
      <c r="BC938" s="5" t="str">
        <f aca="false">IF($AL938="","",IF((($AL938="Engineering and Technology")+($AL938="Science and Mathematics")+($AL938="Computer Science, IT and Allied Fields")+($AL938="Life Sciences /Medicine and Healthcare")+($AL938="Paramedical")+($AL938="Architecture")+($AL938="Environmental Service")+($AL938="Agriculture, Food Industry and Forestry"))&gt;0,"Science",IF((($AL938="Banking and Finance")+($AL938="Management and Administration")+($AL938="Marketing")+($AL938="Sales")+($AL938="Entrepreneurship")+($AL938="Hospitality and Tourism"))&gt;0,"Commerce",IF((($AL938="Social Sciences and Humanities")+($AL938="Law Studies")+($AL938="Education and Training")+($AL938="Art, Design")+($AL938="Entertainment and Mass Media")+($AL938="Community and Social Service")+($AL938="Personal Care and Services")+($AL938="Government and Public Administration")+($AL938="Defence/ Protective Service")+($AL938="Sports"))&gt;0,"Arts / Humanities",""))))</f>
        <v/>
      </c>
      <c r="BD938" s="5" t="str">
        <f aca="false">IF($B938="","",--(F938&gt;=10)+--(G938&gt;=10)+--(H938&gt;=10)+--(I938&gt;=10)+--(J938&gt;=10)+--(K938&gt;=10)+--(L938&gt;=10)+--(M938&gt;=10)+--(N938&gt;=10)+--(O938&gt;=10))</f>
        <v/>
      </c>
      <c r="BE938" s="5" t="str">
        <f aca="false">IF($B938="","",--(AND(F938&lt;&gt;"",F938&lt;=8))+--(AND(G938&lt;&gt;"",G938&lt;=8))+--(AND(H938&lt;&gt;"",H938&lt;=8))+--(AND(I938&lt;&gt;"",I938&lt;=8))+--(AND(J938&lt;&gt;"",J938&lt;=8))+--(AND(K938&lt;&gt;"",K938&lt;=8))+--(AND(L938&lt;&gt;"",L938&lt;=8))+--(AND(M938&lt;&gt;"",M938&lt;=8))+--(AND(N938&lt;&gt;"",N938&lt;=8))+--(AND(O938&lt;&gt;"",O938&lt;=8)))</f>
        <v/>
      </c>
    </row>
    <row r="939" customFormat="false" ht="15" hidden="false" customHeight="false" outlineLevel="0" collapsed="false">
      <c r="AZ939" s="5" t="str">
        <f aca="false">IF($B939="","",SUMPRODUCT(($AL939:$AO939&lt;&gt;"")*(COUNTIF($AP939:$AX939,$AL939:$AO939)&gt;0)))</f>
        <v/>
      </c>
      <c r="BA939" s="5" t="str">
        <f aca="false">IF($B939="","",IF(AZ939&gt;0,1,0))</f>
        <v/>
      </c>
      <c r="BB939" s="5" t="str">
        <f aca="false">IF($AP939="","",IF((($AP939="Engineering and Technology")+($AP939="Science and Mathematics")+($AP939="Computer Science, IT and Allied Fields")+($AP939="Life Sciences /Medicine and Healthcare")+($AP939="Paramedical")+($AP939="Architecture")+($AP939="Environmental Service")+($AP939="Agriculture, Food Industry and Forestry"))&gt;0,"Science",IF((($AP939="Banking and Finance")+($AP939="Management and Administration")+($AP939="Marketing")+($AP939="Sales")+($AP939="Entrepreneurship")+($AP939="Hospitality and Tourism"))&gt;0,"Commerce",IF((($AP939="Social Sciences and Humanities")+($AP939="Law Studies")+($AP939="Education and Training")+($AP939="Art, Design")+($AP939="Entertainment and Mass Media")+($AP939="Community and Social Service")+($AP939="Personal Care and Services")+($AP939="Government and Public Administration")+($AP939="Defence/ Protective Service")+($AP939="Sports"))&gt;0,"Arts / Humanities",""))))</f>
        <v/>
      </c>
      <c r="BC939" s="5" t="str">
        <f aca="false">IF($AL939="","",IF((($AL939="Engineering and Technology")+($AL939="Science and Mathematics")+($AL939="Computer Science, IT and Allied Fields")+($AL939="Life Sciences /Medicine and Healthcare")+($AL939="Paramedical")+($AL939="Architecture")+($AL939="Environmental Service")+($AL939="Agriculture, Food Industry and Forestry"))&gt;0,"Science",IF((($AL939="Banking and Finance")+($AL939="Management and Administration")+($AL939="Marketing")+($AL939="Sales")+($AL939="Entrepreneurship")+($AL939="Hospitality and Tourism"))&gt;0,"Commerce",IF((($AL939="Social Sciences and Humanities")+($AL939="Law Studies")+($AL939="Education and Training")+($AL939="Art, Design")+($AL939="Entertainment and Mass Media")+($AL939="Community and Social Service")+($AL939="Personal Care and Services")+($AL939="Government and Public Administration")+($AL939="Defence/ Protective Service")+($AL939="Sports"))&gt;0,"Arts / Humanities",""))))</f>
        <v/>
      </c>
      <c r="BD939" s="5" t="str">
        <f aca="false">IF($B939="","",--(F939&gt;=10)+--(G939&gt;=10)+--(H939&gt;=10)+--(I939&gt;=10)+--(J939&gt;=10)+--(K939&gt;=10)+--(L939&gt;=10)+--(M939&gt;=10)+--(N939&gt;=10)+--(O939&gt;=10))</f>
        <v/>
      </c>
      <c r="BE939" s="5" t="str">
        <f aca="false">IF($B939="","",--(AND(F939&lt;&gt;"",F939&lt;=8))+--(AND(G939&lt;&gt;"",G939&lt;=8))+--(AND(H939&lt;&gt;"",H939&lt;=8))+--(AND(I939&lt;&gt;"",I939&lt;=8))+--(AND(J939&lt;&gt;"",J939&lt;=8))+--(AND(K939&lt;&gt;"",K939&lt;=8))+--(AND(L939&lt;&gt;"",L939&lt;=8))+--(AND(M939&lt;&gt;"",M939&lt;=8))+--(AND(N939&lt;&gt;"",N939&lt;=8))+--(AND(O939&lt;&gt;"",O939&lt;=8)))</f>
        <v/>
      </c>
    </row>
    <row r="940" customFormat="false" ht="15" hidden="false" customHeight="false" outlineLevel="0" collapsed="false">
      <c r="AZ940" s="5" t="str">
        <f aca="false">IF($B940="","",SUMPRODUCT(($AL940:$AO940&lt;&gt;"")*(COUNTIF($AP940:$AX940,$AL940:$AO940)&gt;0)))</f>
        <v/>
      </c>
      <c r="BA940" s="5" t="str">
        <f aca="false">IF($B940="","",IF(AZ940&gt;0,1,0))</f>
        <v/>
      </c>
      <c r="BB940" s="5" t="str">
        <f aca="false">IF($AP940="","",IF((($AP940="Engineering and Technology")+($AP940="Science and Mathematics")+($AP940="Computer Science, IT and Allied Fields")+($AP940="Life Sciences /Medicine and Healthcare")+($AP940="Paramedical")+($AP940="Architecture")+($AP940="Environmental Service")+($AP940="Agriculture, Food Industry and Forestry"))&gt;0,"Science",IF((($AP940="Banking and Finance")+($AP940="Management and Administration")+($AP940="Marketing")+($AP940="Sales")+($AP940="Entrepreneurship")+($AP940="Hospitality and Tourism"))&gt;0,"Commerce",IF((($AP940="Social Sciences and Humanities")+($AP940="Law Studies")+($AP940="Education and Training")+($AP940="Art, Design")+($AP940="Entertainment and Mass Media")+($AP940="Community and Social Service")+($AP940="Personal Care and Services")+($AP940="Government and Public Administration")+($AP940="Defence/ Protective Service")+($AP940="Sports"))&gt;0,"Arts / Humanities",""))))</f>
        <v/>
      </c>
      <c r="BC940" s="5" t="str">
        <f aca="false">IF($AL940="","",IF((($AL940="Engineering and Technology")+($AL940="Science and Mathematics")+($AL940="Computer Science, IT and Allied Fields")+($AL940="Life Sciences /Medicine and Healthcare")+($AL940="Paramedical")+($AL940="Architecture")+($AL940="Environmental Service")+($AL940="Agriculture, Food Industry and Forestry"))&gt;0,"Science",IF((($AL940="Banking and Finance")+($AL940="Management and Administration")+($AL940="Marketing")+($AL940="Sales")+($AL940="Entrepreneurship")+($AL940="Hospitality and Tourism"))&gt;0,"Commerce",IF((($AL940="Social Sciences and Humanities")+($AL940="Law Studies")+($AL940="Education and Training")+($AL940="Art, Design")+($AL940="Entertainment and Mass Media")+($AL940="Community and Social Service")+($AL940="Personal Care and Services")+($AL940="Government and Public Administration")+($AL940="Defence/ Protective Service")+($AL940="Sports"))&gt;0,"Arts / Humanities",""))))</f>
        <v/>
      </c>
      <c r="BD940" s="5" t="str">
        <f aca="false">IF($B940="","",--(F940&gt;=10)+--(G940&gt;=10)+--(H940&gt;=10)+--(I940&gt;=10)+--(J940&gt;=10)+--(K940&gt;=10)+--(L940&gt;=10)+--(M940&gt;=10)+--(N940&gt;=10)+--(O940&gt;=10))</f>
        <v/>
      </c>
      <c r="BE940" s="5" t="str">
        <f aca="false">IF($B940="","",--(AND(F940&lt;&gt;"",F940&lt;=8))+--(AND(G940&lt;&gt;"",G940&lt;=8))+--(AND(H940&lt;&gt;"",H940&lt;=8))+--(AND(I940&lt;&gt;"",I940&lt;=8))+--(AND(J940&lt;&gt;"",J940&lt;=8))+--(AND(K940&lt;&gt;"",K940&lt;=8))+--(AND(L940&lt;&gt;"",L940&lt;=8))+--(AND(M940&lt;&gt;"",M940&lt;=8))+--(AND(N940&lt;&gt;"",N940&lt;=8))+--(AND(O940&lt;&gt;"",O940&lt;=8)))</f>
        <v/>
      </c>
    </row>
    <row r="941" customFormat="false" ht="15" hidden="false" customHeight="false" outlineLevel="0" collapsed="false">
      <c r="AZ941" s="5" t="str">
        <f aca="false">IF($B941="","",SUMPRODUCT(($AL941:$AO941&lt;&gt;"")*(COUNTIF($AP941:$AX941,$AL941:$AO941)&gt;0)))</f>
        <v/>
      </c>
      <c r="BA941" s="5" t="str">
        <f aca="false">IF($B941="","",IF(AZ941&gt;0,1,0))</f>
        <v/>
      </c>
      <c r="BB941" s="5" t="str">
        <f aca="false">IF($AP941="","",IF((($AP941="Engineering and Technology")+($AP941="Science and Mathematics")+($AP941="Computer Science, IT and Allied Fields")+($AP941="Life Sciences /Medicine and Healthcare")+($AP941="Paramedical")+($AP941="Architecture")+($AP941="Environmental Service")+($AP941="Agriculture, Food Industry and Forestry"))&gt;0,"Science",IF((($AP941="Banking and Finance")+($AP941="Management and Administration")+($AP941="Marketing")+($AP941="Sales")+($AP941="Entrepreneurship")+($AP941="Hospitality and Tourism"))&gt;0,"Commerce",IF((($AP941="Social Sciences and Humanities")+($AP941="Law Studies")+($AP941="Education and Training")+($AP941="Art, Design")+($AP941="Entertainment and Mass Media")+($AP941="Community and Social Service")+($AP941="Personal Care and Services")+($AP941="Government and Public Administration")+($AP941="Defence/ Protective Service")+($AP941="Sports"))&gt;0,"Arts / Humanities",""))))</f>
        <v/>
      </c>
      <c r="BC941" s="5" t="str">
        <f aca="false">IF($AL941="","",IF((($AL941="Engineering and Technology")+($AL941="Science and Mathematics")+($AL941="Computer Science, IT and Allied Fields")+($AL941="Life Sciences /Medicine and Healthcare")+($AL941="Paramedical")+($AL941="Architecture")+($AL941="Environmental Service")+($AL941="Agriculture, Food Industry and Forestry"))&gt;0,"Science",IF((($AL941="Banking and Finance")+($AL941="Management and Administration")+($AL941="Marketing")+($AL941="Sales")+($AL941="Entrepreneurship")+($AL941="Hospitality and Tourism"))&gt;0,"Commerce",IF((($AL941="Social Sciences and Humanities")+($AL941="Law Studies")+($AL941="Education and Training")+($AL941="Art, Design")+($AL941="Entertainment and Mass Media")+($AL941="Community and Social Service")+($AL941="Personal Care and Services")+($AL941="Government and Public Administration")+($AL941="Defence/ Protective Service")+($AL941="Sports"))&gt;0,"Arts / Humanities",""))))</f>
        <v/>
      </c>
      <c r="BD941" s="5" t="str">
        <f aca="false">IF($B941="","",--(F941&gt;=10)+--(G941&gt;=10)+--(H941&gt;=10)+--(I941&gt;=10)+--(J941&gt;=10)+--(K941&gt;=10)+--(L941&gt;=10)+--(M941&gt;=10)+--(N941&gt;=10)+--(O941&gt;=10))</f>
        <v/>
      </c>
      <c r="BE941" s="5" t="str">
        <f aca="false">IF($B941="","",--(AND(F941&lt;&gt;"",F941&lt;=8))+--(AND(G941&lt;&gt;"",G941&lt;=8))+--(AND(H941&lt;&gt;"",H941&lt;=8))+--(AND(I941&lt;&gt;"",I941&lt;=8))+--(AND(J941&lt;&gt;"",J941&lt;=8))+--(AND(K941&lt;&gt;"",K941&lt;=8))+--(AND(L941&lt;&gt;"",L941&lt;=8))+--(AND(M941&lt;&gt;"",M941&lt;=8))+--(AND(N941&lt;&gt;"",N941&lt;=8))+--(AND(O941&lt;&gt;"",O941&lt;=8)))</f>
        <v/>
      </c>
    </row>
    <row r="942" customFormat="false" ht="15" hidden="false" customHeight="false" outlineLevel="0" collapsed="false">
      <c r="AZ942" s="5" t="str">
        <f aca="false">IF($B942="","",SUMPRODUCT(($AL942:$AO942&lt;&gt;"")*(COUNTIF($AP942:$AX942,$AL942:$AO942)&gt;0)))</f>
        <v/>
      </c>
      <c r="BA942" s="5" t="str">
        <f aca="false">IF($B942="","",IF(AZ942&gt;0,1,0))</f>
        <v/>
      </c>
      <c r="BB942" s="5" t="str">
        <f aca="false">IF($AP942="","",IF((($AP942="Engineering and Technology")+($AP942="Science and Mathematics")+($AP942="Computer Science, IT and Allied Fields")+($AP942="Life Sciences /Medicine and Healthcare")+($AP942="Paramedical")+($AP942="Architecture")+($AP942="Environmental Service")+($AP942="Agriculture, Food Industry and Forestry"))&gt;0,"Science",IF((($AP942="Banking and Finance")+($AP942="Management and Administration")+($AP942="Marketing")+($AP942="Sales")+($AP942="Entrepreneurship")+($AP942="Hospitality and Tourism"))&gt;0,"Commerce",IF((($AP942="Social Sciences and Humanities")+($AP942="Law Studies")+($AP942="Education and Training")+($AP942="Art, Design")+($AP942="Entertainment and Mass Media")+($AP942="Community and Social Service")+($AP942="Personal Care and Services")+($AP942="Government and Public Administration")+($AP942="Defence/ Protective Service")+($AP942="Sports"))&gt;0,"Arts / Humanities",""))))</f>
        <v/>
      </c>
      <c r="BC942" s="5" t="str">
        <f aca="false">IF($AL942="","",IF((($AL942="Engineering and Technology")+($AL942="Science and Mathematics")+($AL942="Computer Science, IT and Allied Fields")+($AL942="Life Sciences /Medicine and Healthcare")+($AL942="Paramedical")+($AL942="Architecture")+($AL942="Environmental Service")+($AL942="Agriculture, Food Industry and Forestry"))&gt;0,"Science",IF((($AL942="Banking and Finance")+($AL942="Management and Administration")+($AL942="Marketing")+($AL942="Sales")+($AL942="Entrepreneurship")+($AL942="Hospitality and Tourism"))&gt;0,"Commerce",IF((($AL942="Social Sciences and Humanities")+($AL942="Law Studies")+($AL942="Education and Training")+($AL942="Art, Design")+($AL942="Entertainment and Mass Media")+($AL942="Community and Social Service")+($AL942="Personal Care and Services")+($AL942="Government and Public Administration")+($AL942="Defence/ Protective Service")+($AL942="Sports"))&gt;0,"Arts / Humanities",""))))</f>
        <v/>
      </c>
      <c r="BD942" s="5" t="str">
        <f aca="false">IF($B942="","",--(F942&gt;=10)+--(G942&gt;=10)+--(H942&gt;=10)+--(I942&gt;=10)+--(J942&gt;=10)+--(K942&gt;=10)+--(L942&gt;=10)+--(M942&gt;=10)+--(N942&gt;=10)+--(O942&gt;=10))</f>
        <v/>
      </c>
      <c r="BE942" s="5" t="str">
        <f aca="false">IF($B942="","",--(AND(F942&lt;&gt;"",F942&lt;=8))+--(AND(G942&lt;&gt;"",G942&lt;=8))+--(AND(H942&lt;&gt;"",H942&lt;=8))+--(AND(I942&lt;&gt;"",I942&lt;=8))+--(AND(J942&lt;&gt;"",J942&lt;=8))+--(AND(K942&lt;&gt;"",K942&lt;=8))+--(AND(L942&lt;&gt;"",L942&lt;=8))+--(AND(M942&lt;&gt;"",M942&lt;=8))+--(AND(N942&lt;&gt;"",N942&lt;=8))+--(AND(O942&lt;&gt;"",O942&lt;=8)))</f>
        <v/>
      </c>
    </row>
    <row r="943" customFormat="false" ht="15" hidden="false" customHeight="false" outlineLevel="0" collapsed="false">
      <c r="AZ943" s="5" t="str">
        <f aca="false">IF($B943="","",SUMPRODUCT(($AL943:$AO943&lt;&gt;"")*(COUNTIF($AP943:$AX943,$AL943:$AO943)&gt;0)))</f>
        <v/>
      </c>
      <c r="BA943" s="5" t="str">
        <f aca="false">IF($B943="","",IF(AZ943&gt;0,1,0))</f>
        <v/>
      </c>
      <c r="BB943" s="5" t="str">
        <f aca="false">IF($AP943="","",IF((($AP943="Engineering and Technology")+($AP943="Science and Mathematics")+($AP943="Computer Science, IT and Allied Fields")+($AP943="Life Sciences /Medicine and Healthcare")+($AP943="Paramedical")+($AP943="Architecture")+($AP943="Environmental Service")+($AP943="Agriculture, Food Industry and Forestry"))&gt;0,"Science",IF((($AP943="Banking and Finance")+($AP943="Management and Administration")+($AP943="Marketing")+($AP943="Sales")+($AP943="Entrepreneurship")+($AP943="Hospitality and Tourism"))&gt;0,"Commerce",IF((($AP943="Social Sciences and Humanities")+($AP943="Law Studies")+($AP943="Education and Training")+($AP943="Art, Design")+($AP943="Entertainment and Mass Media")+($AP943="Community and Social Service")+($AP943="Personal Care and Services")+($AP943="Government and Public Administration")+($AP943="Defence/ Protective Service")+($AP943="Sports"))&gt;0,"Arts / Humanities",""))))</f>
        <v/>
      </c>
      <c r="BC943" s="5" t="str">
        <f aca="false">IF($AL943="","",IF((($AL943="Engineering and Technology")+($AL943="Science and Mathematics")+($AL943="Computer Science, IT and Allied Fields")+($AL943="Life Sciences /Medicine and Healthcare")+($AL943="Paramedical")+($AL943="Architecture")+($AL943="Environmental Service")+($AL943="Agriculture, Food Industry and Forestry"))&gt;0,"Science",IF((($AL943="Banking and Finance")+($AL943="Management and Administration")+($AL943="Marketing")+($AL943="Sales")+($AL943="Entrepreneurship")+($AL943="Hospitality and Tourism"))&gt;0,"Commerce",IF((($AL943="Social Sciences and Humanities")+($AL943="Law Studies")+($AL943="Education and Training")+($AL943="Art, Design")+($AL943="Entertainment and Mass Media")+($AL943="Community and Social Service")+($AL943="Personal Care and Services")+($AL943="Government and Public Administration")+($AL943="Defence/ Protective Service")+($AL943="Sports"))&gt;0,"Arts / Humanities",""))))</f>
        <v/>
      </c>
      <c r="BD943" s="5" t="str">
        <f aca="false">IF($B943="","",--(F943&gt;=10)+--(G943&gt;=10)+--(H943&gt;=10)+--(I943&gt;=10)+--(J943&gt;=10)+--(K943&gt;=10)+--(L943&gt;=10)+--(M943&gt;=10)+--(N943&gt;=10)+--(O943&gt;=10))</f>
        <v/>
      </c>
      <c r="BE943" s="5" t="str">
        <f aca="false">IF($B943="","",--(AND(F943&lt;&gt;"",F943&lt;=8))+--(AND(G943&lt;&gt;"",G943&lt;=8))+--(AND(H943&lt;&gt;"",H943&lt;=8))+--(AND(I943&lt;&gt;"",I943&lt;=8))+--(AND(J943&lt;&gt;"",J943&lt;=8))+--(AND(K943&lt;&gt;"",K943&lt;=8))+--(AND(L943&lt;&gt;"",L943&lt;=8))+--(AND(M943&lt;&gt;"",M943&lt;=8))+--(AND(N943&lt;&gt;"",N943&lt;=8))+--(AND(O943&lt;&gt;"",O943&lt;=8)))</f>
        <v/>
      </c>
    </row>
    <row r="944" customFormat="false" ht="15" hidden="false" customHeight="false" outlineLevel="0" collapsed="false">
      <c r="AZ944" s="5" t="str">
        <f aca="false">IF($B944="","",SUMPRODUCT(($AL944:$AO944&lt;&gt;"")*(COUNTIF($AP944:$AX944,$AL944:$AO944)&gt;0)))</f>
        <v/>
      </c>
      <c r="BA944" s="5" t="str">
        <f aca="false">IF($B944="","",IF(AZ944&gt;0,1,0))</f>
        <v/>
      </c>
      <c r="BB944" s="5" t="str">
        <f aca="false">IF($AP944="","",IF((($AP944="Engineering and Technology")+($AP944="Science and Mathematics")+($AP944="Computer Science, IT and Allied Fields")+($AP944="Life Sciences /Medicine and Healthcare")+($AP944="Paramedical")+($AP944="Architecture")+($AP944="Environmental Service")+($AP944="Agriculture, Food Industry and Forestry"))&gt;0,"Science",IF((($AP944="Banking and Finance")+($AP944="Management and Administration")+($AP944="Marketing")+($AP944="Sales")+($AP944="Entrepreneurship")+($AP944="Hospitality and Tourism"))&gt;0,"Commerce",IF((($AP944="Social Sciences and Humanities")+($AP944="Law Studies")+($AP944="Education and Training")+($AP944="Art, Design")+($AP944="Entertainment and Mass Media")+($AP944="Community and Social Service")+($AP944="Personal Care and Services")+($AP944="Government and Public Administration")+($AP944="Defence/ Protective Service")+($AP944="Sports"))&gt;0,"Arts / Humanities",""))))</f>
        <v/>
      </c>
      <c r="BC944" s="5" t="str">
        <f aca="false">IF($AL944="","",IF((($AL944="Engineering and Technology")+($AL944="Science and Mathematics")+($AL944="Computer Science, IT and Allied Fields")+($AL944="Life Sciences /Medicine and Healthcare")+($AL944="Paramedical")+($AL944="Architecture")+($AL944="Environmental Service")+($AL944="Agriculture, Food Industry and Forestry"))&gt;0,"Science",IF((($AL944="Banking and Finance")+($AL944="Management and Administration")+($AL944="Marketing")+($AL944="Sales")+($AL944="Entrepreneurship")+($AL944="Hospitality and Tourism"))&gt;0,"Commerce",IF((($AL944="Social Sciences and Humanities")+($AL944="Law Studies")+($AL944="Education and Training")+($AL944="Art, Design")+($AL944="Entertainment and Mass Media")+($AL944="Community and Social Service")+($AL944="Personal Care and Services")+($AL944="Government and Public Administration")+($AL944="Defence/ Protective Service")+($AL944="Sports"))&gt;0,"Arts / Humanities",""))))</f>
        <v/>
      </c>
      <c r="BD944" s="5" t="str">
        <f aca="false">IF($B944="","",--(F944&gt;=10)+--(G944&gt;=10)+--(H944&gt;=10)+--(I944&gt;=10)+--(J944&gt;=10)+--(K944&gt;=10)+--(L944&gt;=10)+--(M944&gt;=10)+--(N944&gt;=10)+--(O944&gt;=10))</f>
        <v/>
      </c>
      <c r="BE944" s="5" t="str">
        <f aca="false">IF($B944="","",--(AND(F944&lt;&gt;"",F944&lt;=8))+--(AND(G944&lt;&gt;"",G944&lt;=8))+--(AND(H944&lt;&gt;"",H944&lt;=8))+--(AND(I944&lt;&gt;"",I944&lt;=8))+--(AND(J944&lt;&gt;"",J944&lt;=8))+--(AND(K944&lt;&gt;"",K944&lt;=8))+--(AND(L944&lt;&gt;"",L944&lt;=8))+--(AND(M944&lt;&gt;"",M944&lt;=8))+--(AND(N944&lt;&gt;"",N944&lt;=8))+--(AND(O944&lt;&gt;"",O944&lt;=8)))</f>
        <v/>
      </c>
    </row>
    <row r="945" customFormat="false" ht="15" hidden="false" customHeight="false" outlineLevel="0" collapsed="false">
      <c r="AZ945" s="5" t="str">
        <f aca="false">IF($B945="","",SUMPRODUCT(($AL945:$AO945&lt;&gt;"")*(COUNTIF($AP945:$AX945,$AL945:$AO945)&gt;0)))</f>
        <v/>
      </c>
      <c r="BA945" s="5" t="str">
        <f aca="false">IF($B945="","",IF(AZ945&gt;0,1,0))</f>
        <v/>
      </c>
      <c r="BB945" s="5" t="str">
        <f aca="false">IF($AP945="","",IF((($AP945="Engineering and Technology")+($AP945="Science and Mathematics")+($AP945="Computer Science, IT and Allied Fields")+($AP945="Life Sciences /Medicine and Healthcare")+($AP945="Paramedical")+($AP945="Architecture")+($AP945="Environmental Service")+($AP945="Agriculture, Food Industry and Forestry"))&gt;0,"Science",IF((($AP945="Banking and Finance")+($AP945="Management and Administration")+($AP945="Marketing")+($AP945="Sales")+($AP945="Entrepreneurship")+($AP945="Hospitality and Tourism"))&gt;0,"Commerce",IF((($AP945="Social Sciences and Humanities")+($AP945="Law Studies")+($AP945="Education and Training")+($AP945="Art, Design")+($AP945="Entertainment and Mass Media")+($AP945="Community and Social Service")+($AP945="Personal Care and Services")+($AP945="Government and Public Administration")+($AP945="Defence/ Protective Service")+($AP945="Sports"))&gt;0,"Arts / Humanities",""))))</f>
        <v/>
      </c>
      <c r="BC945" s="5" t="str">
        <f aca="false">IF($AL945="","",IF((($AL945="Engineering and Technology")+($AL945="Science and Mathematics")+($AL945="Computer Science, IT and Allied Fields")+($AL945="Life Sciences /Medicine and Healthcare")+($AL945="Paramedical")+($AL945="Architecture")+($AL945="Environmental Service")+($AL945="Agriculture, Food Industry and Forestry"))&gt;0,"Science",IF((($AL945="Banking and Finance")+($AL945="Management and Administration")+($AL945="Marketing")+($AL945="Sales")+($AL945="Entrepreneurship")+($AL945="Hospitality and Tourism"))&gt;0,"Commerce",IF((($AL945="Social Sciences and Humanities")+($AL945="Law Studies")+($AL945="Education and Training")+($AL945="Art, Design")+($AL945="Entertainment and Mass Media")+($AL945="Community and Social Service")+($AL945="Personal Care and Services")+($AL945="Government and Public Administration")+($AL945="Defence/ Protective Service")+($AL945="Sports"))&gt;0,"Arts / Humanities",""))))</f>
        <v/>
      </c>
      <c r="BD945" s="5" t="str">
        <f aca="false">IF($B945="","",--(F945&gt;=10)+--(G945&gt;=10)+--(H945&gt;=10)+--(I945&gt;=10)+--(J945&gt;=10)+--(K945&gt;=10)+--(L945&gt;=10)+--(M945&gt;=10)+--(N945&gt;=10)+--(O945&gt;=10))</f>
        <v/>
      </c>
      <c r="BE945" s="5" t="str">
        <f aca="false">IF($B945="","",--(AND(F945&lt;&gt;"",F945&lt;=8))+--(AND(G945&lt;&gt;"",G945&lt;=8))+--(AND(H945&lt;&gt;"",H945&lt;=8))+--(AND(I945&lt;&gt;"",I945&lt;=8))+--(AND(J945&lt;&gt;"",J945&lt;=8))+--(AND(K945&lt;&gt;"",K945&lt;=8))+--(AND(L945&lt;&gt;"",L945&lt;=8))+--(AND(M945&lt;&gt;"",M945&lt;=8))+--(AND(N945&lt;&gt;"",N945&lt;=8))+--(AND(O945&lt;&gt;"",O945&lt;=8)))</f>
        <v/>
      </c>
    </row>
    <row r="946" customFormat="false" ht="15" hidden="false" customHeight="false" outlineLevel="0" collapsed="false">
      <c r="AZ946" s="5" t="str">
        <f aca="false">IF($B946="","",SUMPRODUCT(($AL946:$AO946&lt;&gt;"")*(COUNTIF($AP946:$AX946,$AL946:$AO946)&gt;0)))</f>
        <v/>
      </c>
      <c r="BA946" s="5" t="str">
        <f aca="false">IF($B946="","",IF(AZ946&gt;0,1,0))</f>
        <v/>
      </c>
      <c r="BB946" s="5" t="str">
        <f aca="false">IF($AP946="","",IF((($AP946="Engineering and Technology")+($AP946="Science and Mathematics")+($AP946="Computer Science, IT and Allied Fields")+($AP946="Life Sciences /Medicine and Healthcare")+($AP946="Paramedical")+($AP946="Architecture")+($AP946="Environmental Service")+($AP946="Agriculture, Food Industry and Forestry"))&gt;0,"Science",IF((($AP946="Banking and Finance")+($AP946="Management and Administration")+($AP946="Marketing")+($AP946="Sales")+($AP946="Entrepreneurship")+($AP946="Hospitality and Tourism"))&gt;0,"Commerce",IF((($AP946="Social Sciences and Humanities")+($AP946="Law Studies")+($AP946="Education and Training")+($AP946="Art, Design")+($AP946="Entertainment and Mass Media")+($AP946="Community and Social Service")+($AP946="Personal Care and Services")+($AP946="Government and Public Administration")+($AP946="Defence/ Protective Service")+($AP946="Sports"))&gt;0,"Arts / Humanities",""))))</f>
        <v/>
      </c>
      <c r="BC946" s="5" t="str">
        <f aca="false">IF($AL946="","",IF((($AL946="Engineering and Technology")+($AL946="Science and Mathematics")+($AL946="Computer Science, IT and Allied Fields")+($AL946="Life Sciences /Medicine and Healthcare")+($AL946="Paramedical")+($AL946="Architecture")+($AL946="Environmental Service")+($AL946="Agriculture, Food Industry and Forestry"))&gt;0,"Science",IF((($AL946="Banking and Finance")+($AL946="Management and Administration")+($AL946="Marketing")+($AL946="Sales")+($AL946="Entrepreneurship")+($AL946="Hospitality and Tourism"))&gt;0,"Commerce",IF((($AL946="Social Sciences and Humanities")+($AL946="Law Studies")+($AL946="Education and Training")+($AL946="Art, Design")+($AL946="Entertainment and Mass Media")+($AL946="Community and Social Service")+($AL946="Personal Care and Services")+($AL946="Government and Public Administration")+($AL946="Defence/ Protective Service")+($AL946="Sports"))&gt;0,"Arts / Humanities",""))))</f>
        <v/>
      </c>
      <c r="BD946" s="5" t="str">
        <f aca="false">IF($B946="","",--(F946&gt;=10)+--(G946&gt;=10)+--(H946&gt;=10)+--(I946&gt;=10)+--(J946&gt;=10)+--(K946&gt;=10)+--(L946&gt;=10)+--(M946&gt;=10)+--(N946&gt;=10)+--(O946&gt;=10))</f>
        <v/>
      </c>
      <c r="BE946" s="5" t="str">
        <f aca="false">IF($B946="","",--(AND(F946&lt;&gt;"",F946&lt;=8))+--(AND(G946&lt;&gt;"",G946&lt;=8))+--(AND(H946&lt;&gt;"",H946&lt;=8))+--(AND(I946&lt;&gt;"",I946&lt;=8))+--(AND(J946&lt;&gt;"",J946&lt;=8))+--(AND(K946&lt;&gt;"",K946&lt;=8))+--(AND(L946&lt;&gt;"",L946&lt;=8))+--(AND(M946&lt;&gt;"",M946&lt;=8))+--(AND(N946&lt;&gt;"",N946&lt;=8))+--(AND(O946&lt;&gt;"",O946&lt;=8)))</f>
        <v/>
      </c>
    </row>
    <row r="947" customFormat="false" ht="15" hidden="false" customHeight="false" outlineLevel="0" collapsed="false">
      <c r="AZ947" s="5" t="str">
        <f aca="false">IF($B947="","",SUMPRODUCT(($AL947:$AO947&lt;&gt;"")*(COUNTIF($AP947:$AX947,$AL947:$AO947)&gt;0)))</f>
        <v/>
      </c>
      <c r="BA947" s="5" t="str">
        <f aca="false">IF($B947="","",IF(AZ947&gt;0,1,0))</f>
        <v/>
      </c>
      <c r="BB947" s="5" t="str">
        <f aca="false">IF($AP947="","",IF((($AP947="Engineering and Technology")+($AP947="Science and Mathematics")+($AP947="Computer Science, IT and Allied Fields")+($AP947="Life Sciences /Medicine and Healthcare")+($AP947="Paramedical")+($AP947="Architecture")+($AP947="Environmental Service")+($AP947="Agriculture, Food Industry and Forestry"))&gt;0,"Science",IF((($AP947="Banking and Finance")+($AP947="Management and Administration")+($AP947="Marketing")+($AP947="Sales")+($AP947="Entrepreneurship")+($AP947="Hospitality and Tourism"))&gt;0,"Commerce",IF((($AP947="Social Sciences and Humanities")+($AP947="Law Studies")+($AP947="Education and Training")+($AP947="Art, Design")+($AP947="Entertainment and Mass Media")+($AP947="Community and Social Service")+($AP947="Personal Care and Services")+($AP947="Government and Public Administration")+($AP947="Defence/ Protective Service")+($AP947="Sports"))&gt;0,"Arts / Humanities",""))))</f>
        <v/>
      </c>
      <c r="BC947" s="5" t="str">
        <f aca="false">IF($AL947="","",IF((($AL947="Engineering and Technology")+($AL947="Science and Mathematics")+($AL947="Computer Science, IT and Allied Fields")+($AL947="Life Sciences /Medicine and Healthcare")+($AL947="Paramedical")+($AL947="Architecture")+($AL947="Environmental Service")+($AL947="Agriculture, Food Industry and Forestry"))&gt;0,"Science",IF((($AL947="Banking and Finance")+($AL947="Management and Administration")+($AL947="Marketing")+($AL947="Sales")+($AL947="Entrepreneurship")+($AL947="Hospitality and Tourism"))&gt;0,"Commerce",IF((($AL947="Social Sciences and Humanities")+($AL947="Law Studies")+($AL947="Education and Training")+($AL947="Art, Design")+($AL947="Entertainment and Mass Media")+($AL947="Community and Social Service")+($AL947="Personal Care and Services")+($AL947="Government and Public Administration")+($AL947="Defence/ Protective Service")+($AL947="Sports"))&gt;0,"Arts / Humanities",""))))</f>
        <v/>
      </c>
      <c r="BD947" s="5" t="str">
        <f aca="false">IF($B947="","",--(F947&gt;=10)+--(G947&gt;=10)+--(H947&gt;=10)+--(I947&gt;=10)+--(J947&gt;=10)+--(K947&gt;=10)+--(L947&gt;=10)+--(M947&gt;=10)+--(N947&gt;=10)+--(O947&gt;=10))</f>
        <v/>
      </c>
      <c r="BE947" s="5" t="str">
        <f aca="false">IF($B947="","",--(AND(F947&lt;&gt;"",F947&lt;=8))+--(AND(G947&lt;&gt;"",G947&lt;=8))+--(AND(H947&lt;&gt;"",H947&lt;=8))+--(AND(I947&lt;&gt;"",I947&lt;=8))+--(AND(J947&lt;&gt;"",J947&lt;=8))+--(AND(K947&lt;&gt;"",K947&lt;=8))+--(AND(L947&lt;&gt;"",L947&lt;=8))+--(AND(M947&lt;&gt;"",M947&lt;=8))+--(AND(N947&lt;&gt;"",N947&lt;=8))+--(AND(O947&lt;&gt;"",O947&lt;=8)))</f>
        <v/>
      </c>
    </row>
    <row r="948" customFormat="false" ht="15" hidden="false" customHeight="false" outlineLevel="0" collapsed="false">
      <c r="AZ948" s="5" t="str">
        <f aca="false">IF($B948="","",SUMPRODUCT(($AL948:$AO948&lt;&gt;"")*(COUNTIF($AP948:$AX948,$AL948:$AO948)&gt;0)))</f>
        <v/>
      </c>
      <c r="BA948" s="5" t="str">
        <f aca="false">IF($B948="","",IF(AZ948&gt;0,1,0))</f>
        <v/>
      </c>
      <c r="BB948" s="5" t="str">
        <f aca="false">IF($AP948="","",IF((($AP948="Engineering and Technology")+($AP948="Science and Mathematics")+($AP948="Computer Science, IT and Allied Fields")+($AP948="Life Sciences /Medicine and Healthcare")+($AP948="Paramedical")+($AP948="Architecture")+($AP948="Environmental Service")+($AP948="Agriculture, Food Industry and Forestry"))&gt;0,"Science",IF((($AP948="Banking and Finance")+($AP948="Management and Administration")+($AP948="Marketing")+($AP948="Sales")+($AP948="Entrepreneurship")+($AP948="Hospitality and Tourism"))&gt;0,"Commerce",IF((($AP948="Social Sciences and Humanities")+($AP948="Law Studies")+($AP948="Education and Training")+($AP948="Art, Design")+($AP948="Entertainment and Mass Media")+($AP948="Community and Social Service")+($AP948="Personal Care and Services")+($AP948="Government and Public Administration")+($AP948="Defence/ Protective Service")+($AP948="Sports"))&gt;0,"Arts / Humanities",""))))</f>
        <v/>
      </c>
      <c r="BC948" s="5" t="str">
        <f aca="false">IF($AL948="","",IF((($AL948="Engineering and Technology")+($AL948="Science and Mathematics")+($AL948="Computer Science, IT and Allied Fields")+($AL948="Life Sciences /Medicine and Healthcare")+($AL948="Paramedical")+($AL948="Architecture")+($AL948="Environmental Service")+($AL948="Agriculture, Food Industry and Forestry"))&gt;0,"Science",IF((($AL948="Banking and Finance")+($AL948="Management and Administration")+($AL948="Marketing")+($AL948="Sales")+($AL948="Entrepreneurship")+($AL948="Hospitality and Tourism"))&gt;0,"Commerce",IF((($AL948="Social Sciences and Humanities")+($AL948="Law Studies")+($AL948="Education and Training")+($AL948="Art, Design")+($AL948="Entertainment and Mass Media")+($AL948="Community and Social Service")+($AL948="Personal Care and Services")+($AL948="Government and Public Administration")+($AL948="Defence/ Protective Service")+($AL948="Sports"))&gt;0,"Arts / Humanities",""))))</f>
        <v/>
      </c>
      <c r="BD948" s="5" t="str">
        <f aca="false">IF($B948="","",--(F948&gt;=10)+--(G948&gt;=10)+--(H948&gt;=10)+--(I948&gt;=10)+--(J948&gt;=10)+--(K948&gt;=10)+--(L948&gt;=10)+--(M948&gt;=10)+--(N948&gt;=10)+--(O948&gt;=10))</f>
        <v/>
      </c>
      <c r="BE948" s="5" t="str">
        <f aca="false">IF($B948="","",--(AND(F948&lt;&gt;"",F948&lt;=8))+--(AND(G948&lt;&gt;"",G948&lt;=8))+--(AND(H948&lt;&gt;"",H948&lt;=8))+--(AND(I948&lt;&gt;"",I948&lt;=8))+--(AND(J948&lt;&gt;"",J948&lt;=8))+--(AND(K948&lt;&gt;"",K948&lt;=8))+--(AND(L948&lt;&gt;"",L948&lt;=8))+--(AND(M948&lt;&gt;"",M948&lt;=8))+--(AND(N948&lt;&gt;"",N948&lt;=8))+--(AND(O948&lt;&gt;"",O948&lt;=8)))</f>
        <v/>
      </c>
    </row>
    <row r="949" customFormat="false" ht="15" hidden="false" customHeight="false" outlineLevel="0" collapsed="false">
      <c r="AZ949" s="5" t="str">
        <f aca="false">IF($B949="","",SUMPRODUCT(($AL949:$AO949&lt;&gt;"")*(COUNTIF($AP949:$AX949,$AL949:$AO949)&gt;0)))</f>
        <v/>
      </c>
      <c r="BA949" s="5" t="str">
        <f aca="false">IF($B949="","",IF(AZ949&gt;0,1,0))</f>
        <v/>
      </c>
      <c r="BB949" s="5" t="str">
        <f aca="false">IF($AP949="","",IF((($AP949="Engineering and Technology")+($AP949="Science and Mathematics")+($AP949="Computer Science, IT and Allied Fields")+($AP949="Life Sciences /Medicine and Healthcare")+($AP949="Paramedical")+($AP949="Architecture")+($AP949="Environmental Service")+($AP949="Agriculture, Food Industry and Forestry"))&gt;0,"Science",IF((($AP949="Banking and Finance")+($AP949="Management and Administration")+($AP949="Marketing")+($AP949="Sales")+($AP949="Entrepreneurship")+($AP949="Hospitality and Tourism"))&gt;0,"Commerce",IF((($AP949="Social Sciences and Humanities")+($AP949="Law Studies")+($AP949="Education and Training")+($AP949="Art, Design")+($AP949="Entertainment and Mass Media")+($AP949="Community and Social Service")+($AP949="Personal Care and Services")+($AP949="Government and Public Administration")+($AP949="Defence/ Protective Service")+($AP949="Sports"))&gt;0,"Arts / Humanities",""))))</f>
        <v/>
      </c>
      <c r="BC949" s="5" t="str">
        <f aca="false">IF($AL949="","",IF((($AL949="Engineering and Technology")+($AL949="Science and Mathematics")+($AL949="Computer Science, IT and Allied Fields")+($AL949="Life Sciences /Medicine and Healthcare")+($AL949="Paramedical")+($AL949="Architecture")+($AL949="Environmental Service")+($AL949="Agriculture, Food Industry and Forestry"))&gt;0,"Science",IF((($AL949="Banking and Finance")+($AL949="Management and Administration")+($AL949="Marketing")+($AL949="Sales")+($AL949="Entrepreneurship")+($AL949="Hospitality and Tourism"))&gt;0,"Commerce",IF((($AL949="Social Sciences and Humanities")+($AL949="Law Studies")+($AL949="Education and Training")+($AL949="Art, Design")+($AL949="Entertainment and Mass Media")+($AL949="Community and Social Service")+($AL949="Personal Care and Services")+($AL949="Government and Public Administration")+($AL949="Defence/ Protective Service")+($AL949="Sports"))&gt;0,"Arts / Humanities",""))))</f>
        <v/>
      </c>
      <c r="BD949" s="5" t="str">
        <f aca="false">IF($B949="","",--(F949&gt;=10)+--(G949&gt;=10)+--(H949&gt;=10)+--(I949&gt;=10)+--(J949&gt;=10)+--(K949&gt;=10)+--(L949&gt;=10)+--(M949&gt;=10)+--(N949&gt;=10)+--(O949&gt;=10))</f>
        <v/>
      </c>
      <c r="BE949" s="5" t="str">
        <f aca="false">IF($B949="","",--(AND(F949&lt;&gt;"",F949&lt;=8))+--(AND(G949&lt;&gt;"",G949&lt;=8))+--(AND(H949&lt;&gt;"",H949&lt;=8))+--(AND(I949&lt;&gt;"",I949&lt;=8))+--(AND(J949&lt;&gt;"",J949&lt;=8))+--(AND(K949&lt;&gt;"",K949&lt;=8))+--(AND(L949&lt;&gt;"",L949&lt;=8))+--(AND(M949&lt;&gt;"",M949&lt;=8))+--(AND(N949&lt;&gt;"",N949&lt;=8))+--(AND(O949&lt;&gt;"",O949&lt;=8)))</f>
        <v/>
      </c>
    </row>
    <row r="950" customFormat="false" ht="15" hidden="false" customHeight="false" outlineLevel="0" collapsed="false">
      <c r="AZ950" s="5" t="str">
        <f aca="false">IF($B950="","",SUMPRODUCT(($AL950:$AO950&lt;&gt;"")*(COUNTIF($AP950:$AX950,$AL950:$AO950)&gt;0)))</f>
        <v/>
      </c>
      <c r="BA950" s="5" t="str">
        <f aca="false">IF($B950="","",IF(AZ950&gt;0,1,0))</f>
        <v/>
      </c>
      <c r="BB950" s="5" t="str">
        <f aca="false">IF($AP950="","",IF((($AP950="Engineering and Technology")+($AP950="Science and Mathematics")+($AP950="Computer Science, IT and Allied Fields")+($AP950="Life Sciences /Medicine and Healthcare")+($AP950="Paramedical")+($AP950="Architecture")+($AP950="Environmental Service")+($AP950="Agriculture, Food Industry and Forestry"))&gt;0,"Science",IF((($AP950="Banking and Finance")+($AP950="Management and Administration")+($AP950="Marketing")+($AP950="Sales")+($AP950="Entrepreneurship")+($AP950="Hospitality and Tourism"))&gt;0,"Commerce",IF((($AP950="Social Sciences and Humanities")+($AP950="Law Studies")+($AP950="Education and Training")+($AP950="Art, Design")+($AP950="Entertainment and Mass Media")+($AP950="Community and Social Service")+($AP950="Personal Care and Services")+($AP950="Government and Public Administration")+($AP950="Defence/ Protective Service")+($AP950="Sports"))&gt;0,"Arts / Humanities",""))))</f>
        <v/>
      </c>
      <c r="BC950" s="5" t="str">
        <f aca="false">IF($AL950="","",IF((($AL950="Engineering and Technology")+($AL950="Science and Mathematics")+($AL950="Computer Science, IT and Allied Fields")+($AL950="Life Sciences /Medicine and Healthcare")+($AL950="Paramedical")+($AL950="Architecture")+($AL950="Environmental Service")+($AL950="Agriculture, Food Industry and Forestry"))&gt;0,"Science",IF((($AL950="Banking and Finance")+($AL950="Management and Administration")+($AL950="Marketing")+($AL950="Sales")+($AL950="Entrepreneurship")+($AL950="Hospitality and Tourism"))&gt;0,"Commerce",IF((($AL950="Social Sciences and Humanities")+($AL950="Law Studies")+($AL950="Education and Training")+($AL950="Art, Design")+($AL950="Entertainment and Mass Media")+($AL950="Community and Social Service")+($AL950="Personal Care and Services")+($AL950="Government and Public Administration")+($AL950="Defence/ Protective Service")+($AL950="Sports"))&gt;0,"Arts / Humanities",""))))</f>
        <v/>
      </c>
      <c r="BD950" s="5" t="str">
        <f aca="false">IF($B950="","",--(F950&gt;=10)+--(G950&gt;=10)+--(H950&gt;=10)+--(I950&gt;=10)+--(J950&gt;=10)+--(K950&gt;=10)+--(L950&gt;=10)+--(M950&gt;=10)+--(N950&gt;=10)+--(O950&gt;=10))</f>
        <v/>
      </c>
      <c r="BE950" s="5" t="str">
        <f aca="false">IF($B950="","",--(AND(F950&lt;&gt;"",F950&lt;=8))+--(AND(G950&lt;&gt;"",G950&lt;=8))+--(AND(H950&lt;&gt;"",H950&lt;=8))+--(AND(I950&lt;&gt;"",I950&lt;=8))+--(AND(J950&lt;&gt;"",J950&lt;=8))+--(AND(K950&lt;&gt;"",K950&lt;=8))+--(AND(L950&lt;&gt;"",L950&lt;=8))+--(AND(M950&lt;&gt;"",M950&lt;=8))+--(AND(N950&lt;&gt;"",N950&lt;=8))+--(AND(O950&lt;&gt;"",O950&lt;=8)))</f>
        <v/>
      </c>
    </row>
    <row r="951" customFormat="false" ht="15" hidden="false" customHeight="false" outlineLevel="0" collapsed="false">
      <c r="AZ951" s="5" t="str">
        <f aca="false">IF($B951="","",SUMPRODUCT(($AL951:$AO951&lt;&gt;"")*(COUNTIF($AP951:$AX951,$AL951:$AO951)&gt;0)))</f>
        <v/>
      </c>
      <c r="BA951" s="5" t="str">
        <f aca="false">IF($B951="","",IF(AZ951&gt;0,1,0))</f>
        <v/>
      </c>
      <c r="BB951" s="5" t="str">
        <f aca="false">IF($AP951="","",IF((($AP951="Engineering and Technology")+($AP951="Science and Mathematics")+($AP951="Computer Science, IT and Allied Fields")+($AP951="Life Sciences /Medicine and Healthcare")+($AP951="Paramedical")+($AP951="Architecture")+($AP951="Environmental Service")+($AP951="Agriculture, Food Industry and Forestry"))&gt;0,"Science",IF((($AP951="Banking and Finance")+($AP951="Management and Administration")+($AP951="Marketing")+($AP951="Sales")+($AP951="Entrepreneurship")+($AP951="Hospitality and Tourism"))&gt;0,"Commerce",IF((($AP951="Social Sciences and Humanities")+($AP951="Law Studies")+($AP951="Education and Training")+($AP951="Art, Design")+($AP951="Entertainment and Mass Media")+($AP951="Community and Social Service")+($AP951="Personal Care and Services")+($AP951="Government and Public Administration")+($AP951="Defence/ Protective Service")+($AP951="Sports"))&gt;0,"Arts / Humanities",""))))</f>
        <v/>
      </c>
      <c r="BC951" s="5" t="str">
        <f aca="false">IF($AL951="","",IF((($AL951="Engineering and Technology")+($AL951="Science and Mathematics")+($AL951="Computer Science, IT and Allied Fields")+($AL951="Life Sciences /Medicine and Healthcare")+($AL951="Paramedical")+($AL951="Architecture")+($AL951="Environmental Service")+($AL951="Agriculture, Food Industry and Forestry"))&gt;0,"Science",IF((($AL951="Banking and Finance")+($AL951="Management and Administration")+($AL951="Marketing")+($AL951="Sales")+($AL951="Entrepreneurship")+($AL951="Hospitality and Tourism"))&gt;0,"Commerce",IF((($AL951="Social Sciences and Humanities")+($AL951="Law Studies")+($AL951="Education and Training")+($AL951="Art, Design")+($AL951="Entertainment and Mass Media")+($AL951="Community and Social Service")+($AL951="Personal Care and Services")+($AL951="Government and Public Administration")+($AL951="Defence/ Protective Service")+($AL951="Sports"))&gt;0,"Arts / Humanities",""))))</f>
        <v/>
      </c>
      <c r="BD951" s="5" t="str">
        <f aca="false">IF($B951="","",--(F951&gt;=10)+--(G951&gt;=10)+--(H951&gt;=10)+--(I951&gt;=10)+--(J951&gt;=10)+--(K951&gt;=10)+--(L951&gt;=10)+--(M951&gt;=10)+--(N951&gt;=10)+--(O951&gt;=10))</f>
        <v/>
      </c>
      <c r="BE951" s="5" t="str">
        <f aca="false">IF($B951="","",--(AND(F951&lt;&gt;"",F951&lt;=8))+--(AND(G951&lt;&gt;"",G951&lt;=8))+--(AND(H951&lt;&gt;"",H951&lt;=8))+--(AND(I951&lt;&gt;"",I951&lt;=8))+--(AND(J951&lt;&gt;"",J951&lt;=8))+--(AND(K951&lt;&gt;"",K951&lt;=8))+--(AND(L951&lt;&gt;"",L951&lt;=8))+--(AND(M951&lt;&gt;"",M951&lt;=8))+--(AND(N951&lt;&gt;"",N951&lt;=8))+--(AND(O951&lt;&gt;"",O951&lt;=8)))</f>
        <v/>
      </c>
    </row>
    <row r="952" customFormat="false" ht="15" hidden="false" customHeight="false" outlineLevel="0" collapsed="false">
      <c r="AZ952" s="5" t="str">
        <f aca="false">IF($B952="","",SUMPRODUCT(($AL952:$AO952&lt;&gt;"")*(COUNTIF($AP952:$AX952,$AL952:$AO952)&gt;0)))</f>
        <v/>
      </c>
      <c r="BA952" s="5" t="str">
        <f aca="false">IF($B952="","",IF(AZ952&gt;0,1,0))</f>
        <v/>
      </c>
      <c r="BB952" s="5" t="str">
        <f aca="false">IF($AP952="","",IF((($AP952="Engineering and Technology")+($AP952="Science and Mathematics")+($AP952="Computer Science, IT and Allied Fields")+($AP952="Life Sciences /Medicine and Healthcare")+($AP952="Paramedical")+($AP952="Architecture")+($AP952="Environmental Service")+($AP952="Agriculture, Food Industry and Forestry"))&gt;0,"Science",IF((($AP952="Banking and Finance")+($AP952="Management and Administration")+($AP952="Marketing")+($AP952="Sales")+($AP952="Entrepreneurship")+($AP952="Hospitality and Tourism"))&gt;0,"Commerce",IF((($AP952="Social Sciences and Humanities")+($AP952="Law Studies")+($AP952="Education and Training")+($AP952="Art, Design")+($AP952="Entertainment and Mass Media")+($AP952="Community and Social Service")+($AP952="Personal Care and Services")+($AP952="Government and Public Administration")+($AP952="Defence/ Protective Service")+($AP952="Sports"))&gt;0,"Arts / Humanities",""))))</f>
        <v/>
      </c>
      <c r="BC952" s="5" t="str">
        <f aca="false">IF($AL952="","",IF((($AL952="Engineering and Technology")+($AL952="Science and Mathematics")+($AL952="Computer Science, IT and Allied Fields")+($AL952="Life Sciences /Medicine and Healthcare")+($AL952="Paramedical")+($AL952="Architecture")+($AL952="Environmental Service")+($AL952="Agriculture, Food Industry and Forestry"))&gt;0,"Science",IF((($AL952="Banking and Finance")+($AL952="Management and Administration")+($AL952="Marketing")+($AL952="Sales")+($AL952="Entrepreneurship")+($AL952="Hospitality and Tourism"))&gt;0,"Commerce",IF((($AL952="Social Sciences and Humanities")+($AL952="Law Studies")+($AL952="Education and Training")+($AL952="Art, Design")+($AL952="Entertainment and Mass Media")+($AL952="Community and Social Service")+($AL952="Personal Care and Services")+($AL952="Government and Public Administration")+($AL952="Defence/ Protective Service")+($AL952="Sports"))&gt;0,"Arts / Humanities",""))))</f>
        <v/>
      </c>
      <c r="BD952" s="5" t="str">
        <f aca="false">IF($B952="","",--(F952&gt;=10)+--(G952&gt;=10)+--(H952&gt;=10)+--(I952&gt;=10)+--(J952&gt;=10)+--(K952&gt;=10)+--(L952&gt;=10)+--(M952&gt;=10)+--(N952&gt;=10)+--(O952&gt;=10))</f>
        <v/>
      </c>
      <c r="BE952" s="5" t="str">
        <f aca="false">IF($B952="","",--(AND(F952&lt;&gt;"",F952&lt;=8))+--(AND(G952&lt;&gt;"",G952&lt;=8))+--(AND(H952&lt;&gt;"",H952&lt;=8))+--(AND(I952&lt;&gt;"",I952&lt;=8))+--(AND(J952&lt;&gt;"",J952&lt;=8))+--(AND(K952&lt;&gt;"",K952&lt;=8))+--(AND(L952&lt;&gt;"",L952&lt;=8))+--(AND(M952&lt;&gt;"",M952&lt;=8))+--(AND(N952&lt;&gt;"",N952&lt;=8))+--(AND(O952&lt;&gt;"",O952&lt;=8)))</f>
        <v/>
      </c>
    </row>
    <row r="953" customFormat="false" ht="15" hidden="false" customHeight="false" outlineLevel="0" collapsed="false">
      <c r="AZ953" s="5" t="str">
        <f aca="false">IF($B953="","",SUMPRODUCT(($AL953:$AO953&lt;&gt;"")*(COUNTIF($AP953:$AX953,$AL953:$AO953)&gt;0)))</f>
        <v/>
      </c>
      <c r="BA953" s="5" t="str">
        <f aca="false">IF($B953="","",IF(AZ953&gt;0,1,0))</f>
        <v/>
      </c>
      <c r="BB953" s="5" t="str">
        <f aca="false">IF($AP953="","",IF((($AP953="Engineering and Technology")+($AP953="Science and Mathematics")+($AP953="Computer Science, IT and Allied Fields")+($AP953="Life Sciences /Medicine and Healthcare")+($AP953="Paramedical")+($AP953="Architecture")+($AP953="Environmental Service")+($AP953="Agriculture, Food Industry and Forestry"))&gt;0,"Science",IF((($AP953="Banking and Finance")+($AP953="Management and Administration")+($AP953="Marketing")+($AP953="Sales")+($AP953="Entrepreneurship")+($AP953="Hospitality and Tourism"))&gt;0,"Commerce",IF((($AP953="Social Sciences and Humanities")+($AP953="Law Studies")+($AP953="Education and Training")+($AP953="Art, Design")+($AP953="Entertainment and Mass Media")+($AP953="Community and Social Service")+($AP953="Personal Care and Services")+($AP953="Government and Public Administration")+($AP953="Defence/ Protective Service")+($AP953="Sports"))&gt;0,"Arts / Humanities",""))))</f>
        <v/>
      </c>
      <c r="BC953" s="5" t="str">
        <f aca="false">IF($AL953="","",IF((($AL953="Engineering and Technology")+($AL953="Science and Mathematics")+($AL953="Computer Science, IT and Allied Fields")+($AL953="Life Sciences /Medicine and Healthcare")+($AL953="Paramedical")+($AL953="Architecture")+($AL953="Environmental Service")+($AL953="Agriculture, Food Industry and Forestry"))&gt;0,"Science",IF((($AL953="Banking and Finance")+($AL953="Management and Administration")+($AL953="Marketing")+($AL953="Sales")+($AL953="Entrepreneurship")+($AL953="Hospitality and Tourism"))&gt;0,"Commerce",IF((($AL953="Social Sciences and Humanities")+($AL953="Law Studies")+($AL953="Education and Training")+($AL953="Art, Design")+($AL953="Entertainment and Mass Media")+($AL953="Community and Social Service")+($AL953="Personal Care and Services")+($AL953="Government and Public Administration")+($AL953="Defence/ Protective Service")+($AL953="Sports"))&gt;0,"Arts / Humanities",""))))</f>
        <v/>
      </c>
      <c r="BD953" s="5" t="str">
        <f aca="false">IF($B953="","",--(F953&gt;=10)+--(G953&gt;=10)+--(H953&gt;=10)+--(I953&gt;=10)+--(J953&gt;=10)+--(K953&gt;=10)+--(L953&gt;=10)+--(M953&gt;=10)+--(N953&gt;=10)+--(O953&gt;=10))</f>
        <v/>
      </c>
      <c r="BE953" s="5" t="str">
        <f aca="false">IF($B953="","",--(AND(F953&lt;&gt;"",F953&lt;=8))+--(AND(G953&lt;&gt;"",G953&lt;=8))+--(AND(H953&lt;&gt;"",H953&lt;=8))+--(AND(I953&lt;&gt;"",I953&lt;=8))+--(AND(J953&lt;&gt;"",J953&lt;=8))+--(AND(K953&lt;&gt;"",K953&lt;=8))+--(AND(L953&lt;&gt;"",L953&lt;=8))+--(AND(M953&lt;&gt;"",M953&lt;=8))+--(AND(N953&lt;&gt;"",N953&lt;=8))+--(AND(O953&lt;&gt;"",O953&lt;=8)))</f>
        <v/>
      </c>
    </row>
    <row r="954" customFormat="false" ht="15" hidden="false" customHeight="false" outlineLevel="0" collapsed="false">
      <c r="AZ954" s="5" t="str">
        <f aca="false">IF($B954="","",SUMPRODUCT(($AL954:$AO954&lt;&gt;"")*(COUNTIF($AP954:$AX954,$AL954:$AO954)&gt;0)))</f>
        <v/>
      </c>
      <c r="BA954" s="5" t="str">
        <f aca="false">IF($B954="","",IF(AZ954&gt;0,1,0))</f>
        <v/>
      </c>
      <c r="BB954" s="5" t="str">
        <f aca="false">IF($AP954="","",IF((($AP954="Engineering and Technology")+($AP954="Science and Mathematics")+($AP954="Computer Science, IT and Allied Fields")+($AP954="Life Sciences /Medicine and Healthcare")+($AP954="Paramedical")+($AP954="Architecture")+($AP954="Environmental Service")+($AP954="Agriculture, Food Industry and Forestry"))&gt;0,"Science",IF((($AP954="Banking and Finance")+($AP954="Management and Administration")+($AP954="Marketing")+($AP954="Sales")+($AP954="Entrepreneurship")+($AP954="Hospitality and Tourism"))&gt;0,"Commerce",IF((($AP954="Social Sciences and Humanities")+($AP954="Law Studies")+($AP954="Education and Training")+($AP954="Art, Design")+($AP954="Entertainment and Mass Media")+($AP954="Community and Social Service")+($AP954="Personal Care and Services")+($AP954="Government and Public Administration")+($AP954="Defence/ Protective Service")+($AP954="Sports"))&gt;0,"Arts / Humanities",""))))</f>
        <v/>
      </c>
      <c r="BC954" s="5" t="str">
        <f aca="false">IF($AL954="","",IF((($AL954="Engineering and Technology")+($AL954="Science and Mathematics")+($AL954="Computer Science, IT and Allied Fields")+($AL954="Life Sciences /Medicine and Healthcare")+($AL954="Paramedical")+($AL954="Architecture")+($AL954="Environmental Service")+($AL954="Agriculture, Food Industry and Forestry"))&gt;0,"Science",IF((($AL954="Banking and Finance")+($AL954="Management and Administration")+($AL954="Marketing")+($AL954="Sales")+($AL954="Entrepreneurship")+($AL954="Hospitality and Tourism"))&gt;0,"Commerce",IF((($AL954="Social Sciences and Humanities")+($AL954="Law Studies")+($AL954="Education and Training")+($AL954="Art, Design")+($AL954="Entertainment and Mass Media")+($AL954="Community and Social Service")+($AL954="Personal Care and Services")+($AL954="Government and Public Administration")+($AL954="Defence/ Protective Service")+($AL954="Sports"))&gt;0,"Arts / Humanities",""))))</f>
        <v/>
      </c>
      <c r="BD954" s="5" t="str">
        <f aca="false">IF($B954="","",--(F954&gt;=10)+--(G954&gt;=10)+--(H954&gt;=10)+--(I954&gt;=10)+--(J954&gt;=10)+--(K954&gt;=10)+--(L954&gt;=10)+--(M954&gt;=10)+--(N954&gt;=10)+--(O954&gt;=10))</f>
        <v/>
      </c>
      <c r="BE954" s="5" t="str">
        <f aca="false">IF($B954="","",--(AND(F954&lt;&gt;"",F954&lt;=8))+--(AND(G954&lt;&gt;"",G954&lt;=8))+--(AND(H954&lt;&gt;"",H954&lt;=8))+--(AND(I954&lt;&gt;"",I954&lt;=8))+--(AND(J954&lt;&gt;"",J954&lt;=8))+--(AND(K954&lt;&gt;"",K954&lt;=8))+--(AND(L954&lt;&gt;"",L954&lt;=8))+--(AND(M954&lt;&gt;"",M954&lt;=8))+--(AND(N954&lt;&gt;"",N954&lt;=8))+--(AND(O954&lt;&gt;"",O954&lt;=8)))</f>
        <v/>
      </c>
    </row>
    <row r="955" customFormat="false" ht="15" hidden="false" customHeight="false" outlineLevel="0" collapsed="false">
      <c r="AZ955" s="5" t="str">
        <f aca="false">IF($B955="","",SUMPRODUCT(($AL955:$AO955&lt;&gt;"")*(COUNTIF($AP955:$AX955,$AL955:$AO955)&gt;0)))</f>
        <v/>
      </c>
      <c r="BA955" s="5" t="str">
        <f aca="false">IF($B955="","",IF(AZ955&gt;0,1,0))</f>
        <v/>
      </c>
      <c r="BB955" s="5" t="str">
        <f aca="false">IF($AP955="","",IF((($AP955="Engineering and Technology")+($AP955="Science and Mathematics")+($AP955="Computer Science, IT and Allied Fields")+($AP955="Life Sciences /Medicine and Healthcare")+($AP955="Paramedical")+($AP955="Architecture")+($AP955="Environmental Service")+($AP955="Agriculture, Food Industry and Forestry"))&gt;0,"Science",IF((($AP955="Banking and Finance")+($AP955="Management and Administration")+($AP955="Marketing")+($AP955="Sales")+($AP955="Entrepreneurship")+($AP955="Hospitality and Tourism"))&gt;0,"Commerce",IF((($AP955="Social Sciences and Humanities")+($AP955="Law Studies")+($AP955="Education and Training")+($AP955="Art, Design")+($AP955="Entertainment and Mass Media")+($AP955="Community and Social Service")+($AP955="Personal Care and Services")+($AP955="Government and Public Administration")+($AP955="Defence/ Protective Service")+($AP955="Sports"))&gt;0,"Arts / Humanities",""))))</f>
        <v/>
      </c>
      <c r="BC955" s="5" t="str">
        <f aca="false">IF($AL955="","",IF((($AL955="Engineering and Technology")+($AL955="Science and Mathematics")+($AL955="Computer Science, IT and Allied Fields")+($AL955="Life Sciences /Medicine and Healthcare")+($AL955="Paramedical")+($AL955="Architecture")+($AL955="Environmental Service")+($AL955="Agriculture, Food Industry and Forestry"))&gt;0,"Science",IF((($AL955="Banking and Finance")+($AL955="Management and Administration")+($AL955="Marketing")+($AL955="Sales")+($AL955="Entrepreneurship")+($AL955="Hospitality and Tourism"))&gt;0,"Commerce",IF((($AL955="Social Sciences and Humanities")+($AL955="Law Studies")+($AL955="Education and Training")+($AL955="Art, Design")+($AL955="Entertainment and Mass Media")+($AL955="Community and Social Service")+($AL955="Personal Care and Services")+($AL955="Government and Public Administration")+($AL955="Defence/ Protective Service")+($AL955="Sports"))&gt;0,"Arts / Humanities",""))))</f>
        <v/>
      </c>
      <c r="BD955" s="5" t="str">
        <f aca="false">IF($B955="","",--(F955&gt;=10)+--(G955&gt;=10)+--(H955&gt;=10)+--(I955&gt;=10)+--(J955&gt;=10)+--(K955&gt;=10)+--(L955&gt;=10)+--(M955&gt;=10)+--(N955&gt;=10)+--(O955&gt;=10))</f>
        <v/>
      </c>
      <c r="BE955" s="5" t="str">
        <f aca="false">IF($B955="","",--(AND(F955&lt;&gt;"",F955&lt;=8))+--(AND(G955&lt;&gt;"",G955&lt;=8))+--(AND(H955&lt;&gt;"",H955&lt;=8))+--(AND(I955&lt;&gt;"",I955&lt;=8))+--(AND(J955&lt;&gt;"",J955&lt;=8))+--(AND(K955&lt;&gt;"",K955&lt;=8))+--(AND(L955&lt;&gt;"",L955&lt;=8))+--(AND(M955&lt;&gt;"",M955&lt;=8))+--(AND(N955&lt;&gt;"",N955&lt;=8))+--(AND(O955&lt;&gt;"",O955&lt;=8)))</f>
        <v/>
      </c>
    </row>
    <row r="956" customFormat="false" ht="15" hidden="false" customHeight="false" outlineLevel="0" collapsed="false">
      <c r="AZ956" s="5" t="str">
        <f aca="false">IF($B956="","",SUMPRODUCT(($AL956:$AO956&lt;&gt;"")*(COUNTIF($AP956:$AX956,$AL956:$AO956)&gt;0)))</f>
        <v/>
      </c>
      <c r="BA956" s="5" t="str">
        <f aca="false">IF($B956="","",IF(AZ956&gt;0,1,0))</f>
        <v/>
      </c>
      <c r="BB956" s="5" t="str">
        <f aca="false">IF($AP956="","",IF((($AP956="Engineering and Technology")+($AP956="Science and Mathematics")+($AP956="Computer Science, IT and Allied Fields")+($AP956="Life Sciences /Medicine and Healthcare")+($AP956="Paramedical")+($AP956="Architecture")+($AP956="Environmental Service")+($AP956="Agriculture, Food Industry and Forestry"))&gt;0,"Science",IF((($AP956="Banking and Finance")+($AP956="Management and Administration")+($AP956="Marketing")+($AP956="Sales")+($AP956="Entrepreneurship")+($AP956="Hospitality and Tourism"))&gt;0,"Commerce",IF((($AP956="Social Sciences and Humanities")+($AP956="Law Studies")+($AP956="Education and Training")+($AP956="Art, Design")+($AP956="Entertainment and Mass Media")+($AP956="Community and Social Service")+($AP956="Personal Care and Services")+($AP956="Government and Public Administration")+($AP956="Defence/ Protective Service")+($AP956="Sports"))&gt;0,"Arts / Humanities",""))))</f>
        <v/>
      </c>
      <c r="BC956" s="5" t="str">
        <f aca="false">IF($AL956="","",IF((($AL956="Engineering and Technology")+($AL956="Science and Mathematics")+($AL956="Computer Science, IT and Allied Fields")+($AL956="Life Sciences /Medicine and Healthcare")+($AL956="Paramedical")+($AL956="Architecture")+($AL956="Environmental Service")+($AL956="Agriculture, Food Industry and Forestry"))&gt;0,"Science",IF((($AL956="Banking and Finance")+($AL956="Management and Administration")+($AL956="Marketing")+($AL956="Sales")+($AL956="Entrepreneurship")+($AL956="Hospitality and Tourism"))&gt;0,"Commerce",IF((($AL956="Social Sciences and Humanities")+($AL956="Law Studies")+($AL956="Education and Training")+($AL956="Art, Design")+($AL956="Entertainment and Mass Media")+($AL956="Community and Social Service")+($AL956="Personal Care and Services")+($AL956="Government and Public Administration")+($AL956="Defence/ Protective Service")+($AL956="Sports"))&gt;0,"Arts / Humanities",""))))</f>
        <v/>
      </c>
      <c r="BD956" s="5" t="str">
        <f aca="false">IF($B956="","",--(F956&gt;=10)+--(G956&gt;=10)+--(H956&gt;=10)+--(I956&gt;=10)+--(J956&gt;=10)+--(K956&gt;=10)+--(L956&gt;=10)+--(M956&gt;=10)+--(N956&gt;=10)+--(O956&gt;=10))</f>
        <v/>
      </c>
      <c r="BE956" s="5" t="str">
        <f aca="false">IF($B956="","",--(AND(F956&lt;&gt;"",F956&lt;=8))+--(AND(G956&lt;&gt;"",G956&lt;=8))+--(AND(H956&lt;&gt;"",H956&lt;=8))+--(AND(I956&lt;&gt;"",I956&lt;=8))+--(AND(J956&lt;&gt;"",J956&lt;=8))+--(AND(K956&lt;&gt;"",K956&lt;=8))+--(AND(L956&lt;&gt;"",L956&lt;=8))+--(AND(M956&lt;&gt;"",M956&lt;=8))+--(AND(N956&lt;&gt;"",N956&lt;=8))+--(AND(O956&lt;&gt;"",O956&lt;=8)))</f>
        <v/>
      </c>
    </row>
    <row r="957" customFormat="false" ht="15" hidden="false" customHeight="false" outlineLevel="0" collapsed="false">
      <c r="AZ957" s="5" t="str">
        <f aca="false">IF($B957="","",SUMPRODUCT(($AL957:$AO957&lt;&gt;"")*(COUNTIF($AP957:$AX957,$AL957:$AO957)&gt;0)))</f>
        <v/>
      </c>
      <c r="BA957" s="5" t="str">
        <f aca="false">IF($B957="","",IF(AZ957&gt;0,1,0))</f>
        <v/>
      </c>
      <c r="BB957" s="5" t="str">
        <f aca="false">IF($AP957="","",IF((($AP957="Engineering and Technology")+($AP957="Science and Mathematics")+($AP957="Computer Science, IT and Allied Fields")+($AP957="Life Sciences /Medicine and Healthcare")+($AP957="Paramedical")+($AP957="Architecture")+($AP957="Environmental Service")+($AP957="Agriculture, Food Industry and Forestry"))&gt;0,"Science",IF((($AP957="Banking and Finance")+($AP957="Management and Administration")+($AP957="Marketing")+($AP957="Sales")+($AP957="Entrepreneurship")+($AP957="Hospitality and Tourism"))&gt;0,"Commerce",IF((($AP957="Social Sciences and Humanities")+($AP957="Law Studies")+($AP957="Education and Training")+($AP957="Art, Design")+($AP957="Entertainment and Mass Media")+($AP957="Community and Social Service")+($AP957="Personal Care and Services")+($AP957="Government and Public Administration")+($AP957="Defence/ Protective Service")+($AP957="Sports"))&gt;0,"Arts / Humanities",""))))</f>
        <v/>
      </c>
      <c r="BC957" s="5" t="str">
        <f aca="false">IF($AL957="","",IF((($AL957="Engineering and Technology")+($AL957="Science and Mathematics")+($AL957="Computer Science, IT and Allied Fields")+($AL957="Life Sciences /Medicine and Healthcare")+($AL957="Paramedical")+($AL957="Architecture")+($AL957="Environmental Service")+($AL957="Agriculture, Food Industry and Forestry"))&gt;0,"Science",IF((($AL957="Banking and Finance")+($AL957="Management and Administration")+($AL957="Marketing")+($AL957="Sales")+($AL957="Entrepreneurship")+($AL957="Hospitality and Tourism"))&gt;0,"Commerce",IF((($AL957="Social Sciences and Humanities")+($AL957="Law Studies")+($AL957="Education and Training")+($AL957="Art, Design")+($AL957="Entertainment and Mass Media")+($AL957="Community and Social Service")+($AL957="Personal Care and Services")+($AL957="Government and Public Administration")+($AL957="Defence/ Protective Service")+($AL957="Sports"))&gt;0,"Arts / Humanities",""))))</f>
        <v/>
      </c>
      <c r="BD957" s="5" t="str">
        <f aca="false">IF($B957="","",--(F957&gt;=10)+--(G957&gt;=10)+--(H957&gt;=10)+--(I957&gt;=10)+--(J957&gt;=10)+--(K957&gt;=10)+--(L957&gt;=10)+--(M957&gt;=10)+--(N957&gt;=10)+--(O957&gt;=10))</f>
        <v/>
      </c>
      <c r="BE957" s="5" t="str">
        <f aca="false">IF($B957="","",--(AND(F957&lt;&gt;"",F957&lt;=8))+--(AND(G957&lt;&gt;"",G957&lt;=8))+--(AND(H957&lt;&gt;"",H957&lt;=8))+--(AND(I957&lt;&gt;"",I957&lt;=8))+--(AND(J957&lt;&gt;"",J957&lt;=8))+--(AND(K957&lt;&gt;"",K957&lt;=8))+--(AND(L957&lt;&gt;"",L957&lt;=8))+--(AND(M957&lt;&gt;"",M957&lt;=8))+--(AND(N957&lt;&gt;"",N957&lt;=8))+--(AND(O957&lt;&gt;"",O957&lt;=8)))</f>
        <v/>
      </c>
    </row>
    <row r="958" customFormat="false" ht="15" hidden="false" customHeight="false" outlineLevel="0" collapsed="false">
      <c r="AZ958" s="5" t="str">
        <f aca="false">IF($B958="","",SUMPRODUCT(($AL958:$AO958&lt;&gt;"")*(COUNTIF($AP958:$AX958,$AL958:$AO958)&gt;0)))</f>
        <v/>
      </c>
      <c r="BA958" s="5" t="str">
        <f aca="false">IF($B958="","",IF(AZ958&gt;0,1,0))</f>
        <v/>
      </c>
      <c r="BB958" s="5" t="str">
        <f aca="false">IF($AP958="","",IF((($AP958="Engineering and Technology")+($AP958="Science and Mathematics")+($AP958="Computer Science, IT and Allied Fields")+($AP958="Life Sciences /Medicine and Healthcare")+($AP958="Paramedical")+($AP958="Architecture")+($AP958="Environmental Service")+($AP958="Agriculture, Food Industry and Forestry"))&gt;0,"Science",IF((($AP958="Banking and Finance")+($AP958="Management and Administration")+($AP958="Marketing")+($AP958="Sales")+($AP958="Entrepreneurship")+($AP958="Hospitality and Tourism"))&gt;0,"Commerce",IF((($AP958="Social Sciences and Humanities")+($AP958="Law Studies")+($AP958="Education and Training")+($AP958="Art, Design")+($AP958="Entertainment and Mass Media")+($AP958="Community and Social Service")+($AP958="Personal Care and Services")+($AP958="Government and Public Administration")+($AP958="Defence/ Protective Service")+($AP958="Sports"))&gt;0,"Arts / Humanities",""))))</f>
        <v/>
      </c>
      <c r="BC958" s="5" t="str">
        <f aca="false">IF($AL958="","",IF((($AL958="Engineering and Technology")+($AL958="Science and Mathematics")+($AL958="Computer Science, IT and Allied Fields")+($AL958="Life Sciences /Medicine and Healthcare")+($AL958="Paramedical")+($AL958="Architecture")+($AL958="Environmental Service")+($AL958="Agriculture, Food Industry and Forestry"))&gt;0,"Science",IF((($AL958="Banking and Finance")+($AL958="Management and Administration")+($AL958="Marketing")+($AL958="Sales")+($AL958="Entrepreneurship")+($AL958="Hospitality and Tourism"))&gt;0,"Commerce",IF((($AL958="Social Sciences and Humanities")+($AL958="Law Studies")+($AL958="Education and Training")+($AL958="Art, Design")+($AL958="Entertainment and Mass Media")+($AL958="Community and Social Service")+($AL958="Personal Care and Services")+($AL958="Government and Public Administration")+($AL958="Defence/ Protective Service")+($AL958="Sports"))&gt;0,"Arts / Humanities",""))))</f>
        <v/>
      </c>
      <c r="BD958" s="5" t="str">
        <f aca="false">IF($B958="","",--(F958&gt;=10)+--(G958&gt;=10)+--(H958&gt;=10)+--(I958&gt;=10)+--(J958&gt;=10)+--(K958&gt;=10)+--(L958&gt;=10)+--(M958&gt;=10)+--(N958&gt;=10)+--(O958&gt;=10))</f>
        <v/>
      </c>
      <c r="BE958" s="5" t="str">
        <f aca="false">IF($B958="","",--(AND(F958&lt;&gt;"",F958&lt;=8))+--(AND(G958&lt;&gt;"",G958&lt;=8))+--(AND(H958&lt;&gt;"",H958&lt;=8))+--(AND(I958&lt;&gt;"",I958&lt;=8))+--(AND(J958&lt;&gt;"",J958&lt;=8))+--(AND(K958&lt;&gt;"",K958&lt;=8))+--(AND(L958&lt;&gt;"",L958&lt;=8))+--(AND(M958&lt;&gt;"",M958&lt;=8))+--(AND(N958&lt;&gt;"",N958&lt;=8))+--(AND(O958&lt;&gt;"",O958&lt;=8)))</f>
        <v/>
      </c>
    </row>
    <row r="959" customFormat="false" ht="15" hidden="false" customHeight="false" outlineLevel="0" collapsed="false">
      <c r="AZ959" s="5" t="str">
        <f aca="false">IF($B959="","",SUMPRODUCT(($AL959:$AO959&lt;&gt;"")*(COUNTIF($AP959:$AX959,$AL959:$AO959)&gt;0)))</f>
        <v/>
      </c>
      <c r="BA959" s="5" t="str">
        <f aca="false">IF($B959="","",IF(AZ959&gt;0,1,0))</f>
        <v/>
      </c>
      <c r="BB959" s="5" t="str">
        <f aca="false">IF($AP959="","",IF((($AP959="Engineering and Technology")+($AP959="Science and Mathematics")+($AP959="Computer Science, IT and Allied Fields")+($AP959="Life Sciences /Medicine and Healthcare")+($AP959="Paramedical")+($AP959="Architecture")+($AP959="Environmental Service")+($AP959="Agriculture, Food Industry and Forestry"))&gt;0,"Science",IF((($AP959="Banking and Finance")+($AP959="Management and Administration")+($AP959="Marketing")+($AP959="Sales")+($AP959="Entrepreneurship")+($AP959="Hospitality and Tourism"))&gt;0,"Commerce",IF((($AP959="Social Sciences and Humanities")+($AP959="Law Studies")+($AP959="Education and Training")+($AP959="Art, Design")+($AP959="Entertainment and Mass Media")+($AP959="Community and Social Service")+($AP959="Personal Care and Services")+($AP959="Government and Public Administration")+($AP959="Defence/ Protective Service")+($AP959="Sports"))&gt;0,"Arts / Humanities",""))))</f>
        <v/>
      </c>
      <c r="BC959" s="5" t="str">
        <f aca="false">IF($AL959="","",IF((($AL959="Engineering and Technology")+($AL959="Science and Mathematics")+($AL959="Computer Science, IT and Allied Fields")+($AL959="Life Sciences /Medicine and Healthcare")+($AL959="Paramedical")+($AL959="Architecture")+($AL959="Environmental Service")+($AL959="Agriculture, Food Industry and Forestry"))&gt;0,"Science",IF((($AL959="Banking and Finance")+($AL959="Management and Administration")+($AL959="Marketing")+($AL959="Sales")+($AL959="Entrepreneurship")+($AL959="Hospitality and Tourism"))&gt;0,"Commerce",IF((($AL959="Social Sciences and Humanities")+($AL959="Law Studies")+($AL959="Education and Training")+($AL959="Art, Design")+($AL959="Entertainment and Mass Media")+($AL959="Community and Social Service")+($AL959="Personal Care and Services")+($AL959="Government and Public Administration")+($AL959="Defence/ Protective Service")+($AL959="Sports"))&gt;0,"Arts / Humanities",""))))</f>
        <v/>
      </c>
      <c r="BD959" s="5" t="str">
        <f aca="false">IF($B959="","",--(F959&gt;=10)+--(G959&gt;=10)+--(H959&gt;=10)+--(I959&gt;=10)+--(J959&gt;=10)+--(K959&gt;=10)+--(L959&gt;=10)+--(M959&gt;=10)+--(N959&gt;=10)+--(O959&gt;=10))</f>
        <v/>
      </c>
      <c r="BE959" s="5" t="str">
        <f aca="false">IF($B959="","",--(AND(F959&lt;&gt;"",F959&lt;=8))+--(AND(G959&lt;&gt;"",G959&lt;=8))+--(AND(H959&lt;&gt;"",H959&lt;=8))+--(AND(I959&lt;&gt;"",I959&lt;=8))+--(AND(J959&lt;&gt;"",J959&lt;=8))+--(AND(K959&lt;&gt;"",K959&lt;=8))+--(AND(L959&lt;&gt;"",L959&lt;=8))+--(AND(M959&lt;&gt;"",M959&lt;=8))+--(AND(N959&lt;&gt;"",N959&lt;=8))+--(AND(O959&lt;&gt;"",O959&lt;=8)))</f>
        <v/>
      </c>
    </row>
    <row r="960" customFormat="false" ht="15" hidden="false" customHeight="false" outlineLevel="0" collapsed="false">
      <c r="AZ960" s="5" t="str">
        <f aca="false">IF($B960="","",SUMPRODUCT(($AL960:$AO960&lt;&gt;"")*(COUNTIF($AP960:$AX960,$AL960:$AO960)&gt;0)))</f>
        <v/>
      </c>
      <c r="BA960" s="5" t="str">
        <f aca="false">IF($B960="","",IF(AZ960&gt;0,1,0))</f>
        <v/>
      </c>
      <c r="BB960" s="5" t="str">
        <f aca="false">IF($AP960="","",IF((($AP960="Engineering and Technology")+($AP960="Science and Mathematics")+($AP960="Computer Science, IT and Allied Fields")+($AP960="Life Sciences /Medicine and Healthcare")+($AP960="Paramedical")+($AP960="Architecture")+($AP960="Environmental Service")+($AP960="Agriculture, Food Industry and Forestry"))&gt;0,"Science",IF((($AP960="Banking and Finance")+($AP960="Management and Administration")+($AP960="Marketing")+($AP960="Sales")+($AP960="Entrepreneurship")+($AP960="Hospitality and Tourism"))&gt;0,"Commerce",IF((($AP960="Social Sciences and Humanities")+($AP960="Law Studies")+($AP960="Education and Training")+($AP960="Art, Design")+($AP960="Entertainment and Mass Media")+($AP960="Community and Social Service")+($AP960="Personal Care and Services")+($AP960="Government and Public Administration")+($AP960="Defence/ Protective Service")+($AP960="Sports"))&gt;0,"Arts / Humanities",""))))</f>
        <v/>
      </c>
      <c r="BC960" s="5" t="str">
        <f aca="false">IF($AL960="","",IF((($AL960="Engineering and Technology")+($AL960="Science and Mathematics")+($AL960="Computer Science, IT and Allied Fields")+($AL960="Life Sciences /Medicine and Healthcare")+($AL960="Paramedical")+($AL960="Architecture")+($AL960="Environmental Service")+($AL960="Agriculture, Food Industry and Forestry"))&gt;0,"Science",IF((($AL960="Banking and Finance")+($AL960="Management and Administration")+($AL960="Marketing")+($AL960="Sales")+($AL960="Entrepreneurship")+($AL960="Hospitality and Tourism"))&gt;0,"Commerce",IF((($AL960="Social Sciences and Humanities")+($AL960="Law Studies")+($AL960="Education and Training")+($AL960="Art, Design")+($AL960="Entertainment and Mass Media")+($AL960="Community and Social Service")+($AL960="Personal Care and Services")+($AL960="Government and Public Administration")+($AL960="Defence/ Protective Service")+($AL960="Sports"))&gt;0,"Arts / Humanities",""))))</f>
        <v/>
      </c>
      <c r="BD960" s="5" t="str">
        <f aca="false">IF($B960="","",--(F960&gt;=10)+--(G960&gt;=10)+--(H960&gt;=10)+--(I960&gt;=10)+--(J960&gt;=10)+--(K960&gt;=10)+--(L960&gt;=10)+--(M960&gt;=10)+--(N960&gt;=10)+--(O960&gt;=10))</f>
        <v/>
      </c>
      <c r="BE960" s="5" t="str">
        <f aca="false">IF($B960="","",--(AND(F960&lt;&gt;"",F960&lt;=8))+--(AND(G960&lt;&gt;"",G960&lt;=8))+--(AND(H960&lt;&gt;"",H960&lt;=8))+--(AND(I960&lt;&gt;"",I960&lt;=8))+--(AND(J960&lt;&gt;"",J960&lt;=8))+--(AND(K960&lt;&gt;"",K960&lt;=8))+--(AND(L960&lt;&gt;"",L960&lt;=8))+--(AND(M960&lt;&gt;"",M960&lt;=8))+--(AND(N960&lt;&gt;"",N960&lt;=8))+--(AND(O960&lt;&gt;"",O960&lt;=8)))</f>
        <v/>
      </c>
    </row>
    <row r="961" customFormat="false" ht="15" hidden="false" customHeight="false" outlineLevel="0" collapsed="false">
      <c r="AZ961" s="5" t="str">
        <f aca="false">IF($B961="","",SUMPRODUCT(($AL961:$AO961&lt;&gt;"")*(COUNTIF($AP961:$AX961,$AL961:$AO961)&gt;0)))</f>
        <v/>
      </c>
      <c r="BA961" s="5" t="str">
        <f aca="false">IF($B961="","",IF(AZ961&gt;0,1,0))</f>
        <v/>
      </c>
      <c r="BB961" s="5" t="str">
        <f aca="false">IF($AP961="","",IF((($AP961="Engineering and Technology")+($AP961="Science and Mathematics")+($AP961="Computer Science, IT and Allied Fields")+($AP961="Life Sciences /Medicine and Healthcare")+($AP961="Paramedical")+($AP961="Architecture")+($AP961="Environmental Service")+($AP961="Agriculture, Food Industry and Forestry"))&gt;0,"Science",IF((($AP961="Banking and Finance")+($AP961="Management and Administration")+($AP961="Marketing")+($AP961="Sales")+($AP961="Entrepreneurship")+($AP961="Hospitality and Tourism"))&gt;0,"Commerce",IF((($AP961="Social Sciences and Humanities")+($AP961="Law Studies")+($AP961="Education and Training")+($AP961="Art, Design")+($AP961="Entertainment and Mass Media")+($AP961="Community and Social Service")+($AP961="Personal Care and Services")+($AP961="Government and Public Administration")+($AP961="Defence/ Protective Service")+($AP961="Sports"))&gt;0,"Arts / Humanities",""))))</f>
        <v/>
      </c>
      <c r="BC961" s="5" t="str">
        <f aca="false">IF($AL961="","",IF((($AL961="Engineering and Technology")+($AL961="Science and Mathematics")+($AL961="Computer Science, IT and Allied Fields")+($AL961="Life Sciences /Medicine and Healthcare")+($AL961="Paramedical")+($AL961="Architecture")+($AL961="Environmental Service")+($AL961="Agriculture, Food Industry and Forestry"))&gt;0,"Science",IF((($AL961="Banking and Finance")+($AL961="Management and Administration")+($AL961="Marketing")+($AL961="Sales")+($AL961="Entrepreneurship")+($AL961="Hospitality and Tourism"))&gt;0,"Commerce",IF((($AL961="Social Sciences and Humanities")+($AL961="Law Studies")+($AL961="Education and Training")+($AL961="Art, Design")+($AL961="Entertainment and Mass Media")+($AL961="Community and Social Service")+($AL961="Personal Care and Services")+($AL961="Government and Public Administration")+($AL961="Defence/ Protective Service")+($AL961="Sports"))&gt;0,"Arts / Humanities",""))))</f>
        <v/>
      </c>
      <c r="BD961" s="5" t="str">
        <f aca="false">IF($B961="","",--(F961&gt;=10)+--(G961&gt;=10)+--(H961&gt;=10)+--(I961&gt;=10)+--(J961&gt;=10)+--(K961&gt;=10)+--(L961&gt;=10)+--(M961&gt;=10)+--(N961&gt;=10)+--(O961&gt;=10))</f>
        <v/>
      </c>
      <c r="BE961" s="5" t="str">
        <f aca="false">IF($B961="","",--(AND(F961&lt;&gt;"",F961&lt;=8))+--(AND(G961&lt;&gt;"",G961&lt;=8))+--(AND(H961&lt;&gt;"",H961&lt;=8))+--(AND(I961&lt;&gt;"",I961&lt;=8))+--(AND(J961&lt;&gt;"",J961&lt;=8))+--(AND(K961&lt;&gt;"",K961&lt;=8))+--(AND(L961&lt;&gt;"",L961&lt;=8))+--(AND(M961&lt;&gt;"",M961&lt;=8))+--(AND(N961&lt;&gt;"",N961&lt;=8))+--(AND(O961&lt;&gt;"",O961&lt;=8)))</f>
        <v/>
      </c>
    </row>
    <row r="962" customFormat="false" ht="15" hidden="false" customHeight="false" outlineLevel="0" collapsed="false">
      <c r="AZ962" s="5" t="str">
        <f aca="false">IF($B962="","",SUMPRODUCT(($AL962:$AO962&lt;&gt;"")*(COUNTIF($AP962:$AX962,$AL962:$AO962)&gt;0)))</f>
        <v/>
      </c>
      <c r="BA962" s="5" t="str">
        <f aca="false">IF($B962="","",IF(AZ962&gt;0,1,0))</f>
        <v/>
      </c>
      <c r="BB962" s="5" t="str">
        <f aca="false">IF($AP962="","",IF((($AP962="Engineering and Technology")+($AP962="Science and Mathematics")+($AP962="Computer Science, IT and Allied Fields")+($AP962="Life Sciences /Medicine and Healthcare")+($AP962="Paramedical")+($AP962="Architecture")+($AP962="Environmental Service")+($AP962="Agriculture, Food Industry and Forestry"))&gt;0,"Science",IF((($AP962="Banking and Finance")+($AP962="Management and Administration")+($AP962="Marketing")+($AP962="Sales")+($AP962="Entrepreneurship")+($AP962="Hospitality and Tourism"))&gt;0,"Commerce",IF((($AP962="Social Sciences and Humanities")+($AP962="Law Studies")+($AP962="Education and Training")+($AP962="Art, Design")+($AP962="Entertainment and Mass Media")+($AP962="Community and Social Service")+($AP962="Personal Care and Services")+($AP962="Government and Public Administration")+($AP962="Defence/ Protective Service")+($AP962="Sports"))&gt;0,"Arts / Humanities",""))))</f>
        <v/>
      </c>
      <c r="BC962" s="5" t="str">
        <f aca="false">IF($AL962="","",IF((($AL962="Engineering and Technology")+($AL962="Science and Mathematics")+($AL962="Computer Science, IT and Allied Fields")+($AL962="Life Sciences /Medicine and Healthcare")+($AL962="Paramedical")+($AL962="Architecture")+($AL962="Environmental Service")+($AL962="Agriculture, Food Industry and Forestry"))&gt;0,"Science",IF((($AL962="Banking and Finance")+($AL962="Management and Administration")+($AL962="Marketing")+($AL962="Sales")+($AL962="Entrepreneurship")+($AL962="Hospitality and Tourism"))&gt;0,"Commerce",IF((($AL962="Social Sciences and Humanities")+($AL962="Law Studies")+($AL962="Education and Training")+($AL962="Art, Design")+($AL962="Entertainment and Mass Media")+($AL962="Community and Social Service")+($AL962="Personal Care and Services")+($AL962="Government and Public Administration")+($AL962="Defence/ Protective Service")+($AL962="Sports"))&gt;0,"Arts / Humanities",""))))</f>
        <v/>
      </c>
      <c r="BD962" s="5" t="str">
        <f aca="false">IF($B962="","",--(F962&gt;=10)+--(G962&gt;=10)+--(H962&gt;=10)+--(I962&gt;=10)+--(J962&gt;=10)+--(K962&gt;=10)+--(L962&gt;=10)+--(M962&gt;=10)+--(N962&gt;=10)+--(O962&gt;=10))</f>
        <v/>
      </c>
      <c r="BE962" s="5" t="str">
        <f aca="false">IF($B962="","",--(AND(F962&lt;&gt;"",F962&lt;=8))+--(AND(G962&lt;&gt;"",G962&lt;=8))+--(AND(H962&lt;&gt;"",H962&lt;=8))+--(AND(I962&lt;&gt;"",I962&lt;=8))+--(AND(J962&lt;&gt;"",J962&lt;=8))+--(AND(K962&lt;&gt;"",K962&lt;=8))+--(AND(L962&lt;&gt;"",L962&lt;=8))+--(AND(M962&lt;&gt;"",M962&lt;=8))+--(AND(N962&lt;&gt;"",N962&lt;=8))+--(AND(O962&lt;&gt;"",O962&lt;=8)))</f>
        <v/>
      </c>
    </row>
    <row r="963" customFormat="false" ht="15" hidden="false" customHeight="false" outlineLevel="0" collapsed="false">
      <c r="AZ963" s="5" t="str">
        <f aca="false">IF($B963="","",SUMPRODUCT(($AL963:$AO963&lt;&gt;"")*(COUNTIF($AP963:$AX963,$AL963:$AO963)&gt;0)))</f>
        <v/>
      </c>
      <c r="BA963" s="5" t="str">
        <f aca="false">IF($B963="","",IF(AZ963&gt;0,1,0))</f>
        <v/>
      </c>
      <c r="BB963" s="5" t="str">
        <f aca="false">IF($AP963="","",IF((($AP963="Engineering and Technology")+($AP963="Science and Mathematics")+($AP963="Computer Science, IT and Allied Fields")+($AP963="Life Sciences /Medicine and Healthcare")+($AP963="Paramedical")+($AP963="Architecture")+($AP963="Environmental Service")+($AP963="Agriculture, Food Industry and Forestry"))&gt;0,"Science",IF((($AP963="Banking and Finance")+($AP963="Management and Administration")+($AP963="Marketing")+($AP963="Sales")+($AP963="Entrepreneurship")+($AP963="Hospitality and Tourism"))&gt;0,"Commerce",IF((($AP963="Social Sciences and Humanities")+($AP963="Law Studies")+($AP963="Education and Training")+($AP963="Art, Design")+($AP963="Entertainment and Mass Media")+($AP963="Community and Social Service")+($AP963="Personal Care and Services")+($AP963="Government and Public Administration")+($AP963="Defence/ Protective Service")+($AP963="Sports"))&gt;0,"Arts / Humanities",""))))</f>
        <v/>
      </c>
      <c r="BC963" s="5" t="str">
        <f aca="false">IF($AL963="","",IF((($AL963="Engineering and Technology")+($AL963="Science and Mathematics")+($AL963="Computer Science, IT and Allied Fields")+($AL963="Life Sciences /Medicine and Healthcare")+($AL963="Paramedical")+($AL963="Architecture")+($AL963="Environmental Service")+($AL963="Agriculture, Food Industry and Forestry"))&gt;0,"Science",IF((($AL963="Banking and Finance")+($AL963="Management and Administration")+($AL963="Marketing")+($AL963="Sales")+($AL963="Entrepreneurship")+($AL963="Hospitality and Tourism"))&gt;0,"Commerce",IF((($AL963="Social Sciences and Humanities")+($AL963="Law Studies")+($AL963="Education and Training")+($AL963="Art, Design")+($AL963="Entertainment and Mass Media")+($AL963="Community and Social Service")+($AL963="Personal Care and Services")+($AL963="Government and Public Administration")+($AL963="Defence/ Protective Service")+($AL963="Sports"))&gt;0,"Arts / Humanities",""))))</f>
        <v/>
      </c>
      <c r="BD963" s="5" t="str">
        <f aca="false">IF($B963="","",--(F963&gt;=10)+--(G963&gt;=10)+--(H963&gt;=10)+--(I963&gt;=10)+--(J963&gt;=10)+--(K963&gt;=10)+--(L963&gt;=10)+--(M963&gt;=10)+--(N963&gt;=10)+--(O963&gt;=10))</f>
        <v/>
      </c>
      <c r="BE963" s="5" t="str">
        <f aca="false">IF($B963="","",--(AND(F963&lt;&gt;"",F963&lt;=8))+--(AND(G963&lt;&gt;"",G963&lt;=8))+--(AND(H963&lt;&gt;"",H963&lt;=8))+--(AND(I963&lt;&gt;"",I963&lt;=8))+--(AND(J963&lt;&gt;"",J963&lt;=8))+--(AND(K963&lt;&gt;"",K963&lt;=8))+--(AND(L963&lt;&gt;"",L963&lt;=8))+--(AND(M963&lt;&gt;"",M963&lt;=8))+--(AND(N963&lt;&gt;"",N963&lt;=8))+--(AND(O963&lt;&gt;"",O963&lt;=8)))</f>
        <v/>
      </c>
    </row>
    <row r="964" customFormat="false" ht="15" hidden="false" customHeight="false" outlineLevel="0" collapsed="false">
      <c r="AZ964" s="5" t="str">
        <f aca="false">IF($B964="","",SUMPRODUCT(($AL964:$AO964&lt;&gt;"")*(COUNTIF($AP964:$AX964,$AL964:$AO964)&gt;0)))</f>
        <v/>
      </c>
      <c r="BA964" s="5" t="str">
        <f aca="false">IF($B964="","",IF(AZ964&gt;0,1,0))</f>
        <v/>
      </c>
      <c r="BB964" s="5" t="str">
        <f aca="false">IF($AP964="","",IF((($AP964="Engineering and Technology")+($AP964="Science and Mathematics")+($AP964="Computer Science, IT and Allied Fields")+($AP964="Life Sciences /Medicine and Healthcare")+($AP964="Paramedical")+($AP964="Architecture")+($AP964="Environmental Service")+($AP964="Agriculture, Food Industry and Forestry"))&gt;0,"Science",IF((($AP964="Banking and Finance")+($AP964="Management and Administration")+($AP964="Marketing")+($AP964="Sales")+($AP964="Entrepreneurship")+($AP964="Hospitality and Tourism"))&gt;0,"Commerce",IF((($AP964="Social Sciences and Humanities")+($AP964="Law Studies")+($AP964="Education and Training")+($AP964="Art, Design")+($AP964="Entertainment and Mass Media")+($AP964="Community and Social Service")+($AP964="Personal Care and Services")+($AP964="Government and Public Administration")+($AP964="Defence/ Protective Service")+($AP964="Sports"))&gt;0,"Arts / Humanities",""))))</f>
        <v/>
      </c>
      <c r="BC964" s="5" t="str">
        <f aca="false">IF($AL964="","",IF((($AL964="Engineering and Technology")+($AL964="Science and Mathematics")+($AL964="Computer Science, IT and Allied Fields")+($AL964="Life Sciences /Medicine and Healthcare")+($AL964="Paramedical")+($AL964="Architecture")+($AL964="Environmental Service")+($AL964="Agriculture, Food Industry and Forestry"))&gt;0,"Science",IF((($AL964="Banking and Finance")+($AL964="Management and Administration")+($AL964="Marketing")+($AL964="Sales")+($AL964="Entrepreneurship")+($AL964="Hospitality and Tourism"))&gt;0,"Commerce",IF((($AL964="Social Sciences and Humanities")+($AL964="Law Studies")+($AL964="Education and Training")+($AL964="Art, Design")+($AL964="Entertainment and Mass Media")+($AL964="Community and Social Service")+($AL964="Personal Care and Services")+($AL964="Government and Public Administration")+($AL964="Defence/ Protective Service")+($AL964="Sports"))&gt;0,"Arts / Humanities",""))))</f>
        <v/>
      </c>
      <c r="BD964" s="5" t="str">
        <f aca="false">IF($B964="","",--(F964&gt;=10)+--(G964&gt;=10)+--(H964&gt;=10)+--(I964&gt;=10)+--(J964&gt;=10)+--(K964&gt;=10)+--(L964&gt;=10)+--(M964&gt;=10)+--(N964&gt;=10)+--(O964&gt;=10))</f>
        <v/>
      </c>
      <c r="BE964" s="5" t="str">
        <f aca="false">IF($B964="","",--(AND(F964&lt;&gt;"",F964&lt;=8))+--(AND(G964&lt;&gt;"",G964&lt;=8))+--(AND(H964&lt;&gt;"",H964&lt;=8))+--(AND(I964&lt;&gt;"",I964&lt;=8))+--(AND(J964&lt;&gt;"",J964&lt;=8))+--(AND(K964&lt;&gt;"",K964&lt;=8))+--(AND(L964&lt;&gt;"",L964&lt;=8))+--(AND(M964&lt;&gt;"",M964&lt;=8))+--(AND(N964&lt;&gt;"",N964&lt;=8))+--(AND(O964&lt;&gt;"",O964&lt;=8)))</f>
        <v/>
      </c>
    </row>
    <row r="965" customFormat="false" ht="15" hidden="false" customHeight="false" outlineLevel="0" collapsed="false">
      <c r="AZ965" s="5" t="str">
        <f aca="false">IF($B965="","",SUMPRODUCT(($AL965:$AO965&lt;&gt;"")*(COUNTIF($AP965:$AX965,$AL965:$AO965)&gt;0)))</f>
        <v/>
      </c>
      <c r="BA965" s="5" t="str">
        <f aca="false">IF($B965="","",IF(AZ965&gt;0,1,0))</f>
        <v/>
      </c>
      <c r="BB965" s="5" t="str">
        <f aca="false">IF($AP965="","",IF((($AP965="Engineering and Technology")+($AP965="Science and Mathematics")+($AP965="Computer Science, IT and Allied Fields")+($AP965="Life Sciences /Medicine and Healthcare")+($AP965="Paramedical")+($AP965="Architecture")+($AP965="Environmental Service")+($AP965="Agriculture, Food Industry and Forestry"))&gt;0,"Science",IF((($AP965="Banking and Finance")+($AP965="Management and Administration")+($AP965="Marketing")+($AP965="Sales")+($AP965="Entrepreneurship")+($AP965="Hospitality and Tourism"))&gt;0,"Commerce",IF((($AP965="Social Sciences and Humanities")+($AP965="Law Studies")+($AP965="Education and Training")+($AP965="Art, Design")+($AP965="Entertainment and Mass Media")+($AP965="Community and Social Service")+($AP965="Personal Care and Services")+($AP965="Government and Public Administration")+($AP965="Defence/ Protective Service")+($AP965="Sports"))&gt;0,"Arts / Humanities",""))))</f>
        <v/>
      </c>
      <c r="BC965" s="5" t="str">
        <f aca="false">IF($AL965="","",IF((($AL965="Engineering and Technology")+($AL965="Science and Mathematics")+($AL965="Computer Science, IT and Allied Fields")+($AL965="Life Sciences /Medicine and Healthcare")+($AL965="Paramedical")+($AL965="Architecture")+($AL965="Environmental Service")+($AL965="Agriculture, Food Industry and Forestry"))&gt;0,"Science",IF((($AL965="Banking and Finance")+($AL965="Management and Administration")+($AL965="Marketing")+($AL965="Sales")+($AL965="Entrepreneurship")+($AL965="Hospitality and Tourism"))&gt;0,"Commerce",IF((($AL965="Social Sciences and Humanities")+($AL965="Law Studies")+($AL965="Education and Training")+($AL965="Art, Design")+($AL965="Entertainment and Mass Media")+($AL965="Community and Social Service")+($AL965="Personal Care and Services")+($AL965="Government and Public Administration")+($AL965="Defence/ Protective Service")+($AL965="Sports"))&gt;0,"Arts / Humanities",""))))</f>
        <v/>
      </c>
      <c r="BD965" s="5" t="str">
        <f aca="false">IF($B965="","",--(F965&gt;=10)+--(G965&gt;=10)+--(H965&gt;=10)+--(I965&gt;=10)+--(J965&gt;=10)+--(K965&gt;=10)+--(L965&gt;=10)+--(M965&gt;=10)+--(N965&gt;=10)+--(O965&gt;=10))</f>
        <v/>
      </c>
      <c r="BE965" s="5" t="str">
        <f aca="false">IF($B965="","",--(AND(F965&lt;&gt;"",F965&lt;=8))+--(AND(G965&lt;&gt;"",G965&lt;=8))+--(AND(H965&lt;&gt;"",H965&lt;=8))+--(AND(I965&lt;&gt;"",I965&lt;=8))+--(AND(J965&lt;&gt;"",J965&lt;=8))+--(AND(K965&lt;&gt;"",K965&lt;=8))+--(AND(L965&lt;&gt;"",L965&lt;=8))+--(AND(M965&lt;&gt;"",M965&lt;=8))+--(AND(N965&lt;&gt;"",N965&lt;=8))+--(AND(O965&lt;&gt;"",O965&lt;=8)))</f>
        <v/>
      </c>
    </row>
    <row r="966" customFormat="false" ht="15" hidden="false" customHeight="false" outlineLevel="0" collapsed="false">
      <c r="AZ966" s="5" t="str">
        <f aca="false">IF($B966="","",SUMPRODUCT(($AL966:$AO966&lt;&gt;"")*(COUNTIF($AP966:$AX966,$AL966:$AO966)&gt;0)))</f>
        <v/>
      </c>
      <c r="BA966" s="5" t="str">
        <f aca="false">IF($B966="","",IF(AZ966&gt;0,1,0))</f>
        <v/>
      </c>
      <c r="BB966" s="5" t="str">
        <f aca="false">IF($AP966="","",IF((($AP966="Engineering and Technology")+($AP966="Science and Mathematics")+($AP966="Computer Science, IT and Allied Fields")+($AP966="Life Sciences /Medicine and Healthcare")+($AP966="Paramedical")+($AP966="Architecture")+($AP966="Environmental Service")+($AP966="Agriculture, Food Industry and Forestry"))&gt;0,"Science",IF((($AP966="Banking and Finance")+($AP966="Management and Administration")+($AP966="Marketing")+($AP966="Sales")+($AP966="Entrepreneurship")+($AP966="Hospitality and Tourism"))&gt;0,"Commerce",IF((($AP966="Social Sciences and Humanities")+($AP966="Law Studies")+($AP966="Education and Training")+($AP966="Art, Design")+($AP966="Entertainment and Mass Media")+($AP966="Community and Social Service")+($AP966="Personal Care and Services")+($AP966="Government and Public Administration")+($AP966="Defence/ Protective Service")+($AP966="Sports"))&gt;0,"Arts / Humanities",""))))</f>
        <v/>
      </c>
      <c r="BC966" s="5" t="str">
        <f aca="false">IF($AL966="","",IF((($AL966="Engineering and Technology")+($AL966="Science and Mathematics")+($AL966="Computer Science, IT and Allied Fields")+($AL966="Life Sciences /Medicine and Healthcare")+($AL966="Paramedical")+($AL966="Architecture")+($AL966="Environmental Service")+($AL966="Agriculture, Food Industry and Forestry"))&gt;0,"Science",IF((($AL966="Banking and Finance")+($AL966="Management and Administration")+($AL966="Marketing")+($AL966="Sales")+($AL966="Entrepreneurship")+($AL966="Hospitality and Tourism"))&gt;0,"Commerce",IF((($AL966="Social Sciences and Humanities")+($AL966="Law Studies")+($AL966="Education and Training")+($AL966="Art, Design")+($AL966="Entertainment and Mass Media")+($AL966="Community and Social Service")+($AL966="Personal Care and Services")+($AL966="Government and Public Administration")+($AL966="Defence/ Protective Service")+($AL966="Sports"))&gt;0,"Arts / Humanities",""))))</f>
        <v/>
      </c>
      <c r="BD966" s="5" t="str">
        <f aca="false">IF($B966="","",--(F966&gt;=10)+--(G966&gt;=10)+--(H966&gt;=10)+--(I966&gt;=10)+--(J966&gt;=10)+--(K966&gt;=10)+--(L966&gt;=10)+--(M966&gt;=10)+--(N966&gt;=10)+--(O966&gt;=10))</f>
        <v/>
      </c>
      <c r="BE966" s="5" t="str">
        <f aca="false">IF($B966="","",--(AND(F966&lt;&gt;"",F966&lt;=8))+--(AND(G966&lt;&gt;"",G966&lt;=8))+--(AND(H966&lt;&gt;"",H966&lt;=8))+--(AND(I966&lt;&gt;"",I966&lt;=8))+--(AND(J966&lt;&gt;"",J966&lt;=8))+--(AND(K966&lt;&gt;"",K966&lt;=8))+--(AND(L966&lt;&gt;"",L966&lt;=8))+--(AND(M966&lt;&gt;"",M966&lt;=8))+--(AND(N966&lt;&gt;"",N966&lt;=8))+--(AND(O966&lt;&gt;"",O966&lt;=8)))</f>
        <v/>
      </c>
    </row>
    <row r="967" customFormat="false" ht="15" hidden="false" customHeight="false" outlineLevel="0" collapsed="false">
      <c r="AZ967" s="5" t="str">
        <f aca="false">IF($B967="","",SUMPRODUCT(($AL967:$AO967&lt;&gt;"")*(COUNTIF($AP967:$AX967,$AL967:$AO967)&gt;0)))</f>
        <v/>
      </c>
      <c r="BA967" s="5" t="str">
        <f aca="false">IF($B967="","",IF(AZ967&gt;0,1,0))</f>
        <v/>
      </c>
      <c r="BB967" s="5" t="str">
        <f aca="false">IF($AP967="","",IF((($AP967="Engineering and Technology")+($AP967="Science and Mathematics")+($AP967="Computer Science, IT and Allied Fields")+($AP967="Life Sciences /Medicine and Healthcare")+($AP967="Paramedical")+($AP967="Architecture")+($AP967="Environmental Service")+($AP967="Agriculture, Food Industry and Forestry"))&gt;0,"Science",IF((($AP967="Banking and Finance")+($AP967="Management and Administration")+($AP967="Marketing")+($AP967="Sales")+($AP967="Entrepreneurship")+($AP967="Hospitality and Tourism"))&gt;0,"Commerce",IF((($AP967="Social Sciences and Humanities")+($AP967="Law Studies")+($AP967="Education and Training")+($AP967="Art, Design")+($AP967="Entertainment and Mass Media")+($AP967="Community and Social Service")+($AP967="Personal Care and Services")+($AP967="Government and Public Administration")+($AP967="Defence/ Protective Service")+($AP967="Sports"))&gt;0,"Arts / Humanities",""))))</f>
        <v/>
      </c>
      <c r="BC967" s="5" t="str">
        <f aca="false">IF($AL967="","",IF((($AL967="Engineering and Technology")+($AL967="Science and Mathematics")+($AL967="Computer Science, IT and Allied Fields")+($AL967="Life Sciences /Medicine and Healthcare")+($AL967="Paramedical")+($AL967="Architecture")+($AL967="Environmental Service")+($AL967="Agriculture, Food Industry and Forestry"))&gt;0,"Science",IF((($AL967="Banking and Finance")+($AL967="Management and Administration")+($AL967="Marketing")+($AL967="Sales")+($AL967="Entrepreneurship")+($AL967="Hospitality and Tourism"))&gt;0,"Commerce",IF((($AL967="Social Sciences and Humanities")+($AL967="Law Studies")+($AL967="Education and Training")+($AL967="Art, Design")+($AL967="Entertainment and Mass Media")+($AL967="Community and Social Service")+($AL967="Personal Care and Services")+($AL967="Government and Public Administration")+($AL967="Defence/ Protective Service")+($AL967="Sports"))&gt;0,"Arts / Humanities",""))))</f>
        <v/>
      </c>
      <c r="BD967" s="5" t="str">
        <f aca="false">IF($B967="","",--(F967&gt;=10)+--(G967&gt;=10)+--(H967&gt;=10)+--(I967&gt;=10)+--(J967&gt;=10)+--(K967&gt;=10)+--(L967&gt;=10)+--(M967&gt;=10)+--(N967&gt;=10)+--(O967&gt;=10))</f>
        <v/>
      </c>
      <c r="BE967" s="5" t="str">
        <f aca="false">IF($B967="","",--(AND(F967&lt;&gt;"",F967&lt;=8))+--(AND(G967&lt;&gt;"",G967&lt;=8))+--(AND(H967&lt;&gt;"",H967&lt;=8))+--(AND(I967&lt;&gt;"",I967&lt;=8))+--(AND(J967&lt;&gt;"",J967&lt;=8))+--(AND(K967&lt;&gt;"",K967&lt;=8))+--(AND(L967&lt;&gt;"",L967&lt;=8))+--(AND(M967&lt;&gt;"",M967&lt;=8))+--(AND(N967&lt;&gt;"",N967&lt;=8))+--(AND(O967&lt;&gt;"",O967&lt;=8)))</f>
        <v/>
      </c>
    </row>
    <row r="968" customFormat="false" ht="15" hidden="false" customHeight="false" outlineLevel="0" collapsed="false">
      <c r="AZ968" s="5" t="str">
        <f aca="false">IF($B968="","",SUMPRODUCT(($AL968:$AO968&lt;&gt;"")*(COUNTIF($AP968:$AX968,$AL968:$AO968)&gt;0)))</f>
        <v/>
      </c>
      <c r="BA968" s="5" t="str">
        <f aca="false">IF($B968="","",IF(AZ968&gt;0,1,0))</f>
        <v/>
      </c>
      <c r="BB968" s="5" t="str">
        <f aca="false">IF($AP968="","",IF((($AP968="Engineering and Technology")+($AP968="Science and Mathematics")+($AP968="Computer Science, IT and Allied Fields")+($AP968="Life Sciences /Medicine and Healthcare")+($AP968="Paramedical")+($AP968="Architecture")+($AP968="Environmental Service")+($AP968="Agriculture, Food Industry and Forestry"))&gt;0,"Science",IF((($AP968="Banking and Finance")+($AP968="Management and Administration")+($AP968="Marketing")+($AP968="Sales")+($AP968="Entrepreneurship")+($AP968="Hospitality and Tourism"))&gt;0,"Commerce",IF((($AP968="Social Sciences and Humanities")+($AP968="Law Studies")+($AP968="Education and Training")+($AP968="Art, Design")+($AP968="Entertainment and Mass Media")+($AP968="Community and Social Service")+($AP968="Personal Care and Services")+($AP968="Government and Public Administration")+($AP968="Defence/ Protective Service")+($AP968="Sports"))&gt;0,"Arts / Humanities",""))))</f>
        <v/>
      </c>
      <c r="BC968" s="5" t="str">
        <f aca="false">IF($AL968="","",IF((($AL968="Engineering and Technology")+($AL968="Science and Mathematics")+($AL968="Computer Science, IT and Allied Fields")+($AL968="Life Sciences /Medicine and Healthcare")+($AL968="Paramedical")+($AL968="Architecture")+($AL968="Environmental Service")+($AL968="Agriculture, Food Industry and Forestry"))&gt;0,"Science",IF((($AL968="Banking and Finance")+($AL968="Management and Administration")+($AL968="Marketing")+($AL968="Sales")+($AL968="Entrepreneurship")+($AL968="Hospitality and Tourism"))&gt;0,"Commerce",IF((($AL968="Social Sciences and Humanities")+($AL968="Law Studies")+($AL968="Education and Training")+($AL968="Art, Design")+($AL968="Entertainment and Mass Media")+($AL968="Community and Social Service")+($AL968="Personal Care and Services")+($AL968="Government and Public Administration")+($AL968="Defence/ Protective Service")+($AL968="Sports"))&gt;0,"Arts / Humanities",""))))</f>
        <v/>
      </c>
      <c r="BD968" s="5" t="str">
        <f aca="false">IF($B968="","",--(F968&gt;=10)+--(G968&gt;=10)+--(H968&gt;=10)+--(I968&gt;=10)+--(J968&gt;=10)+--(K968&gt;=10)+--(L968&gt;=10)+--(M968&gt;=10)+--(N968&gt;=10)+--(O968&gt;=10))</f>
        <v/>
      </c>
      <c r="BE968" s="5" t="str">
        <f aca="false">IF($B968="","",--(AND(F968&lt;&gt;"",F968&lt;=8))+--(AND(G968&lt;&gt;"",G968&lt;=8))+--(AND(H968&lt;&gt;"",H968&lt;=8))+--(AND(I968&lt;&gt;"",I968&lt;=8))+--(AND(J968&lt;&gt;"",J968&lt;=8))+--(AND(K968&lt;&gt;"",K968&lt;=8))+--(AND(L968&lt;&gt;"",L968&lt;=8))+--(AND(M968&lt;&gt;"",M968&lt;=8))+--(AND(N968&lt;&gt;"",N968&lt;=8))+--(AND(O968&lt;&gt;"",O968&lt;=8)))</f>
        <v/>
      </c>
    </row>
    <row r="969" customFormat="false" ht="15" hidden="false" customHeight="false" outlineLevel="0" collapsed="false">
      <c r="AZ969" s="5" t="str">
        <f aca="false">IF($B969="","",SUMPRODUCT(($AL969:$AO969&lt;&gt;"")*(COUNTIF($AP969:$AX969,$AL969:$AO969)&gt;0)))</f>
        <v/>
      </c>
      <c r="BA969" s="5" t="str">
        <f aca="false">IF($B969="","",IF(AZ969&gt;0,1,0))</f>
        <v/>
      </c>
      <c r="BB969" s="5" t="str">
        <f aca="false">IF($AP969="","",IF((($AP969="Engineering and Technology")+($AP969="Science and Mathematics")+($AP969="Computer Science, IT and Allied Fields")+($AP969="Life Sciences /Medicine and Healthcare")+($AP969="Paramedical")+($AP969="Architecture")+($AP969="Environmental Service")+($AP969="Agriculture, Food Industry and Forestry"))&gt;0,"Science",IF((($AP969="Banking and Finance")+($AP969="Management and Administration")+($AP969="Marketing")+($AP969="Sales")+($AP969="Entrepreneurship")+($AP969="Hospitality and Tourism"))&gt;0,"Commerce",IF((($AP969="Social Sciences and Humanities")+($AP969="Law Studies")+($AP969="Education and Training")+($AP969="Art, Design")+($AP969="Entertainment and Mass Media")+($AP969="Community and Social Service")+($AP969="Personal Care and Services")+($AP969="Government and Public Administration")+($AP969="Defence/ Protective Service")+($AP969="Sports"))&gt;0,"Arts / Humanities",""))))</f>
        <v/>
      </c>
      <c r="BC969" s="5" t="str">
        <f aca="false">IF($AL969="","",IF((($AL969="Engineering and Technology")+($AL969="Science and Mathematics")+($AL969="Computer Science, IT and Allied Fields")+($AL969="Life Sciences /Medicine and Healthcare")+($AL969="Paramedical")+($AL969="Architecture")+($AL969="Environmental Service")+($AL969="Agriculture, Food Industry and Forestry"))&gt;0,"Science",IF((($AL969="Banking and Finance")+($AL969="Management and Administration")+($AL969="Marketing")+($AL969="Sales")+($AL969="Entrepreneurship")+($AL969="Hospitality and Tourism"))&gt;0,"Commerce",IF((($AL969="Social Sciences and Humanities")+($AL969="Law Studies")+($AL969="Education and Training")+($AL969="Art, Design")+($AL969="Entertainment and Mass Media")+($AL969="Community and Social Service")+($AL969="Personal Care and Services")+($AL969="Government and Public Administration")+($AL969="Defence/ Protective Service")+($AL969="Sports"))&gt;0,"Arts / Humanities",""))))</f>
        <v/>
      </c>
      <c r="BD969" s="5" t="str">
        <f aca="false">IF($B969="","",--(F969&gt;=10)+--(G969&gt;=10)+--(H969&gt;=10)+--(I969&gt;=10)+--(J969&gt;=10)+--(K969&gt;=10)+--(L969&gt;=10)+--(M969&gt;=10)+--(N969&gt;=10)+--(O969&gt;=10))</f>
        <v/>
      </c>
      <c r="BE969" s="5" t="str">
        <f aca="false">IF($B969="","",--(AND(F969&lt;&gt;"",F969&lt;=8))+--(AND(G969&lt;&gt;"",G969&lt;=8))+--(AND(H969&lt;&gt;"",H969&lt;=8))+--(AND(I969&lt;&gt;"",I969&lt;=8))+--(AND(J969&lt;&gt;"",J969&lt;=8))+--(AND(K969&lt;&gt;"",K969&lt;=8))+--(AND(L969&lt;&gt;"",L969&lt;=8))+--(AND(M969&lt;&gt;"",M969&lt;=8))+--(AND(N969&lt;&gt;"",N969&lt;=8))+--(AND(O969&lt;&gt;"",O969&lt;=8)))</f>
        <v/>
      </c>
    </row>
    <row r="970" customFormat="false" ht="15" hidden="false" customHeight="false" outlineLevel="0" collapsed="false">
      <c r="AZ970" s="5" t="str">
        <f aca="false">IF($B970="","",SUMPRODUCT(($AL970:$AO970&lt;&gt;"")*(COUNTIF($AP970:$AX970,$AL970:$AO970)&gt;0)))</f>
        <v/>
      </c>
      <c r="BA970" s="5" t="str">
        <f aca="false">IF($B970="","",IF(AZ970&gt;0,1,0))</f>
        <v/>
      </c>
      <c r="BB970" s="5" t="str">
        <f aca="false">IF($AP970="","",IF((($AP970="Engineering and Technology")+($AP970="Science and Mathematics")+($AP970="Computer Science, IT and Allied Fields")+($AP970="Life Sciences /Medicine and Healthcare")+($AP970="Paramedical")+($AP970="Architecture")+($AP970="Environmental Service")+($AP970="Agriculture, Food Industry and Forestry"))&gt;0,"Science",IF((($AP970="Banking and Finance")+($AP970="Management and Administration")+($AP970="Marketing")+($AP970="Sales")+($AP970="Entrepreneurship")+($AP970="Hospitality and Tourism"))&gt;0,"Commerce",IF((($AP970="Social Sciences and Humanities")+($AP970="Law Studies")+($AP970="Education and Training")+($AP970="Art, Design")+($AP970="Entertainment and Mass Media")+($AP970="Community and Social Service")+($AP970="Personal Care and Services")+($AP970="Government and Public Administration")+($AP970="Defence/ Protective Service")+($AP970="Sports"))&gt;0,"Arts / Humanities",""))))</f>
        <v/>
      </c>
      <c r="BC970" s="5" t="str">
        <f aca="false">IF($AL970="","",IF((($AL970="Engineering and Technology")+($AL970="Science and Mathematics")+($AL970="Computer Science, IT and Allied Fields")+($AL970="Life Sciences /Medicine and Healthcare")+($AL970="Paramedical")+($AL970="Architecture")+($AL970="Environmental Service")+($AL970="Agriculture, Food Industry and Forestry"))&gt;0,"Science",IF((($AL970="Banking and Finance")+($AL970="Management and Administration")+($AL970="Marketing")+($AL970="Sales")+($AL970="Entrepreneurship")+($AL970="Hospitality and Tourism"))&gt;0,"Commerce",IF((($AL970="Social Sciences and Humanities")+($AL970="Law Studies")+($AL970="Education and Training")+($AL970="Art, Design")+($AL970="Entertainment and Mass Media")+($AL970="Community and Social Service")+($AL970="Personal Care and Services")+($AL970="Government and Public Administration")+($AL970="Defence/ Protective Service")+($AL970="Sports"))&gt;0,"Arts / Humanities",""))))</f>
        <v/>
      </c>
      <c r="BD970" s="5" t="str">
        <f aca="false">IF($B970="","",--(F970&gt;=10)+--(G970&gt;=10)+--(H970&gt;=10)+--(I970&gt;=10)+--(J970&gt;=10)+--(K970&gt;=10)+--(L970&gt;=10)+--(M970&gt;=10)+--(N970&gt;=10)+--(O970&gt;=10))</f>
        <v/>
      </c>
      <c r="BE970" s="5" t="str">
        <f aca="false">IF($B970="","",--(AND(F970&lt;&gt;"",F970&lt;=8))+--(AND(G970&lt;&gt;"",G970&lt;=8))+--(AND(H970&lt;&gt;"",H970&lt;=8))+--(AND(I970&lt;&gt;"",I970&lt;=8))+--(AND(J970&lt;&gt;"",J970&lt;=8))+--(AND(K970&lt;&gt;"",K970&lt;=8))+--(AND(L970&lt;&gt;"",L970&lt;=8))+--(AND(M970&lt;&gt;"",M970&lt;=8))+--(AND(N970&lt;&gt;"",N970&lt;=8))+--(AND(O970&lt;&gt;"",O970&lt;=8)))</f>
        <v/>
      </c>
    </row>
    <row r="971" customFormat="false" ht="15" hidden="false" customHeight="false" outlineLevel="0" collapsed="false">
      <c r="AZ971" s="5" t="str">
        <f aca="false">IF($B971="","",SUMPRODUCT(($AL971:$AO971&lt;&gt;"")*(COUNTIF($AP971:$AX971,$AL971:$AO971)&gt;0)))</f>
        <v/>
      </c>
      <c r="BA971" s="5" t="str">
        <f aca="false">IF($B971="","",IF(AZ971&gt;0,1,0))</f>
        <v/>
      </c>
      <c r="BB971" s="5" t="str">
        <f aca="false">IF($AP971="","",IF((($AP971="Engineering and Technology")+($AP971="Science and Mathematics")+($AP971="Computer Science, IT and Allied Fields")+($AP971="Life Sciences /Medicine and Healthcare")+($AP971="Paramedical")+($AP971="Architecture")+($AP971="Environmental Service")+($AP971="Agriculture, Food Industry and Forestry"))&gt;0,"Science",IF((($AP971="Banking and Finance")+($AP971="Management and Administration")+($AP971="Marketing")+($AP971="Sales")+($AP971="Entrepreneurship")+($AP971="Hospitality and Tourism"))&gt;0,"Commerce",IF((($AP971="Social Sciences and Humanities")+($AP971="Law Studies")+($AP971="Education and Training")+($AP971="Art, Design")+($AP971="Entertainment and Mass Media")+($AP971="Community and Social Service")+($AP971="Personal Care and Services")+($AP971="Government and Public Administration")+($AP971="Defence/ Protective Service")+($AP971="Sports"))&gt;0,"Arts / Humanities",""))))</f>
        <v/>
      </c>
      <c r="BC971" s="5" t="str">
        <f aca="false">IF($AL971="","",IF((($AL971="Engineering and Technology")+($AL971="Science and Mathematics")+($AL971="Computer Science, IT and Allied Fields")+($AL971="Life Sciences /Medicine and Healthcare")+($AL971="Paramedical")+($AL971="Architecture")+($AL971="Environmental Service")+($AL971="Agriculture, Food Industry and Forestry"))&gt;0,"Science",IF((($AL971="Banking and Finance")+($AL971="Management and Administration")+($AL971="Marketing")+($AL971="Sales")+($AL971="Entrepreneurship")+($AL971="Hospitality and Tourism"))&gt;0,"Commerce",IF((($AL971="Social Sciences and Humanities")+($AL971="Law Studies")+($AL971="Education and Training")+($AL971="Art, Design")+($AL971="Entertainment and Mass Media")+($AL971="Community and Social Service")+($AL971="Personal Care and Services")+($AL971="Government and Public Administration")+($AL971="Defence/ Protective Service")+($AL971="Sports"))&gt;0,"Arts / Humanities",""))))</f>
        <v/>
      </c>
      <c r="BD971" s="5" t="str">
        <f aca="false">IF($B971="","",--(F971&gt;=10)+--(G971&gt;=10)+--(H971&gt;=10)+--(I971&gt;=10)+--(J971&gt;=10)+--(K971&gt;=10)+--(L971&gt;=10)+--(M971&gt;=10)+--(N971&gt;=10)+--(O971&gt;=10))</f>
        <v/>
      </c>
      <c r="BE971" s="5" t="str">
        <f aca="false">IF($B971="","",--(AND(F971&lt;&gt;"",F971&lt;=8))+--(AND(G971&lt;&gt;"",G971&lt;=8))+--(AND(H971&lt;&gt;"",H971&lt;=8))+--(AND(I971&lt;&gt;"",I971&lt;=8))+--(AND(J971&lt;&gt;"",J971&lt;=8))+--(AND(K971&lt;&gt;"",K971&lt;=8))+--(AND(L971&lt;&gt;"",L971&lt;=8))+--(AND(M971&lt;&gt;"",M971&lt;=8))+--(AND(N971&lt;&gt;"",N971&lt;=8))+--(AND(O971&lt;&gt;"",O971&lt;=8)))</f>
        <v/>
      </c>
    </row>
    <row r="972" customFormat="false" ht="15" hidden="false" customHeight="false" outlineLevel="0" collapsed="false">
      <c r="AZ972" s="5" t="str">
        <f aca="false">IF($B972="","",SUMPRODUCT(($AL972:$AO972&lt;&gt;"")*(COUNTIF($AP972:$AX972,$AL972:$AO972)&gt;0)))</f>
        <v/>
      </c>
      <c r="BA972" s="5" t="str">
        <f aca="false">IF($B972="","",IF(AZ972&gt;0,1,0))</f>
        <v/>
      </c>
      <c r="BB972" s="5" t="str">
        <f aca="false">IF($AP972="","",IF((($AP972="Engineering and Technology")+($AP972="Science and Mathematics")+($AP972="Computer Science, IT and Allied Fields")+($AP972="Life Sciences /Medicine and Healthcare")+($AP972="Paramedical")+($AP972="Architecture")+($AP972="Environmental Service")+($AP972="Agriculture, Food Industry and Forestry"))&gt;0,"Science",IF((($AP972="Banking and Finance")+($AP972="Management and Administration")+($AP972="Marketing")+($AP972="Sales")+($AP972="Entrepreneurship")+($AP972="Hospitality and Tourism"))&gt;0,"Commerce",IF((($AP972="Social Sciences and Humanities")+($AP972="Law Studies")+($AP972="Education and Training")+($AP972="Art, Design")+($AP972="Entertainment and Mass Media")+($AP972="Community and Social Service")+($AP972="Personal Care and Services")+($AP972="Government and Public Administration")+($AP972="Defence/ Protective Service")+($AP972="Sports"))&gt;0,"Arts / Humanities",""))))</f>
        <v/>
      </c>
      <c r="BC972" s="5" t="str">
        <f aca="false">IF($AL972="","",IF((($AL972="Engineering and Technology")+($AL972="Science and Mathematics")+($AL972="Computer Science, IT and Allied Fields")+($AL972="Life Sciences /Medicine and Healthcare")+($AL972="Paramedical")+($AL972="Architecture")+($AL972="Environmental Service")+($AL972="Agriculture, Food Industry and Forestry"))&gt;0,"Science",IF((($AL972="Banking and Finance")+($AL972="Management and Administration")+($AL972="Marketing")+($AL972="Sales")+($AL972="Entrepreneurship")+($AL972="Hospitality and Tourism"))&gt;0,"Commerce",IF((($AL972="Social Sciences and Humanities")+($AL972="Law Studies")+($AL972="Education and Training")+($AL972="Art, Design")+($AL972="Entertainment and Mass Media")+($AL972="Community and Social Service")+($AL972="Personal Care and Services")+($AL972="Government and Public Administration")+($AL972="Defence/ Protective Service")+($AL972="Sports"))&gt;0,"Arts / Humanities",""))))</f>
        <v/>
      </c>
      <c r="BD972" s="5" t="str">
        <f aca="false">IF($B972="","",--(F972&gt;=10)+--(G972&gt;=10)+--(H972&gt;=10)+--(I972&gt;=10)+--(J972&gt;=10)+--(K972&gt;=10)+--(L972&gt;=10)+--(M972&gt;=10)+--(N972&gt;=10)+--(O972&gt;=10))</f>
        <v/>
      </c>
      <c r="BE972" s="5" t="str">
        <f aca="false">IF($B972="","",--(AND(F972&lt;&gt;"",F972&lt;=8))+--(AND(G972&lt;&gt;"",G972&lt;=8))+--(AND(H972&lt;&gt;"",H972&lt;=8))+--(AND(I972&lt;&gt;"",I972&lt;=8))+--(AND(J972&lt;&gt;"",J972&lt;=8))+--(AND(K972&lt;&gt;"",K972&lt;=8))+--(AND(L972&lt;&gt;"",L972&lt;=8))+--(AND(M972&lt;&gt;"",M972&lt;=8))+--(AND(N972&lt;&gt;"",N972&lt;=8))+--(AND(O972&lt;&gt;"",O972&lt;=8)))</f>
        <v/>
      </c>
    </row>
    <row r="973" customFormat="false" ht="15" hidden="false" customHeight="false" outlineLevel="0" collapsed="false">
      <c r="AZ973" s="5" t="str">
        <f aca="false">IF($B973="","",SUMPRODUCT(($AL973:$AO973&lt;&gt;"")*(COUNTIF($AP973:$AX973,$AL973:$AO973)&gt;0)))</f>
        <v/>
      </c>
      <c r="BA973" s="5" t="str">
        <f aca="false">IF($B973="","",IF(AZ973&gt;0,1,0))</f>
        <v/>
      </c>
      <c r="BB973" s="5" t="str">
        <f aca="false">IF($AP973="","",IF((($AP973="Engineering and Technology")+($AP973="Science and Mathematics")+($AP973="Computer Science, IT and Allied Fields")+($AP973="Life Sciences /Medicine and Healthcare")+($AP973="Paramedical")+($AP973="Architecture")+($AP973="Environmental Service")+($AP973="Agriculture, Food Industry and Forestry"))&gt;0,"Science",IF((($AP973="Banking and Finance")+($AP973="Management and Administration")+($AP973="Marketing")+($AP973="Sales")+($AP973="Entrepreneurship")+($AP973="Hospitality and Tourism"))&gt;0,"Commerce",IF((($AP973="Social Sciences and Humanities")+($AP973="Law Studies")+($AP973="Education and Training")+($AP973="Art, Design")+($AP973="Entertainment and Mass Media")+($AP973="Community and Social Service")+($AP973="Personal Care and Services")+($AP973="Government and Public Administration")+($AP973="Defence/ Protective Service")+($AP973="Sports"))&gt;0,"Arts / Humanities",""))))</f>
        <v/>
      </c>
      <c r="BC973" s="5" t="str">
        <f aca="false">IF($AL973="","",IF((($AL973="Engineering and Technology")+($AL973="Science and Mathematics")+($AL973="Computer Science, IT and Allied Fields")+($AL973="Life Sciences /Medicine and Healthcare")+($AL973="Paramedical")+($AL973="Architecture")+($AL973="Environmental Service")+($AL973="Agriculture, Food Industry and Forestry"))&gt;0,"Science",IF((($AL973="Banking and Finance")+($AL973="Management and Administration")+($AL973="Marketing")+($AL973="Sales")+($AL973="Entrepreneurship")+($AL973="Hospitality and Tourism"))&gt;0,"Commerce",IF((($AL973="Social Sciences and Humanities")+($AL973="Law Studies")+($AL973="Education and Training")+($AL973="Art, Design")+($AL973="Entertainment and Mass Media")+($AL973="Community and Social Service")+($AL973="Personal Care and Services")+($AL973="Government and Public Administration")+($AL973="Defence/ Protective Service")+($AL973="Sports"))&gt;0,"Arts / Humanities",""))))</f>
        <v/>
      </c>
      <c r="BD973" s="5" t="str">
        <f aca="false">IF($B973="","",--(F973&gt;=10)+--(G973&gt;=10)+--(H973&gt;=10)+--(I973&gt;=10)+--(J973&gt;=10)+--(K973&gt;=10)+--(L973&gt;=10)+--(M973&gt;=10)+--(N973&gt;=10)+--(O973&gt;=10))</f>
        <v/>
      </c>
      <c r="BE973" s="5" t="str">
        <f aca="false">IF($B973="","",--(AND(F973&lt;&gt;"",F973&lt;=8))+--(AND(G973&lt;&gt;"",G973&lt;=8))+--(AND(H973&lt;&gt;"",H973&lt;=8))+--(AND(I973&lt;&gt;"",I973&lt;=8))+--(AND(J973&lt;&gt;"",J973&lt;=8))+--(AND(K973&lt;&gt;"",K973&lt;=8))+--(AND(L973&lt;&gt;"",L973&lt;=8))+--(AND(M973&lt;&gt;"",M973&lt;=8))+--(AND(N973&lt;&gt;"",N973&lt;=8))+--(AND(O973&lt;&gt;"",O973&lt;=8)))</f>
        <v/>
      </c>
    </row>
    <row r="974" customFormat="false" ht="15" hidden="false" customHeight="false" outlineLevel="0" collapsed="false">
      <c r="AZ974" s="5" t="str">
        <f aca="false">IF($B974="","",SUMPRODUCT(($AL974:$AO974&lt;&gt;"")*(COUNTIF($AP974:$AX974,$AL974:$AO974)&gt;0)))</f>
        <v/>
      </c>
      <c r="BA974" s="5" t="str">
        <f aca="false">IF($B974="","",IF(AZ974&gt;0,1,0))</f>
        <v/>
      </c>
      <c r="BB974" s="5" t="str">
        <f aca="false">IF($AP974="","",IF((($AP974="Engineering and Technology")+($AP974="Science and Mathematics")+($AP974="Computer Science, IT and Allied Fields")+($AP974="Life Sciences /Medicine and Healthcare")+($AP974="Paramedical")+($AP974="Architecture")+($AP974="Environmental Service")+($AP974="Agriculture, Food Industry and Forestry"))&gt;0,"Science",IF((($AP974="Banking and Finance")+($AP974="Management and Administration")+($AP974="Marketing")+($AP974="Sales")+($AP974="Entrepreneurship")+($AP974="Hospitality and Tourism"))&gt;0,"Commerce",IF((($AP974="Social Sciences and Humanities")+($AP974="Law Studies")+($AP974="Education and Training")+($AP974="Art, Design")+($AP974="Entertainment and Mass Media")+($AP974="Community and Social Service")+($AP974="Personal Care and Services")+($AP974="Government and Public Administration")+($AP974="Defence/ Protective Service")+($AP974="Sports"))&gt;0,"Arts / Humanities",""))))</f>
        <v/>
      </c>
      <c r="BC974" s="5" t="str">
        <f aca="false">IF($AL974="","",IF((($AL974="Engineering and Technology")+($AL974="Science and Mathematics")+($AL974="Computer Science, IT and Allied Fields")+($AL974="Life Sciences /Medicine and Healthcare")+($AL974="Paramedical")+($AL974="Architecture")+($AL974="Environmental Service")+($AL974="Agriculture, Food Industry and Forestry"))&gt;0,"Science",IF((($AL974="Banking and Finance")+($AL974="Management and Administration")+($AL974="Marketing")+($AL974="Sales")+($AL974="Entrepreneurship")+($AL974="Hospitality and Tourism"))&gt;0,"Commerce",IF((($AL974="Social Sciences and Humanities")+($AL974="Law Studies")+($AL974="Education and Training")+($AL974="Art, Design")+($AL974="Entertainment and Mass Media")+($AL974="Community and Social Service")+($AL974="Personal Care and Services")+($AL974="Government and Public Administration")+($AL974="Defence/ Protective Service")+($AL974="Sports"))&gt;0,"Arts / Humanities",""))))</f>
        <v/>
      </c>
      <c r="BD974" s="5" t="str">
        <f aca="false">IF($B974="","",--(F974&gt;=10)+--(G974&gt;=10)+--(H974&gt;=10)+--(I974&gt;=10)+--(J974&gt;=10)+--(K974&gt;=10)+--(L974&gt;=10)+--(M974&gt;=10)+--(N974&gt;=10)+--(O974&gt;=10))</f>
        <v/>
      </c>
      <c r="BE974" s="5" t="str">
        <f aca="false">IF($B974="","",--(AND(F974&lt;&gt;"",F974&lt;=8))+--(AND(G974&lt;&gt;"",G974&lt;=8))+--(AND(H974&lt;&gt;"",H974&lt;=8))+--(AND(I974&lt;&gt;"",I974&lt;=8))+--(AND(J974&lt;&gt;"",J974&lt;=8))+--(AND(K974&lt;&gt;"",K974&lt;=8))+--(AND(L974&lt;&gt;"",L974&lt;=8))+--(AND(M974&lt;&gt;"",M974&lt;=8))+--(AND(N974&lt;&gt;"",N974&lt;=8))+--(AND(O974&lt;&gt;"",O974&lt;=8)))</f>
        <v/>
      </c>
    </row>
    <row r="975" customFormat="false" ht="15" hidden="false" customHeight="false" outlineLevel="0" collapsed="false">
      <c r="AZ975" s="5" t="str">
        <f aca="false">IF($B975="","",SUMPRODUCT(($AL975:$AO975&lt;&gt;"")*(COUNTIF($AP975:$AX975,$AL975:$AO975)&gt;0)))</f>
        <v/>
      </c>
      <c r="BA975" s="5" t="str">
        <f aca="false">IF($B975="","",IF(AZ975&gt;0,1,0))</f>
        <v/>
      </c>
      <c r="BB975" s="5" t="str">
        <f aca="false">IF($AP975="","",IF((($AP975="Engineering and Technology")+($AP975="Science and Mathematics")+($AP975="Computer Science, IT and Allied Fields")+($AP975="Life Sciences /Medicine and Healthcare")+($AP975="Paramedical")+($AP975="Architecture")+($AP975="Environmental Service")+($AP975="Agriculture, Food Industry and Forestry"))&gt;0,"Science",IF((($AP975="Banking and Finance")+($AP975="Management and Administration")+($AP975="Marketing")+($AP975="Sales")+($AP975="Entrepreneurship")+($AP975="Hospitality and Tourism"))&gt;0,"Commerce",IF((($AP975="Social Sciences and Humanities")+($AP975="Law Studies")+($AP975="Education and Training")+($AP975="Art, Design")+($AP975="Entertainment and Mass Media")+($AP975="Community and Social Service")+($AP975="Personal Care and Services")+($AP975="Government and Public Administration")+($AP975="Defence/ Protective Service")+($AP975="Sports"))&gt;0,"Arts / Humanities",""))))</f>
        <v/>
      </c>
      <c r="BC975" s="5" t="str">
        <f aca="false">IF($AL975="","",IF((($AL975="Engineering and Technology")+($AL975="Science and Mathematics")+($AL975="Computer Science, IT and Allied Fields")+($AL975="Life Sciences /Medicine and Healthcare")+($AL975="Paramedical")+($AL975="Architecture")+($AL975="Environmental Service")+($AL975="Agriculture, Food Industry and Forestry"))&gt;0,"Science",IF((($AL975="Banking and Finance")+($AL975="Management and Administration")+($AL975="Marketing")+($AL975="Sales")+($AL975="Entrepreneurship")+($AL975="Hospitality and Tourism"))&gt;0,"Commerce",IF((($AL975="Social Sciences and Humanities")+($AL975="Law Studies")+($AL975="Education and Training")+($AL975="Art, Design")+($AL975="Entertainment and Mass Media")+($AL975="Community and Social Service")+($AL975="Personal Care and Services")+($AL975="Government and Public Administration")+($AL975="Defence/ Protective Service")+($AL975="Sports"))&gt;0,"Arts / Humanities",""))))</f>
        <v/>
      </c>
      <c r="BD975" s="5" t="str">
        <f aca="false">IF($B975="","",--(F975&gt;=10)+--(G975&gt;=10)+--(H975&gt;=10)+--(I975&gt;=10)+--(J975&gt;=10)+--(K975&gt;=10)+--(L975&gt;=10)+--(M975&gt;=10)+--(N975&gt;=10)+--(O975&gt;=10))</f>
        <v/>
      </c>
      <c r="BE975" s="5" t="str">
        <f aca="false">IF($B975="","",--(AND(F975&lt;&gt;"",F975&lt;=8))+--(AND(G975&lt;&gt;"",G975&lt;=8))+--(AND(H975&lt;&gt;"",H975&lt;=8))+--(AND(I975&lt;&gt;"",I975&lt;=8))+--(AND(J975&lt;&gt;"",J975&lt;=8))+--(AND(K975&lt;&gt;"",K975&lt;=8))+--(AND(L975&lt;&gt;"",L975&lt;=8))+--(AND(M975&lt;&gt;"",M975&lt;=8))+--(AND(N975&lt;&gt;"",N975&lt;=8))+--(AND(O975&lt;&gt;"",O975&lt;=8)))</f>
        <v/>
      </c>
    </row>
    <row r="976" customFormat="false" ht="15" hidden="false" customHeight="false" outlineLevel="0" collapsed="false">
      <c r="AZ976" s="5" t="str">
        <f aca="false">IF($B976="","",SUMPRODUCT(($AL976:$AO976&lt;&gt;"")*(COUNTIF($AP976:$AX976,$AL976:$AO976)&gt;0)))</f>
        <v/>
      </c>
      <c r="BA976" s="5" t="str">
        <f aca="false">IF($B976="","",IF(AZ976&gt;0,1,0))</f>
        <v/>
      </c>
      <c r="BB976" s="5" t="str">
        <f aca="false">IF($AP976="","",IF((($AP976="Engineering and Technology")+($AP976="Science and Mathematics")+($AP976="Computer Science, IT and Allied Fields")+($AP976="Life Sciences /Medicine and Healthcare")+($AP976="Paramedical")+($AP976="Architecture")+($AP976="Environmental Service")+($AP976="Agriculture, Food Industry and Forestry"))&gt;0,"Science",IF((($AP976="Banking and Finance")+($AP976="Management and Administration")+($AP976="Marketing")+($AP976="Sales")+($AP976="Entrepreneurship")+($AP976="Hospitality and Tourism"))&gt;0,"Commerce",IF((($AP976="Social Sciences and Humanities")+($AP976="Law Studies")+($AP976="Education and Training")+($AP976="Art, Design")+($AP976="Entertainment and Mass Media")+($AP976="Community and Social Service")+($AP976="Personal Care and Services")+($AP976="Government and Public Administration")+($AP976="Defence/ Protective Service")+($AP976="Sports"))&gt;0,"Arts / Humanities",""))))</f>
        <v/>
      </c>
      <c r="BC976" s="5" t="str">
        <f aca="false">IF($AL976="","",IF((($AL976="Engineering and Technology")+($AL976="Science and Mathematics")+($AL976="Computer Science, IT and Allied Fields")+($AL976="Life Sciences /Medicine and Healthcare")+($AL976="Paramedical")+($AL976="Architecture")+($AL976="Environmental Service")+($AL976="Agriculture, Food Industry and Forestry"))&gt;0,"Science",IF((($AL976="Banking and Finance")+($AL976="Management and Administration")+($AL976="Marketing")+($AL976="Sales")+($AL976="Entrepreneurship")+($AL976="Hospitality and Tourism"))&gt;0,"Commerce",IF((($AL976="Social Sciences and Humanities")+($AL976="Law Studies")+($AL976="Education and Training")+($AL976="Art, Design")+($AL976="Entertainment and Mass Media")+($AL976="Community and Social Service")+($AL976="Personal Care and Services")+($AL976="Government and Public Administration")+($AL976="Defence/ Protective Service")+($AL976="Sports"))&gt;0,"Arts / Humanities",""))))</f>
        <v/>
      </c>
      <c r="BD976" s="5" t="str">
        <f aca="false">IF($B976="","",--(F976&gt;=10)+--(G976&gt;=10)+--(H976&gt;=10)+--(I976&gt;=10)+--(J976&gt;=10)+--(K976&gt;=10)+--(L976&gt;=10)+--(M976&gt;=10)+--(N976&gt;=10)+--(O976&gt;=10))</f>
        <v/>
      </c>
      <c r="BE976" s="5" t="str">
        <f aca="false">IF($B976="","",--(AND(F976&lt;&gt;"",F976&lt;=8))+--(AND(G976&lt;&gt;"",G976&lt;=8))+--(AND(H976&lt;&gt;"",H976&lt;=8))+--(AND(I976&lt;&gt;"",I976&lt;=8))+--(AND(J976&lt;&gt;"",J976&lt;=8))+--(AND(K976&lt;&gt;"",K976&lt;=8))+--(AND(L976&lt;&gt;"",L976&lt;=8))+--(AND(M976&lt;&gt;"",M976&lt;=8))+--(AND(N976&lt;&gt;"",N976&lt;=8))+--(AND(O976&lt;&gt;"",O976&lt;=8)))</f>
        <v/>
      </c>
    </row>
    <row r="977" customFormat="false" ht="15" hidden="false" customHeight="false" outlineLevel="0" collapsed="false">
      <c r="AZ977" s="5" t="str">
        <f aca="false">IF($B977="","",SUMPRODUCT(($AL977:$AO977&lt;&gt;"")*(COUNTIF($AP977:$AX977,$AL977:$AO977)&gt;0)))</f>
        <v/>
      </c>
      <c r="BA977" s="5" t="str">
        <f aca="false">IF($B977="","",IF(AZ977&gt;0,1,0))</f>
        <v/>
      </c>
      <c r="BB977" s="5" t="str">
        <f aca="false">IF($AP977="","",IF((($AP977="Engineering and Technology")+($AP977="Science and Mathematics")+($AP977="Computer Science, IT and Allied Fields")+($AP977="Life Sciences /Medicine and Healthcare")+($AP977="Paramedical")+($AP977="Architecture")+($AP977="Environmental Service")+($AP977="Agriculture, Food Industry and Forestry"))&gt;0,"Science",IF((($AP977="Banking and Finance")+($AP977="Management and Administration")+($AP977="Marketing")+($AP977="Sales")+($AP977="Entrepreneurship")+($AP977="Hospitality and Tourism"))&gt;0,"Commerce",IF((($AP977="Social Sciences and Humanities")+($AP977="Law Studies")+($AP977="Education and Training")+($AP977="Art, Design")+($AP977="Entertainment and Mass Media")+($AP977="Community and Social Service")+($AP977="Personal Care and Services")+($AP977="Government and Public Administration")+($AP977="Defence/ Protective Service")+($AP977="Sports"))&gt;0,"Arts / Humanities",""))))</f>
        <v/>
      </c>
      <c r="BC977" s="5" t="str">
        <f aca="false">IF($AL977="","",IF((($AL977="Engineering and Technology")+($AL977="Science and Mathematics")+($AL977="Computer Science, IT and Allied Fields")+($AL977="Life Sciences /Medicine and Healthcare")+($AL977="Paramedical")+($AL977="Architecture")+($AL977="Environmental Service")+($AL977="Agriculture, Food Industry and Forestry"))&gt;0,"Science",IF((($AL977="Banking and Finance")+($AL977="Management and Administration")+($AL977="Marketing")+($AL977="Sales")+($AL977="Entrepreneurship")+($AL977="Hospitality and Tourism"))&gt;0,"Commerce",IF((($AL977="Social Sciences and Humanities")+($AL977="Law Studies")+($AL977="Education and Training")+($AL977="Art, Design")+($AL977="Entertainment and Mass Media")+($AL977="Community and Social Service")+($AL977="Personal Care and Services")+($AL977="Government and Public Administration")+($AL977="Defence/ Protective Service")+($AL977="Sports"))&gt;0,"Arts / Humanities",""))))</f>
        <v/>
      </c>
      <c r="BD977" s="5" t="str">
        <f aca="false">IF($B977="","",--(F977&gt;=10)+--(G977&gt;=10)+--(H977&gt;=10)+--(I977&gt;=10)+--(J977&gt;=10)+--(K977&gt;=10)+--(L977&gt;=10)+--(M977&gt;=10)+--(N977&gt;=10)+--(O977&gt;=10))</f>
        <v/>
      </c>
      <c r="BE977" s="5" t="str">
        <f aca="false">IF($B977="","",--(AND(F977&lt;&gt;"",F977&lt;=8))+--(AND(G977&lt;&gt;"",G977&lt;=8))+--(AND(H977&lt;&gt;"",H977&lt;=8))+--(AND(I977&lt;&gt;"",I977&lt;=8))+--(AND(J977&lt;&gt;"",J977&lt;=8))+--(AND(K977&lt;&gt;"",K977&lt;=8))+--(AND(L977&lt;&gt;"",L977&lt;=8))+--(AND(M977&lt;&gt;"",M977&lt;=8))+--(AND(N977&lt;&gt;"",N977&lt;=8))+--(AND(O977&lt;&gt;"",O977&lt;=8)))</f>
        <v/>
      </c>
    </row>
    <row r="978" customFormat="false" ht="15" hidden="false" customHeight="false" outlineLevel="0" collapsed="false">
      <c r="AZ978" s="5" t="str">
        <f aca="false">IF($B978="","",SUMPRODUCT(($AL978:$AO978&lt;&gt;"")*(COUNTIF($AP978:$AX978,$AL978:$AO978)&gt;0)))</f>
        <v/>
      </c>
      <c r="BA978" s="5" t="str">
        <f aca="false">IF($B978="","",IF(AZ978&gt;0,1,0))</f>
        <v/>
      </c>
      <c r="BB978" s="5" t="str">
        <f aca="false">IF($AP978="","",IF((($AP978="Engineering and Technology")+($AP978="Science and Mathematics")+($AP978="Computer Science, IT and Allied Fields")+($AP978="Life Sciences /Medicine and Healthcare")+($AP978="Paramedical")+($AP978="Architecture")+($AP978="Environmental Service")+($AP978="Agriculture, Food Industry and Forestry"))&gt;0,"Science",IF((($AP978="Banking and Finance")+($AP978="Management and Administration")+($AP978="Marketing")+($AP978="Sales")+($AP978="Entrepreneurship")+($AP978="Hospitality and Tourism"))&gt;0,"Commerce",IF((($AP978="Social Sciences and Humanities")+($AP978="Law Studies")+($AP978="Education and Training")+($AP978="Art, Design")+($AP978="Entertainment and Mass Media")+($AP978="Community and Social Service")+($AP978="Personal Care and Services")+($AP978="Government and Public Administration")+($AP978="Defence/ Protective Service")+($AP978="Sports"))&gt;0,"Arts / Humanities",""))))</f>
        <v/>
      </c>
      <c r="BC978" s="5" t="str">
        <f aca="false">IF($AL978="","",IF((($AL978="Engineering and Technology")+($AL978="Science and Mathematics")+($AL978="Computer Science, IT and Allied Fields")+($AL978="Life Sciences /Medicine and Healthcare")+($AL978="Paramedical")+($AL978="Architecture")+($AL978="Environmental Service")+($AL978="Agriculture, Food Industry and Forestry"))&gt;0,"Science",IF((($AL978="Banking and Finance")+($AL978="Management and Administration")+($AL978="Marketing")+($AL978="Sales")+($AL978="Entrepreneurship")+($AL978="Hospitality and Tourism"))&gt;0,"Commerce",IF((($AL978="Social Sciences and Humanities")+($AL978="Law Studies")+($AL978="Education and Training")+($AL978="Art, Design")+($AL978="Entertainment and Mass Media")+($AL978="Community and Social Service")+($AL978="Personal Care and Services")+($AL978="Government and Public Administration")+($AL978="Defence/ Protective Service")+($AL978="Sports"))&gt;0,"Arts / Humanities",""))))</f>
        <v/>
      </c>
      <c r="BD978" s="5" t="str">
        <f aca="false">IF($B978="","",--(F978&gt;=10)+--(G978&gt;=10)+--(H978&gt;=10)+--(I978&gt;=10)+--(J978&gt;=10)+--(K978&gt;=10)+--(L978&gt;=10)+--(M978&gt;=10)+--(N978&gt;=10)+--(O978&gt;=10))</f>
        <v/>
      </c>
      <c r="BE978" s="5" t="str">
        <f aca="false">IF($B978="","",--(AND(F978&lt;&gt;"",F978&lt;=8))+--(AND(G978&lt;&gt;"",G978&lt;=8))+--(AND(H978&lt;&gt;"",H978&lt;=8))+--(AND(I978&lt;&gt;"",I978&lt;=8))+--(AND(J978&lt;&gt;"",J978&lt;=8))+--(AND(K978&lt;&gt;"",K978&lt;=8))+--(AND(L978&lt;&gt;"",L978&lt;=8))+--(AND(M978&lt;&gt;"",M978&lt;=8))+--(AND(N978&lt;&gt;"",N978&lt;=8))+--(AND(O978&lt;&gt;"",O978&lt;=8)))</f>
        <v/>
      </c>
    </row>
    <row r="979" customFormat="false" ht="15" hidden="false" customHeight="false" outlineLevel="0" collapsed="false">
      <c r="AZ979" s="5" t="str">
        <f aca="false">IF($B979="","",SUMPRODUCT(($AL979:$AO979&lt;&gt;"")*(COUNTIF($AP979:$AX979,$AL979:$AO979)&gt;0)))</f>
        <v/>
      </c>
      <c r="BA979" s="5" t="str">
        <f aca="false">IF($B979="","",IF(AZ979&gt;0,1,0))</f>
        <v/>
      </c>
      <c r="BB979" s="5" t="str">
        <f aca="false">IF($AP979="","",IF((($AP979="Engineering and Technology")+($AP979="Science and Mathematics")+($AP979="Computer Science, IT and Allied Fields")+($AP979="Life Sciences /Medicine and Healthcare")+($AP979="Paramedical")+($AP979="Architecture")+($AP979="Environmental Service")+($AP979="Agriculture, Food Industry and Forestry"))&gt;0,"Science",IF((($AP979="Banking and Finance")+($AP979="Management and Administration")+($AP979="Marketing")+($AP979="Sales")+($AP979="Entrepreneurship")+($AP979="Hospitality and Tourism"))&gt;0,"Commerce",IF((($AP979="Social Sciences and Humanities")+($AP979="Law Studies")+($AP979="Education and Training")+($AP979="Art, Design")+($AP979="Entertainment and Mass Media")+($AP979="Community and Social Service")+($AP979="Personal Care and Services")+($AP979="Government and Public Administration")+($AP979="Defence/ Protective Service")+($AP979="Sports"))&gt;0,"Arts / Humanities",""))))</f>
        <v/>
      </c>
      <c r="BC979" s="5" t="str">
        <f aca="false">IF($AL979="","",IF((($AL979="Engineering and Technology")+($AL979="Science and Mathematics")+($AL979="Computer Science, IT and Allied Fields")+($AL979="Life Sciences /Medicine and Healthcare")+($AL979="Paramedical")+($AL979="Architecture")+($AL979="Environmental Service")+($AL979="Agriculture, Food Industry and Forestry"))&gt;0,"Science",IF((($AL979="Banking and Finance")+($AL979="Management and Administration")+($AL979="Marketing")+($AL979="Sales")+($AL979="Entrepreneurship")+($AL979="Hospitality and Tourism"))&gt;0,"Commerce",IF((($AL979="Social Sciences and Humanities")+($AL979="Law Studies")+($AL979="Education and Training")+($AL979="Art, Design")+($AL979="Entertainment and Mass Media")+($AL979="Community and Social Service")+($AL979="Personal Care and Services")+($AL979="Government and Public Administration")+($AL979="Defence/ Protective Service")+($AL979="Sports"))&gt;0,"Arts / Humanities",""))))</f>
        <v/>
      </c>
      <c r="BD979" s="5" t="str">
        <f aca="false">IF($B979="","",--(F979&gt;=10)+--(G979&gt;=10)+--(H979&gt;=10)+--(I979&gt;=10)+--(J979&gt;=10)+--(K979&gt;=10)+--(L979&gt;=10)+--(M979&gt;=10)+--(N979&gt;=10)+--(O979&gt;=10))</f>
        <v/>
      </c>
      <c r="BE979" s="5" t="str">
        <f aca="false">IF($B979="","",--(AND(F979&lt;&gt;"",F979&lt;=8))+--(AND(G979&lt;&gt;"",G979&lt;=8))+--(AND(H979&lt;&gt;"",H979&lt;=8))+--(AND(I979&lt;&gt;"",I979&lt;=8))+--(AND(J979&lt;&gt;"",J979&lt;=8))+--(AND(K979&lt;&gt;"",K979&lt;=8))+--(AND(L979&lt;&gt;"",L979&lt;=8))+--(AND(M979&lt;&gt;"",M979&lt;=8))+--(AND(N979&lt;&gt;"",N979&lt;=8))+--(AND(O979&lt;&gt;"",O979&lt;=8)))</f>
        <v/>
      </c>
    </row>
    <row r="980" customFormat="false" ht="15" hidden="false" customHeight="false" outlineLevel="0" collapsed="false">
      <c r="AZ980" s="5" t="str">
        <f aca="false">IF($B980="","",SUMPRODUCT(($AL980:$AO980&lt;&gt;"")*(COUNTIF($AP980:$AX980,$AL980:$AO980)&gt;0)))</f>
        <v/>
      </c>
      <c r="BA980" s="5" t="str">
        <f aca="false">IF($B980="","",IF(AZ980&gt;0,1,0))</f>
        <v/>
      </c>
      <c r="BB980" s="5" t="str">
        <f aca="false">IF($AP980="","",IF((($AP980="Engineering and Technology")+($AP980="Science and Mathematics")+($AP980="Computer Science, IT and Allied Fields")+($AP980="Life Sciences /Medicine and Healthcare")+($AP980="Paramedical")+($AP980="Architecture")+($AP980="Environmental Service")+($AP980="Agriculture, Food Industry and Forestry"))&gt;0,"Science",IF((($AP980="Banking and Finance")+($AP980="Management and Administration")+($AP980="Marketing")+($AP980="Sales")+($AP980="Entrepreneurship")+($AP980="Hospitality and Tourism"))&gt;0,"Commerce",IF((($AP980="Social Sciences and Humanities")+($AP980="Law Studies")+($AP980="Education and Training")+($AP980="Art, Design")+($AP980="Entertainment and Mass Media")+($AP980="Community and Social Service")+($AP980="Personal Care and Services")+($AP980="Government and Public Administration")+($AP980="Defence/ Protective Service")+($AP980="Sports"))&gt;0,"Arts / Humanities",""))))</f>
        <v/>
      </c>
      <c r="BC980" s="5" t="str">
        <f aca="false">IF($AL980="","",IF((($AL980="Engineering and Technology")+($AL980="Science and Mathematics")+($AL980="Computer Science, IT and Allied Fields")+($AL980="Life Sciences /Medicine and Healthcare")+($AL980="Paramedical")+($AL980="Architecture")+($AL980="Environmental Service")+($AL980="Agriculture, Food Industry and Forestry"))&gt;0,"Science",IF((($AL980="Banking and Finance")+($AL980="Management and Administration")+($AL980="Marketing")+($AL980="Sales")+($AL980="Entrepreneurship")+($AL980="Hospitality and Tourism"))&gt;0,"Commerce",IF((($AL980="Social Sciences and Humanities")+($AL980="Law Studies")+($AL980="Education and Training")+($AL980="Art, Design")+($AL980="Entertainment and Mass Media")+($AL980="Community and Social Service")+($AL980="Personal Care and Services")+($AL980="Government and Public Administration")+($AL980="Defence/ Protective Service")+($AL980="Sports"))&gt;0,"Arts / Humanities",""))))</f>
        <v/>
      </c>
      <c r="BD980" s="5" t="str">
        <f aca="false">IF($B980="","",--(F980&gt;=10)+--(G980&gt;=10)+--(H980&gt;=10)+--(I980&gt;=10)+--(J980&gt;=10)+--(K980&gt;=10)+--(L980&gt;=10)+--(M980&gt;=10)+--(N980&gt;=10)+--(O980&gt;=10))</f>
        <v/>
      </c>
      <c r="BE980" s="5" t="str">
        <f aca="false">IF($B980="","",--(AND(F980&lt;&gt;"",F980&lt;=8))+--(AND(G980&lt;&gt;"",G980&lt;=8))+--(AND(H980&lt;&gt;"",H980&lt;=8))+--(AND(I980&lt;&gt;"",I980&lt;=8))+--(AND(J980&lt;&gt;"",J980&lt;=8))+--(AND(K980&lt;&gt;"",K980&lt;=8))+--(AND(L980&lt;&gt;"",L980&lt;=8))+--(AND(M980&lt;&gt;"",M980&lt;=8))+--(AND(N980&lt;&gt;"",N980&lt;=8))+--(AND(O980&lt;&gt;"",O980&lt;=8)))</f>
        <v/>
      </c>
    </row>
    <row r="981" customFormat="false" ht="15" hidden="false" customHeight="false" outlineLevel="0" collapsed="false">
      <c r="AZ981" s="5" t="str">
        <f aca="false">IF($B981="","",SUMPRODUCT(($AL981:$AO981&lt;&gt;"")*(COUNTIF($AP981:$AX981,$AL981:$AO981)&gt;0)))</f>
        <v/>
      </c>
      <c r="BA981" s="5" t="str">
        <f aca="false">IF($B981="","",IF(AZ981&gt;0,1,0))</f>
        <v/>
      </c>
      <c r="BB981" s="5" t="str">
        <f aca="false">IF($AP981="","",IF((($AP981="Engineering and Technology")+($AP981="Science and Mathematics")+($AP981="Computer Science, IT and Allied Fields")+($AP981="Life Sciences /Medicine and Healthcare")+($AP981="Paramedical")+($AP981="Architecture")+($AP981="Environmental Service")+($AP981="Agriculture, Food Industry and Forestry"))&gt;0,"Science",IF((($AP981="Banking and Finance")+($AP981="Management and Administration")+($AP981="Marketing")+($AP981="Sales")+($AP981="Entrepreneurship")+($AP981="Hospitality and Tourism"))&gt;0,"Commerce",IF((($AP981="Social Sciences and Humanities")+($AP981="Law Studies")+($AP981="Education and Training")+($AP981="Art, Design")+($AP981="Entertainment and Mass Media")+($AP981="Community and Social Service")+($AP981="Personal Care and Services")+($AP981="Government and Public Administration")+($AP981="Defence/ Protective Service")+($AP981="Sports"))&gt;0,"Arts / Humanities",""))))</f>
        <v/>
      </c>
      <c r="BC981" s="5" t="str">
        <f aca="false">IF($AL981="","",IF((($AL981="Engineering and Technology")+($AL981="Science and Mathematics")+($AL981="Computer Science, IT and Allied Fields")+($AL981="Life Sciences /Medicine and Healthcare")+($AL981="Paramedical")+($AL981="Architecture")+($AL981="Environmental Service")+($AL981="Agriculture, Food Industry and Forestry"))&gt;0,"Science",IF((($AL981="Banking and Finance")+($AL981="Management and Administration")+($AL981="Marketing")+($AL981="Sales")+($AL981="Entrepreneurship")+($AL981="Hospitality and Tourism"))&gt;0,"Commerce",IF((($AL981="Social Sciences and Humanities")+($AL981="Law Studies")+($AL981="Education and Training")+($AL981="Art, Design")+($AL981="Entertainment and Mass Media")+($AL981="Community and Social Service")+($AL981="Personal Care and Services")+($AL981="Government and Public Administration")+($AL981="Defence/ Protective Service")+($AL981="Sports"))&gt;0,"Arts / Humanities",""))))</f>
        <v/>
      </c>
      <c r="BD981" s="5" t="str">
        <f aca="false">IF($B981="","",--(F981&gt;=10)+--(G981&gt;=10)+--(H981&gt;=10)+--(I981&gt;=10)+--(J981&gt;=10)+--(K981&gt;=10)+--(L981&gt;=10)+--(M981&gt;=10)+--(N981&gt;=10)+--(O981&gt;=10))</f>
        <v/>
      </c>
      <c r="BE981" s="5" t="str">
        <f aca="false">IF($B981="","",--(AND(F981&lt;&gt;"",F981&lt;=8))+--(AND(G981&lt;&gt;"",G981&lt;=8))+--(AND(H981&lt;&gt;"",H981&lt;=8))+--(AND(I981&lt;&gt;"",I981&lt;=8))+--(AND(J981&lt;&gt;"",J981&lt;=8))+--(AND(K981&lt;&gt;"",K981&lt;=8))+--(AND(L981&lt;&gt;"",L981&lt;=8))+--(AND(M981&lt;&gt;"",M981&lt;=8))+--(AND(N981&lt;&gt;"",N981&lt;=8))+--(AND(O981&lt;&gt;"",O981&lt;=8)))</f>
        <v/>
      </c>
    </row>
    <row r="982" customFormat="false" ht="15" hidden="false" customHeight="false" outlineLevel="0" collapsed="false">
      <c r="AZ982" s="5" t="str">
        <f aca="false">IF($B982="","",SUMPRODUCT(($AL982:$AO982&lt;&gt;"")*(COUNTIF($AP982:$AX982,$AL982:$AO982)&gt;0)))</f>
        <v/>
      </c>
      <c r="BA982" s="5" t="str">
        <f aca="false">IF($B982="","",IF(AZ982&gt;0,1,0))</f>
        <v/>
      </c>
      <c r="BB982" s="5" t="str">
        <f aca="false">IF($AP982="","",IF((($AP982="Engineering and Technology")+($AP982="Science and Mathematics")+($AP982="Computer Science, IT and Allied Fields")+($AP982="Life Sciences /Medicine and Healthcare")+($AP982="Paramedical")+($AP982="Architecture")+($AP982="Environmental Service")+($AP982="Agriculture, Food Industry and Forestry"))&gt;0,"Science",IF((($AP982="Banking and Finance")+($AP982="Management and Administration")+($AP982="Marketing")+($AP982="Sales")+($AP982="Entrepreneurship")+($AP982="Hospitality and Tourism"))&gt;0,"Commerce",IF((($AP982="Social Sciences and Humanities")+($AP982="Law Studies")+($AP982="Education and Training")+($AP982="Art, Design")+($AP982="Entertainment and Mass Media")+($AP982="Community and Social Service")+($AP982="Personal Care and Services")+($AP982="Government and Public Administration")+($AP982="Defence/ Protective Service")+($AP982="Sports"))&gt;0,"Arts / Humanities",""))))</f>
        <v/>
      </c>
      <c r="BC982" s="5" t="str">
        <f aca="false">IF($AL982="","",IF((($AL982="Engineering and Technology")+($AL982="Science and Mathematics")+($AL982="Computer Science, IT and Allied Fields")+($AL982="Life Sciences /Medicine and Healthcare")+($AL982="Paramedical")+($AL982="Architecture")+($AL982="Environmental Service")+($AL982="Agriculture, Food Industry and Forestry"))&gt;0,"Science",IF((($AL982="Banking and Finance")+($AL982="Management and Administration")+($AL982="Marketing")+($AL982="Sales")+($AL982="Entrepreneurship")+($AL982="Hospitality and Tourism"))&gt;0,"Commerce",IF((($AL982="Social Sciences and Humanities")+($AL982="Law Studies")+($AL982="Education and Training")+($AL982="Art, Design")+($AL982="Entertainment and Mass Media")+($AL982="Community and Social Service")+($AL982="Personal Care and Services")+($AL982="Government and Public Administration")+($AL982="Defence/ Protective Service")+($AL982="Sports"))&gt;0,"Arts / Humanities",""))))</f>
        <v/>
      </c>
      <c r="BD982" s="5" t="str">
        <f aca="false">IF($B982="","",--(F982&gt;=10)+--(G982&gt;=10)+--(H982&gt;=10)+--(I982&gt;=10)+--(J982&gt;=10)+--(K982&gt;=10)+--(L982&gt;=10)+--(M982&gt;=10)+--(N982&gt;=10)+--(O982&gt;=10))</f>
        <v/>
      </c>
      <c r="BE982" s="5" t="str">
        <f aca="false">IF($B982="","",--(AND(F982&lt;&gt;"",F982&lt;=8))+--(AND(G982&lt;&gt;"",G982&lt;=8))+--(AND(H982&lt;&gt;"",H982&lt;=8))+--(AND(I982&lt;&gt;"",I982&lt;=8))+--(AND(J982&lt;&gt;"",J982&lt;=8))+--(AND(K982&lt;&gt;"",K982&lt;=8))+--(AND(L982&lt;&gt;"",L982&lt;=8))+--(AND(M982&lt;&gt;"",M982&lt;=8))+--(AND(N982&lt;&gt;"",N982&lt;=8))+--(AND(O982&lt;&gt;"",O982&lt;=8)))</f>
        <v/>
      </c>
    </row>
    <row r="983" customFormat="false" ht="15" hidden="false" customHeight="false" outlineLevel="0" collapsed="false">
      <c r="AZ983" s="5" t="str">
        <f aca="false">IF($B983="","",SUMPRODUCT(($AL983:$AO983&lt;&gt;"")*(COUNTIF($AP983:$AX983,$AL983:$AO983)&gt;0)))</f>
        <v/>
      </c>
      <c r="BA983" s="5" t="str">
        <f aca="false">IF($B983="","",IF(AZ983&gt;0,1,0))</f>
        <v/>
      </c>
      <c r="BB983" s="5" t="str">
        <f aca="false">IF($AP983="","",IF((($AP983="Engineering and Technology")+($AP983="Science and Mathematics")+($AP983="Computer Science, IT and Allied Fields")+($AP983="Life Sciences /Medicine and Healthcare")+($AP983="Paramedical")+($AP983="Architecture")+($AP983="Environmental Service")+($AP983="Agriculture, Food Industry and Forestry"))&gt;0,"Science",IF((($AP983="Banking and Finance")+($AP983="Management and Administration")+($AP983="Marketing")+($AP983="Sales")+($AP983="Entrepreneurship")+($AP983="Hospitality and Tourism"))&gt;0,"Commerce",IF((($AP983="Social Sciences and Humanities")+($AP983="Law Studies")+($AP983="Education and Training")+($AP983="Art, Design")+($AP983="Entertainment and Mass Media")+($AP983="Community and Social Service")+($AP983="Personal Care and Services")+($AP983="Government and Public Administration")+($AP983="Defence/ Protective Service")+($AP983="Sports"))&gt;0,"Arts / Humanities",""))))</f>
        <v/>
      </c>
      <c r="BC983" s="5" t="str">
        <f aca="false">IF($AL983="","",IF((($AL983="Engineering and Technology")+($AL983="Science and Mathematics")+($AL983="Computer Science, IT and Allied Fields")+($AL983="Life Sciences /Medicine and Healthcare")+($AL983="Paramedical")+($AL983="Architecture")+($AL983="Environmental Service")+($AL983="Agriculture, Food Industry and Forestry"))&gt;0,"Science",IF((($AL983="Banking and Finance")+($AL983="Management and Administration")+($AL983="Marketing")+($AL983="Sales")+($AL983="Entrepreneurship")+($AL983="Hospitality and Tourism"))&gt;0,"Commerce",IF((($AL983="Social Sciences and Humanities")+($AL983="Law Studies")+($AL983="Education and Training")+($AL983="Art, Design")+($AL983="Entertainment and Mass Media")+($AL983="Community and Social Service")+($AL983="Personal Care and Services")+($AL983="Government and Public Administration")+($AL983="Defence/ Protective Service")+($AL983="Sports"))&gt;0,"Arts / Humanities",""))))</f>
        <v/>
      </c>
      <c r="BD983" s="5" t="str">
        <f aca="false">IF($B983="","",--(F983&gt;=10)+--(G983&gt;=10)+--(H983&gt;=10)+--(I983&gt;=10)+--(J983&gt;=10)+--(K983&gt;=10)+--(L983&gt;=10)+--(M983&gt;=10)+--(N983&gt;=10)+--(O983&gt;=10))</f>
        <v/>
      </c>
      <c r="BE983" s="5" t="str">
        <f aca="false">IF($B983="","",--(AND(F983&lt;&gt;"",F983&lt;=8))+--(AND(G983&lt;&gt;"",G983&lt;=8))+--(AND(H983&lt;&gt;"",H983&lt;=8))+--(AND(I983&lt;&gt;"",I983&lt;=8))+--(AND(J983&lt;&gt;"",J983&lt;=8))+--(AND(K983&lt;&gt;"",K983&lt;=8))+--(AND(L983&lt;&gt;"",L983&lt;=8))+--(AND(M983&lt;&gt;"",M983&lt;=8))+--(AND(N983&lt;&gt;"",N983&lt;=8))+--(AND(O983&lt;&gt;"",O983&lt;=8)))</f>
        <v/>
      </c>
    </row>
    <row r="984" customFormat="false" ht="15" hidden="false" customHeight="false" outlineLevel="0" collapsed="false">
      <c r="AZ984" s="5" t="str">
        <f aca="false">IF($B984="","",SUMPRODUCT(($AL984:$AO984&lt;&gt;"")*(COUNTIF($AP984:$AX984,$AL984:$AO984)&gt;0)))</f>
        <v/>
      </c>
      <c r="BA984" s="5" t="str">
        <f aca="false">IF($B984="","",IF(AZ984&gt;0,1,0))</f>
        <v/>
      </c>
      <c r="BB984" s="5" t="str">
        <f aca="false">IF($AP984="","",IF((($AP984="Engineering and Technology")+($AP984="Science and Mathematics")+($AP984="Computer Science, IT and Allied Fields")+($AP984="Life Sciences /Medicine and Healthcare")+($AP984="Paramedical")+($AP984="Architecture")+($AP984="Environmental Service")+($AP984="Agriculture, Food Industry and Forestry"))&gt;0,"Science",IF((($AP984="Banking and Finance")+($AP984="Management and Administration")+($AP984="Marketing")+($AP984="Sales")+($AP984="Entrepreneurship")+($AP984="Hospitality and Tourism"))&gt;0,"Commerce",IF((($AP984="Social Sciences and Humanities")+($AP984="Law Studies")+($AP984="Education and Training")+($AP984="Art, Design")+($AP984="Entertainment and Mass Media")+($AP984="Community and Social Service")+($AP984="Personal Care and Services")+($AP984="Government and Public Administration")+($AP984="Defence/ Protective Service")+($AP984="Sports"))&gt;0,"Arts / Humanities",""))))</f>
        <v/>
      </c>
      <c r="BC984" s="5" t="str">
        <f aca="false">IF($AL984="","",IF((($AL984="Engineering and Technology")+($AL984="Science and Mathematics")+($AL984="Computer Science, IT and Allied Fields")+($AL984="Life Sciences /Medicine and Healthcare")+($AL984="Paramedical")+($AL984="Architecture")+($AL984="Environmental Service")+($AL984="Agriculture, Food Industry and Forestry"))&gt;0,"Science",IF((($AL984="Banking and Finance")+($AL984="Management and Administration")+($AL984="Marketing")+($AL984="Sales")+($AL984="Entrepreneurship")+($AL984="Hospitality and Tourism"))&gt;0,"Commerce",IF((($AL984="Social Sciences and Humanities")+($AL984="Law Studies")+($AL984="Education and Training")+($AL984="Art, Design")+($AL984="Entertainment and Mass Media")+($AL984="Community and Social Service")+($AL984="Personal Care and Services")+($AL984="Government and Public Administration")+($AL984="Defence/ Protective Service")+($AL984="Sports"))&gt;0,"Arts / Humanities",""))))</f>
        <v/>
      </c>
      <c r="BD984" s="5" t="str">
        <f aca="false">IF($B984="","",--(F984&gt;=10)+--(G984&gt;=10)+--(H984&gt;=10)+--(I984&gt;=10)+--(J984&gt;=10)+--(K984&gt;=10)+--(L984&gt;=10)+--(M984&gt;=10)+--(N984&gt;=10)+--(O984&gt;=10))</f>
        <v/>
      </c>
      <c r="BE984" s="5" t="str">
        <f aca="false">IF($B984="","",--(AND(F984&lt;&gt;"",F984&lt;=8))+--(AND(G984&lt;&gt;"",G984&lt;=8))+--(AND(H984&lt;&gt;"",H984&lt;=8))+--(AND(I984&lt;&gt;"",I984&lt;=8))+--(AND(J984&lt;&gt;"",J984&lt;=8))+--(AND(K984&lt;&gt;"",K984&lt;=8))+--(AND(L984&lt;&gt;"",L984&lt;=8))+--(AND(M984&lt;&gt;"",M984&lt;=8))+--(AND(N984&lt;&gt;"",N984&lt;=8))+--(AND(O984&lt;&gt;"",O984&lt;=8)))</f>
        <v/>
      </c>
    </row>
    <row r="985" customFormat="false" ht="15" hidden="false" customHeight="false" outlineLevel="0" collapsed="false">
      <c r="AZ985" s="5" t="str">
        <f aca="false">IF($B985="","",SUMPRODUCT(($AL985:$AO985&lt;&gt;"")*(COUNTIF($AP985:$AX985,$AL985:$AO985)&gt;0)))</f>
        <v/>
      </c>
      <c r="BA985" s="5" t="str">
        <f aca="false">IF($B985="","",IF(AZ985&gt;0,1,0))</f>
        <v/>
      </c>
      <c r="BB985" s="5" t="str">
        <f aca="false">IF($AP985="","",IF((($AP985="Engineering and Technology")+($AP985="Science and Mathematics")+($AP985="Computer Science, IT and Allied Fields")+($AP985="Life Sciences /Medicine and Healthcare")+($AP985="Paramedical")+($AP985="Architecture")+($AP985="Environmental Service")+($AP985="Agriculture, Food Industry and Forestry"))&gt;0,"Science",IF((($AP985="Banking and Finance")+($AP985="Management and Administration")+($AP985="Marketing")+($AP985="Sales")+($AP985="Entrepreneurship")+($AP985="Hospitality and Tourism"))&gt;0,"Commerce",IF((($AP985="Social Sciences and Humanities")+($AP985="Law Studies")+($AP985="Education and Training")+($AP985="Art, Design")+($AP985="Entertainment and Mass Media")+($AP985="Community and Social Service")+($AP985="Personal Care and Services")+($AP985="Government and Public Administration")+($AP985="Defence/ Protective Service")+($AP985="Sports"))&gt;0,"Arts / Humanities",""))))</f>
        <v/>
      </c>
      <c r="BC985" s="5" t="str">
        <f aca="false">IF($AL985="","",IF((($AL985="Engineering and Technology")+($AL985="Science and Mathematics")+($AL985="Computer Science, IT and Allied Fields")+($AL985="Life Sciences /Medicine and Healthcare")+($AL985="Paramedical")+($AL985="Architecture")+($AL985="Environmental Service")+($AL985="Agriculture, Food Industry and Forestry"))&gt;0,"Science",IF((($AL985="Banking and Finance")+($AL985="Management and Administration")+($AL985="Marketing")+($AL985="Sales")+($AL985="Entrepreneurship")+($AL985="Hospitality and Tourism"))&gt;0,"Commerce",IF((($AL985="Social Sciences and Humanities")+($AL985="Law Studies")+($AL985="Education and Training")+($AL985="Art, Design")+($AL985="Entertainment and Mass Media")+($AL985="Community and Social Service")+($AL985="Personal Care and Services")+($AL985="Government and Public Administration")+($AL985="Defence/ Protective Service")+($AL985="Sports"))&gt;0,"Arts / Humanities",""))))</f>
        <v/>
      </c>
      <c r="BD985" s="5" t="str">
        <f aca="false">IF($B985="","",--(F985&gt;=10)+--(G985&gt;=10)+--(H985&gt;=10)+--(I985&gt;=10)+--(J985&gt;=10)+--(K985&gt;=10)+--(L985&gt;=10)+--(M985&gt;=10)+--(N985&gt;=10)+--(O985&gt;=10))</f>
        <v/>
      </c>
      <c r="BE985" s="5" t="str">
        <f aca="false">IF($B985="","",--(AND(F985&lt;&gt;"",F985&lt;=8))+--(AND(G985&lt;&gt;"",G985&lt;=8))+--(AND(H985&lt;&gt;"",H985&lt;=8))+--(AND(I985&lt;&gt;"",I985&lt;=8))+--(AND(J985&lt;&gt;"",J985&lt;=8))+--(AND(K985&lt;&gt;"",K985&lt;=8))+--(AND(L985&lt;&gt;"",L985&lt;=8))+--(AND(M985&lt;&gt;"",M985&lt;=8))+--(AND(N985&lt;&gt;"",N985&lt;=8))+--(AND(O985&lt;&gt;"",O985&lt;=8)))</f>
        <v/>
      </c>
    </row>
    <row r="986" customFormat="false" ht="15" hidden="false" customHeight="false" outlineLevel="0" collapsed="false">
      <c r="AZ986" s="5" t="str">
        <f aca="false">IF($B986="","",SUMPRODUCT(($AL986:$AO986&lt;&gt;"")*(COUNTIF($AP986:$AX986,$AL986:$AO986)&gt;0)))</f>
        <v/>
      </c>
      <c r="BA986" s="5" t="str">
        <f aca="false">IF($B986="","",IF(AZ986&gt;0,1,0))</f>
        <v/>
      </c>
      <c r="BB986" s="5" t="str">
        <f aca="false">IF($AP986="","",IF((($AP986="Engineering and Technology")+($AP986="Science and Mathematics")+($AP986="Computer Science, IT and Allied Fields")+($AP986="Life Sciences /Medicine and Healthcare")+($AP986="Paramedical")+($AP986="Architecture")+($AP986="Environmental Service")+($AP986="Agriculture, Food Industry and Forestry"))&gt;0,"Science",IF((($AP986="Banking and Finance")+($AP986="Management and Administration")+($AP986="Marketing")+($AP986="Sales")+($AP986="Entrepreneurship")+($AP986="Hospitality and Tourism"))&gt;0,"Commerce",IF((($AP986="Social Sciences and Humanities")+($AP986="Law Studies")+($AP986="Education and Training")+($AP986="Art, Design")+($AP986="Entertainment and Mass Media")+($AP986="Community and Social Service")+($AP986="Personal Care and Services")+($AP986="Government and Public Administration")+($AP986="Defence/ Protective Service")+($AP986="Sports"))&gt;0,"Arts / Humanities",""))))</f>
        <v/>
      </c>
      <c r="BC986" s="5" t="str">
        <f aca="false">IF($AL986="","",IF((($AL986="Engineering and Technology")+($AL986="Science and Mathematics")+($AL986="Computer Science, IT and Allied Fields")+($AL986="Life Sciences /Medicine and Healthcare")+($AL986="Paramedical")+($AL986="Architecture")+($AL986="Environmental Service")+($AL986="Agriculture, Food Industry and Forestry"))&gt;0,"Science",IF((($AL986="Banking and Finance")+($AL986="Management and Administration")+($AL986="Marketing")+($AL986="Sales")+($AL986="Entrepreneurship")+($AL986="Hospitality and Tourism"))&gt;0,"Commerce",IF((($AL986="Social Sciences and Humanities")+($AL986="Law Studies")+($AL986="Education and Training")+($AL986="Art, Design")+($AL986="Entertainment and Mass Media")+($AL986="Community and Social Service")+($AL986="Personal Care and Services")+($AL986="Government and Public Administration")+($AL986="Defence/ Protective Service")+($AL986="Sports"))&gt;0,"Arts / Humanities",""))))</f>
        <v/>
      </c>
      <c r="BD986" s="5" t="str">
        <f aca="false">IF($B986="","",--(F986&gt;=10)+--(G986&gt;=10)+--(H986&gt;=10)+--(I986&gt;=10)+--(J986&gt;=10)+--(K986&gt;=10)+--(L986&gt;=10)+--(M986&gt;=10)+--(N986&gt;=10)+--(O986&gt;=10))</f>
        <v/>
      </c>
      <c r="BE986" s="5" t="str">
        <f aca="false">IF($B986="","",--(AND(F986&lt;&gt;"",F986&lt;=8))+--(AND(G986&lt;&gt;"",G986&lt;=8))+--(AND(H986&lt;&gt;"",H986&lt;=8))+--(AND(I986&lt;&gt;"",I986&lt;=8))+--(AND(J986&lt;&gt;"",J986&lt;=8))+--(AND(K986&lt;&gt;"",K986&lt;=8))+--(AND(L986&lt;&gt;"",L986&lt;=8))+--(AND(M986&lt;&gt;"",M986&lt;=8))+--(AND(N986&lt;&gt;"",N986&lt;=8))+--(AND(O986&lt;&gt;"",O986&lt;=8)))</f>
        <v/>
      </c>
    </row>
    <row r="987" customFormat="false" ht="15" hidden="false" customHeight="false" outlineLevel="0" collapsed="false">
      <c r="AZ987" s="5" t="str">
        <f aca="false">IF($B987="","",SUMPRODUCT(($AL987:$AO987&lt;&gt;"")*(COUNTIF($AP987:$AX987,$AL987:$AO987)&gt;0)))</f>
        <v/>
      </c>
      <c r="BA987" s="5" t="str">
        <f aca="false">IF($B987="","",IF(AZ987&gt;0,1,0))</f>
        <v/>
      </c>
      <c r="BB987" s="5" t="str">
        <f aca="false">IF($AP987="","",IF((($AP987="Engineering and Technology")+($AP987="Science and Mathematics")+($AP987="Computer Science, IT and Allied Fields")+($AP987="Life Sciences /Medicine and Healthcare")+($AP987="Paramedical")+($AP987="Architecture")+($AP987="Environmental Service")+($AP987="Agriculture, Food Industry and Forestry"))&gt;0,"Science",IF((($AP987="Banking and Finance")+($AP987="Management and Administration")+($AP987="Marketing")+($AP987="Sales")+($AP987="Entrepreneurship")+($AP987="Hospitality and Tourism"))&gt;0,"Commerce",IF((($AP987="Social Sciences and Humanities")+($AP987="Law Studies")+($AP987="Education and Training")+($AP987="Art, Design")+($AP987="Entertainment and Mass Media")+($AP987="Community and Social Service")+($AP987="Personal Care and Services")+($AP987="Government and Public Administration")+($AP987="Defence/ Protective Service")+($AP987="Sports"))&gt;0,"Arts / Humanities",""))))</f>
        <v/>
      </c>
      <c r="BC987" s="5" t="str">
        <f aca="false">IF($AL987="","",IF((($AL987="Engineering and Technology")+($AL987="Science and Mathematics")+($AL987="Computer Science, IT and Allied Fields")+($AL987="Life Sciences /Medicine and Healthcare")+($AL987="Paramedical")+($AL987="Architecture")+($AL987="Environmental Service")+($AL987="Agriculture, Food Industry and Forestry"))&gt;0,"Science",IF((($AL987="Banking and Finance")+($AL987="Management and Administration")+($AL987="Marketing")+($AL987="Sales")+($AL987="Entrepreneurship")+($AL987="Hospitality and Tourism"))&gt;0,"Commerce",IF((($AL987="Social Sciences and Humanities")+($AL987="Law Studies")+($AL987="Education and Training")+($AL987="Art, Design")+($AL987="Entertainment and Mass Media")+($AL987="Community and Social Service")+($AL987="Personal Care and Services")+($AL987="Government and Public Administration")+($AL987="Defence/ Protective Service")+($AL987="Sports"))&gt;0,"Arts / Humanities",""))))</f>
        <v/>
      </c>
      <c r="BD987" s="5" t="str">
        <f aca="false">IF($B987="","",--(F987&gt;=10)+--(G987&gt;=10)+--(H987&gt;=10)+--(I987&gt;=10)+--(J987&gt;=10)+--(K987&gt;=10)+--(L987&gt;=10)+--(M987&gt;=10)+--(N987&gt;=10)+--(O987&gt;=10))</f>
        <v/>
      </c>
      <c r="BE987" s="5" t="str">
        <f aca="false">IF($B987="","",--(AND(F987&lt;&gt;"",F987&lt;=8))+--(AND(G987&lt;&gt;"",G987&lt;=8))+--(AND(H987&lt;&gt;"",H987&lt;=8))+--(AND(I987&lt;&gt;"",I987&lt;=8))+--(AND(J987&lt;&gt;"",J987&lt;=8))+--(AND(K987&lt;&gt;"",K987&lt;=8))+--(AND(L987&lt;&gt;"",L987&lt;=8))+--(AND(M987&lt;&gt;"",M987&lt;=8))+--(AND(N987&lt;&gt;"",N987&lt;=8))+--(AND(O987&lt;&gt;"",O987&lt;=8)))</f>
        <v/>
      </c>
    </row>
    <row r="988" customFormat="false" ht="15" hidden="false" customHeight="false" outlineLevel="0" collapsed="false">
      <c r="AZ988" s="5" t="str">
        <f aca="false">IF($B988="","",SUMPRODUCT(($AL988:$AO988&lt;&gt;"")*(COUNTIF($AP988:$AX988,$AL988:$AO988)&gt;0)))</f>
        <v/>
      </c>
      <c r="BA988" s="5" t="str">
        <f aca="false">IF($B988="","",IF(AZ988&gt;0,1,0))</f>
        <v/>
      </c>
      <c r="BB988" s="5" t="str">
        <f aca="false">IF($AP988="","",IF((($AP988="Engineering and Technology")+($AP988="Science and Mathematics")+($AP988="Computer Science, IT and Allied Fields")+($AP988="Life Sciences /Medicine and Healthcare")+($AP988="Paramedical")+($AP988="Architecture")+($AP988="Environmental Service")+($AP988="Agriculture, Food Industry and Forestry"))&gt;0,"Science",IF((($AP988="Banking and Finance")+($AP988="Management and Administration")+($AP988="Marketing")+($AP988="Sales")+($AP988="Entrepreneurship")+($AP988="Hospitality and Tourism"))&gt;0,"Commerce",IF((($AP988="Social Sciences and Humanities")+($AP988="Law Studies")+($AP988="Education and Training")+($AP988="Art, Design")+($AP988="Entertainment and Mass Media")+($AP988="Community and Social Service")+($AP988="Personal Care and Services")+($AP988="Government and Public Administration")+($AP988="Defence/ Protective Service")+($AP988="Sports"))&gt;0,"Arts / Humanities",""))))</f>
        <v/>
      </c>
      <c r="BC988" s="5" t="str">
        <f aca="false">IF($AL988="","",IF((($AL988="Engineering and Technology")+($AL988="Science and Mathematics")+($AL988="Computer Science, IT and Allied Fields")+($AL988="Life Sciences /Medicine and Healthcare")+($AL988="Paramedical")+($AL988="Architecture")+($AL988="Environmental Service")+($AL988="Agriculture, Food Industry and Forestry"))&gt;0,"Science",IF((($AL988="Banking and Finance")+($AL988="Management and Administration")+($AL988="Marketing")+($AL988="Sales")+($AL988="Entrepreneurship")+($AL988="Hospitality and Tourism"))&gt;0,"Commerce",IF((($AL988="Social Sciences and Humanities")+($AL988="Law Studies")+($AL988="Education and Training")+($AL988="Art, Design")+($AL988="Entertainment and Mass Media")+($AL988="Community and Social Service")+($AL988="Personal Care and Services")+($AL988="Government and Public Administration")+($AL988="Defence/ Protective Service")+($AL988="Sports"))&gt;0,"Arts / Humanities",""))))</f>
        <v/>
      </c>
      <c r="BD988" s="5" t="str">
        <f aca="false">IF($B988="","",--(F988&gt;=10)+--(G988&gt;=10)+--(H988&gt;=10)+--(I988&gt;=10)+--(J988&gt;=10)+--(K988&gt;=10)+--(L988&gt;=10)+--(M988&gt;=10)+--(N988&gt;=10)+--(O988&gt;=10))</f>
        <v/>
      </c>
      <c r="BE988" s="5" t="str">
        <f aca="false">IF($B988="","",--(AND(F988&lt;&gt;"",F988&lt;=8))+--(AND(G988&lt;&gt;"",G988&lt;=8))+--(AND(H988&lt;&gt;"",H988&lt;=8))+--(AND(I988&lt;&gt;"",I988&lt;=8))+--(AND(J988&lt;&gt;"",J988&lt;=8))+--(AND(K988&lt;&gt;"",K988&lt;=8))+--(AND(L988&lt;&gt;"",L988&lt;=8))+--(AND(M988&lt;&gt;"",M988&lt;=8))+--(AND(N988&lt;&gt;"",N988&lt;=8))+--(AND(O988&lt;&gt;"",O988&lt;=8)))</f>
        <v/>
      </c>
    </row>
    <row r="989" customFormat="false" ht="15" hidden="false" customHeight="false" outlineLevel="0" collapsed="false">
      <c r="AZ989" s="5" t="str">
        <f aca="false">IF($B989="","",SUMPRODUCT(($AL989:$AO989&lt;&gt;"")*(COUNTIF($AP989:$AX989,$AL989:$AO989)&gt;0)))</f>
        <v/>
      </c>
      <c r="BA989" s="5" t="str">
        <f aca="false">IF($B989="","",IF(AZ989&gt;0,1,0))</f>
        <v/>
      </c>
      <c r="BB989" s="5" t="str">
        <f aca="false">IF($AP989="","",IF((($AP989="Engineering and Technology")+($AP989="Science and Mathematics")+($AP989="Computer Science, IT and Allied Fields")+($AP989="Life Sciences /Medicine and Healthcare")+($AP989="Paramedical")+($AP989="Architecture")+($AP989="Environmental Service")+($AP989="Agriculture, Food Industry and Forestry"))&gt;0,"Science",IF((($AP989="Banking and Finance")+($AP989="Management and Administration")+($AP989="Marketing")+($AP989="Sales")+($AP989="Entrepreneurship")+($AP989="Hospitality and Tourism"))&gt;0,"Commerce",IF((($AP989="Social Sciences and Humanities")+($AP989="Law Studies")+($AP989="Education and Training")+($AP989="Art, Design")+($AP989="Entertainment and Mass Media")+($AP989="Community and Social Service")+($AP989="Personal Care and Services")+($AP989="Government and Public Administration")+($AP989="Defence/ Protective Service")+($AP989="Sports"))&gt;0,"Arts / Humanities",""))))</f>
        <v/>
      </c>
      <c r="BC989" s="5" t="str">
        <f aca="false">IF($AL989="","",IF((($AL989="Engineering and Technology")+($AL989="Science and Mathematics")+($AL989="Computer Science, IT and Allied Fields")+($AL989="Life Sciences /Medicine and Healthcare")+($AL989="Paramedical")+($AL989="Architecture")+($AL989="Environmental Service")+($AL989="Agriculture, Food Industry and Forestry"))&gt;0,"Science",IF((($AL989="Banking and Finance")+($AL989="Management and Administration")+($AL989="Marketing")+($AL989="Sales")+($AL989="Entrepreneurship")+($AL989="Hospitality and Tourism"))&gt;0,"Commerce",IF((($AL989="Social Sciences and Humanities")+($AL989="Law Studies")+($AL989="Education and Training")+($AL989="Art, Design")+($AL989="Entertainment and Mass Media")+($AL989="Community and Social Service")+($AL989="Personal Care and Services")+($AL989="Government and Public Administration")+($AL989="Defence/ Protective Service")+($AL989="Sports"))&gt;0,"Arts / Humanities",""))))</f>
        <v/>
      </c>
      <c r="BD989" s="5" t="str">
        <f aca="false">IF($B989="","",--(F989&gt;=10)+--(G989&gt;=10)+--(H989&gt;=10)+--(I989&gt;=10)+--(J989&gt;=10)+--(K989&gt;=10)+--(L989&gt;=10)+--(M989&gt;=10)+--(N989&gt;=10)+--(O989&gt;=10))</f>
        <v/>
      </c>
      <c r="BE989" s="5" t="str">
        <f aca="false">IF($B989="","",--(AND(F989&lt;&gt;"",F989&lt;=8))+--(AND(G989&lt;&gt;"",G989&lt;=8))+--(AND(H989&lt;&gt;"",H989&lt;=8))+--(AND(I989&lt;&gt;"",I989&lt;=8))+--(AND(J989&lt;&gt;"",J989&lt;=8))+--(AND(K989&lt;&gt;"",K989&lt;=8))+--(AND(L989&lt;&gt;"",L989&lt;=8))+--(AND(M989&lt;&gt;"",M989&lt;=8))+--(AND(N989&lt;&gt;"",N989&lt;=8))+--(AND(O989&lt;&gt;"",O989&lt;=8)))</f>
        <v/>
      </c>
    </row>
    <row r="990" customFormat="false" ht="15" hidden="false" customHeight="false" outlineLevel="0" collapsed="false">
      <c r="AZ990" s="5" t="str">
        <f aca="false">IF($B990="","",SUMPRODUCT(($AL990:$AO990&lt;&gt;"")*(COUNTIF($AP990:$AX990,$AL990:$AO990)&gt;0)))</f>
        <v/>
      </c>
      <c r="BA990" s="5" t="str">
        <f aca="false">IF($B990="","",IF(AZ990&gt;0,1,0))</f>
        <v/>
      </c>
      <c r="BB990" s="5" t="str">
        <f aca="false">IF($AP990="","",IF((($AP990="Engineering and Technology")+($AP990="Science and Mathematics")+($AP990="Computer Science, IT and Allied Fields")+($AP990="Life Sciences /Medicine and Healthcare")+($AP990="Paramedical")+($AP990="Architecture")+($AP990="Environmental Service")+($AP990="Agriculture, Food Industry and Forestry"))&gt;0,"Science",IF((($AP990="Banking and Finance")+($AP990="Management and Administration")+($AP990="Marketing")+($AP990="Sales")+($AP990="Entrepreneurship")+($AP990="Hospitality and Tourism"))&gt;0,"Commerce",IF((($AP990="Social Sciences and Humanities")+($AP990="Law Studies")+($AP990="Education and Training")+($AP990="Art, Design")+($AP990="Entertainment and Mass Media")+($AP990="Community and Social Service")+($AP990="Personal Care and Services")+($AP990="Government and Public Administration")+($AP990="Defence/ Protective Service")+($AP990="Sports"))&gt;0,"Arts / Humanities",""))))</f>
        <v/>
      </c>
      <c r="BC990" s="5" t="str">
        <f aca="false">IF($AL990="","",IF((($AL990="Engineering and Technology")+($AL990="Science and Mathematics")+($AL990="Computer Science, IT and Allied Fields")+($AL990="Life Sciences /Medicine and Healthcare")+($AL990="Paramedical")+($AL990="Architecture")+($AL990="Environmental Service")+($AL990="Agriculture, Food Industry and Forestry"))&gt;0,"Science",IF((($AL990="Banking and Finance")+($AL990="Management and Administration")+($AL990="Marketing")+($AL990="Sales")+($AL990="Entrepreneurship")+($AL990="Hospitality and Tourism"))&gt;0,"Commerce",IF((($AL990="Social Sciences and Humanities")+($AL990="Law Studies")+($AL990="Education and Training")+($AL990="Art, Design")+($AL990="Entertainment and Mass Media")+($AL990="Community and Social Service")+($AL990="Personal Care and Services")+($AL990="Government and Public Administration")+($AL990="Defence/ Protective Service")+($AL990="Sports"))&gt;0,"Arts / Humanities",""))))</f>
        <v/>
      </c>
      <c r="BD990" s="5" t="str">
        <f aca="false">IF($B990="","",--(F990&gt;=10)+--(G990&gt;=10)+--(H990&gt;=10)+--(I990&gt;=10)+--(J990&gt;=10)+--(K990&gt;=10)+--(L990&gt;=10)+--(M990&gt;=10)+--(N990&gt;=10)+--(O990&gt;=10))</f>
        <v/>
      </c>
      <c r="BE990" s="5" t="str">
        <f aca="false">IF($B990="","",--(AND(F990&lt;&gt;"",F990&lt;=8))+--(AND(G990&lt;&gt;"",G990&lt;=8))+--(AND(H990&lt;&gt;"",H990&lt;=8))+--(AND(I990&lt;&gt;"",I990&lt;=8))+--(AND(J990&lt;&gt;"",J990&lt;=8))+--(AND(K990&lt;&gt;"",K990&lt;=8))+--(AND(L990&lt;&gt;"",L990&lt;=8))+--(AND(M990&lt;&gt;"",M990&lt;=8))+--(AND(N990&lt;&gt;"",N990&lt;=8))+--(AND(O990&lt;&gt;"",O990&lt;=8)))</f>
        <v/>
      </c>
    </row>
    <row r="991" customFormat="false" ht="15" hidden="false" customHeight="false" outlineLevel="0" collapsed="false">
      <c r="AZ991" s="5" t="str">
        <f aca="false">IF($B991="","",SUMPRODUCT(($AL991:$AO991&lt;&gt;"")*(COUNTIF($AP991:$AX991,$AL991:$AO991)&gt;0)))</f>
        <v/>
      </c>
      <c r="BA991" s="5" t="str">
        <f aca="false">IF($B991="","",IF(AZ991&gt;0,1,0))</f>
        <v/>
      </c>
      <c r="BB991" s="5" t="str">
        <f aca="false">IF($AP991="","",IF((($AP991="Engineering and Technology")+($AP991="Science and Mathematics")+($AP991="Computer Science, IT and Allied Fields")+($AP991="Life Sciences /Medicine and Healthcare")+($AP991="Paramedical")+($AP991="Architecture")+($AP991="Environmental Service")+($AP991="Agriculture, Food Industry and Forestry"))&gt;0,"Science",IF((($AP991="Banking and Finance")+($AP991="Management and Administration")+($AP991="Marketing")+($AP991="Sales")+($AP991="Entrepreneurship")+($AP991="Hospitality and Tourism"))&gt;0,"Commerce",IF((($AP991="Social Sciences and Humanities")+($AP991="Law Studies")+($AP991="Education and Training")+($AP991="Art, Design")+($AP991="Entertainment and Mass Media")+($AP991="Community and Social Service")+($AP991="Personal Care and Services")+($AP991="Government and Public Administration")+($AP991="Defence/ Protective Service")+($AP991="Sports"))&gt;0,"Arts / Humanities",""))))</f>
        <v/>
      </c>
      <c r="BC991" s="5" t="str">
        <f aca="false">IF($AL991="","",IF((($AL991="Engineering and Technology")+($AL991="Science and Mathematics")+($AL991="Computer Science, IT and Allied Fields")+($AL991="Life Sciences /Medicine and Healthcare")+($AL991="Paramedical")+($AL991="Architecture")+($AL991="Environmental Service")+($AL991="Agriculture, Food Industry and Forestry"))&gt;0,"Science",IF((($AL991="Banking and Finance")+($AL991="Management and Administration")+($AL991="Marketing")+($AL991="Sales")+($AL991="Entrepreneurship")+($AL991="Hospitality and Tourism"))&gt;0,"Commerce",IF((($AL991="Social Sciences and Humanities")+($AL991="Law Studies")+($AL991="Education and Training")+($AL991="Art, Design")+($AL991="Entertainment and Mass Media")+($AL991="Community and Social Service")+($AL991="Personal Care and Services")+($AL991="Government and Public Administration")+($AL991="Defence/ Protective Service")+($AL991="Sports"))&gt;0,"Arts / Humanities",""))))</f>
        <v/>
      </c>
      <c r="BD991" s="5" t="str">
        <f aca="false">IF($B991="","",--(F991&gt;=10)+--(G991&gt;=10)+--(H991&gt;=10)+--(I991&gt;=10)+--(J991&gt;=10)+--(K991&gt;=10)+--(L991&gt;=10)+--(M991&gt;=10)+--(N991&gt;=10)+--(O991&gt;=10))</f>
        <v/>
      </c>
      <c r="BE991" s="5" t="str">
        <f aca="false">IF($B991="","",--(AND(F991&lt;&gt;"",F991&lt;=8))+--(AND(G991&lt;&gt;"",G991&lt;=8))+--(AND(H991&lt;&gt;"",H991&lt;=8))+--(AND(I991&lt;&gt;"",I991&lt;=8))+--(AND(J991&lt;&gt;"",J991&lt;=8))+--(AND(K991&lt;&gt;"",K991&lt;=8))+--(AND(L991&lt;&gt;"",L991&lt;=8))+--(AND(M991&lt;&gt;"",M991&lt;=8))+--(AND(N991&lt;&gt;"",N991&lt;=8))+--(AND(O991&lt;&gt;"",O991&lt;=8)))</f>
        <v/>
      </c>
    </row>
    <row r="992" customFormat="false" ht="15" hidden="false" customHeight="false" outlineLevel="0" collapsed="false">
      <c r="AZ992" s="5" t="str">
        <f aca="false">IF($B992="","",SUMPRODUCT(($AL992:$AO992&lt;&gt;"")*(COUNTIF($AP992:$AX992,$AL992:$AO992)&gt;0)))</f>
        <v/>
      </c>
      <c r="BA992" s="5" t="str">
        <f aca="false">IF($B992="","",IF(AZ992&gt;0,1,0))</f>
        <v/>
      </c>
      <c r="BB992" s="5" t="str">
        <f aca="false">IF($AP992="","",IF((($AP992="Engineering and Technology")+($AP992="Science and Mathematics")+($AP992="Computer Science, IT and Allied Fields")+($AP992="Life Sciences /Medicine and Healthcare")+($AP992="Paramedical")+($AP992="Architecture")+($AP992="Environmental Service")+($AP992="Agriculture, Food Industry and Forestry"))&gt;0,"Science",IF((($AP992="Banking and Finance")+($AP992="Management and Administration")+($AP992="Marketing")+($AP992="Sales")+($AP992="Entrepreneurship")+($AP992="Hospitality and Tourism"))&gt;0,"Commerce",IF((($AP992="Social Sciences and Humanities")+($AP992="Law Studies")+($AP992="Education and Training")+($AP992="Art, Design")+($AP992="Entertainment and Mass Media")+($AP992="Community and Social Service")+($AP992="Personal Care and Services")+($AP992="Government and Public Administration")+($AP992="Defence/ Protective Service")+($AP992="Sports"))&gt;0,"Arts / Humanities",""))))</f>
        <v/>
      </c>
      <c r="BC992" s="5" t="str">
        <f aca="false">IF($AL992="","",IF((($AL992="Engineering and Technology")+($AL992="Science and Mathematics")+($AL992="Computer Science, IT and Allied Fields")+($AL992="Life Sciences /Medicine and Healthcare")+($AL992="Paramedical")+($AL992="Architecture")+($AL992="Environmental Service")+($AL992="Agriculture, Food Industry and Forestry"))&gt;0,"Science",IF((($AL992="Banking and Finance")+($AL992="Management and Administration")+($AL992="Marketing")+($AL992="Sales")+($AL992="Entrepreneurship")+($AL992="Hospitality and Tourism"))&gt;0,"Commerce",IF((($AL992="Social Sciences and Humanities")+($AL992="Law Studies")+($AL992="Education and Training")+($AL992="Art, Design")+($AL992="Entertainment and Mass Media")+($AL992="Community and Social Service")+($AL992="Personal Care and Services")+($AL992="Government and Public Administration")+($AL992="Defence/ Protective Service")+($AL992="Sports"))&gt;0,"Arts / Humanities",""))))</f>
        <v/>
      </c>
      <c r="BD992" s="5" t="str">
        <f aca="false">IF($B992="","",--(F992&gt;=10)+--(G992&gt;=10)+--(H992&gt;=10)+--(I992&gt;=10)+--(J992&gt;=10)+--(K992&gt;=10)+--(L992&gt;=10)+--(M992&gt;=10)+--(N992&gt;=10)+--(O992&gt;=10))</f>
        <v/>
      </c>
      <c r="BE992" s="5" t="str">
        <f aca="false">IF($B992="","",--(AND(F992&lt;&gt;"",F992&lt;=8))+--(AND(G992&lt;&gt;"",G992&lt;=8))+--(AND(H992&lt;&gt;"",H992&lt;=8))+--(AND(I992&lt;&gt;"",I992&lt;=8))+--(AND(J992&lt;&gt;"",J992&lt;=8))+--(AND(K992&lt;&gt;"",K992&lt;=8))+--(AND(L992&lt;&gt;"",L992&lt;=8))+--(AND(M992&lt;&gt;"",M992&lt;=8))+--(AND(N992&lt;&gt;"",N992&lt;=8))+--(AND(O992&lt;&gt;"",O992&lt;=8)))</f>
        <v/>
      </c>
    </row>
    <row r="993" customFormat="false" ht="15" hidden="false" customHeight="false" outlineLevel="0" collapsed="false">
      <c r="AZ993" s="5" t="str">
        <f aca="false">IF($B993="","",SUMPRODUCT(($AL993:$AO993&lt;&gt;"")*(COUNTIF($AP993:$AX993,$AL993:$AO993)&gt;0)))</f>
        <v/>
      </c>
      <c r="BA993" s="5" t="str">
        <f aca="false">IF($B993="","",IF(AZ993&gt;0,1,0))</f>
        <v/>
      </c>
      <c r="BB993" s="5" t="str">
        <f aca="false">IF($AP993="","",IF((($AP993="Engineering and Technology")+($AP993="Science and Mathematics")+($AP993="Computer Science, IT and Allied Fields")+($AP993="Life Sciences /Medicine and Healthcare")+($AP993="Paramedical")+($AP993="Architecture")+($AP993="Environmental Service")+($AP993="Agriculture, Food Industry and Forestry"))&gt;0,"Science",IF((($AP993="Banking and Finance")+($AP993="Management and Administration")+($AP993="Marketing")+($AP993="Sales")+($AP993="Entrepreneurship")+($AP993="Hospitality and Tourism"))&gt;0,"Commerce",IF((($AP993="Social Sciences and Humanities")+($AP993="Law Studies")+($AP993="Education and Training")+($AP993="Art, Design")+($AP993="Entertainment and Mass Media")+($AP993="Community and Social Service")+($AP993="Personal Care and Services")+($AP993="Government and Public Administration")+($AP993="Defence/ Protective Service")+($AP993="Sports"))&gt;0,"Arts / Humanities",""))))</f>
        <v/>
      </c>
      <c r="BC993" s="5" t="str">
        <f aca="false">IF($AL993="","",IF((($AL993="Engineering and Technology")+($AL993="Science and Mathematics")+($AL993="Computer Science, IT and Allied Fields")+($AL993="Life Sciences /Medicine and Healthcare")+($AL993="Paramedical")+($AL993="Architecture")+($AL993="Environmental Service")+($AL993="Agriculture, Food Industry and Forestry"))&gt;0,"Science",IF((($AL993="Banking and Finance")+($AL993="Management and Administration")+($AL993="Marketing")+($AL993="Sales")+($AL993="Entrepreneurship")+($AL993="Hospitality and Tourism"))&gt;0,"Commerce",IF((($AL993="Social Sciences and Humanities")+($AL993="Law Studies")+($AL993="Education and Training")+($AL993="Art, Design")+($AL993="Entertainment and Mass Media")+($AL993="Community and Social Service")+($AL993="Personal Care and Services")+($AL993="Government and Public Administration")+($AL993="Defence/ Protective Service")+($AL993="Sports"))&gt;0,"Arts / Humanities",""))))</f>
        <v/>
      </c>
      <c r="BD993" s="5" t="str">
        <f aca="false">IF($B993="","",--(F993&gt;=10)+--(G993&gt;=10)+--(H993&gt;=10)+--(I993&gt;=10)+--(J993&gt;=10)+--(K993&gt;=10)+--(L993&gt;=10)+--(M993&gt;=10)+--(N993&gt;=10)+--(O993&gt;=10))</f>
        <v/>
      </c>
      <c r="BE993" s="5" t="str">
        <f aca="false">IF($B993="","",--(AND(F993&lt;&gt;"",F993&lt;=8))+--(AND(G993&lt;&gt;"",G993&lt;=8))+--(AND(H993&lt;&gt;"",H993&lt;=8))+--(AND(I993&lt;&gt;"",I993&lt;=8))+--(AND(J993&lt;&gt;"",J993&lt;=8))+--(AND(K993&lt;&gt;"",K993&lt;=8))+--(AND(L993&lt;&gt;"",L993&lt;=8))+--(AND(M993&lt;&gt;"",M993&lt;=8))+--(AND(N993&lt;&gt;"",N993&lt;=8))+--(AND(O993&lt;&gt;"",O993&lt;=8)))</f>
        <v/>
      </c>
    </row>
    <row r="994" customFormat="false" ht="15" hidden="false" customHeight="false" outlineLevel="0" collapsed="false">
      <c r="AZ994" s="5" t="str">
        <f aca="false">IF($B994="","",SUMPRODUCT(($AL994:$AO994&lt;&gt;"")*(COUNTIF($AP994:$AX994,$AL994:$AO994)&gt;0)))</f>
        <v/>
      </c>
      <c r="BA994" s="5" t="str">
        <f aca="false">IF($B994="","",IF(AZ994&gt;0,1,0))</f>
        <v/>
      </c>
      <c r="BB994" s="5" t="str">
        <f aca="false">IF($AP994="","",IF((($AP994="Engineering and Technology")+($AP994="Science and Mathematics")+($AP994="Computer Science, IT and Allied Fields")+($AP994="Life Sciences /Medicine and Healthcare")+($AP994="Paramedical")+($AP994="Architecture")+($AP994="Environmental Service")+($AP994="Agriculture, Food Industry and Forestry"))&gt;0,"Science",IF((($AP994="Banking and Finance")+($AP994="Management and Administration")+($AP994="Marketing")+($AP994="Sales")+($AP994="Entrepreneurship")+($AP994="Hospitality and Tourism"))&gt;0,"Commerce",IF((($AP994="Social Sciences and Humanities")+($AP994="Law Studies")+($AP994="Education and Training")+($AP994="Art, Design")+($AP994="Entertainment and Mass Media")+($AP994="Community and Social Service")+($AP994="Personal Care and Services")+($AP994="Government and Public Administration")+($AP994="Defence/ Protective Service")+($AP994="Sports"))&gt;0,"Arts / Humanities",""))))</f>
        <v/>
      </c>
      <c r="BC994" s="5" t="str">
        <f aca="false">IF($AL994="","",IF((($AL994="Engineering and Technology")+($AL994="Science and Mathematics")+($AL994="Computer Science, IT and Allied Fields")+($AL994="Life Sciences /Medicine and Healthcare")+($AL994="Paramedical")+($AL994="Architecture")+($AL994="Environmental Service")+($AL994="Agriculture, Food Industry and Forestry"))&gt;0,"Science",IF((($AL994="Banking and Finance")+($AL994="Management and Administration")+($AL994="Marketing")+($AL994="Sales")+($AL994="Entrepreneurship")+($AL994="Hospitality and Tourism"))&gt;0,"Commerce",IF((($AL994="Social Sciences and Humanities")+($AL994="Law Studies")+($AL994="Education and Training")+($AL994="Art, Design")+($AL994="Entertainment and Mass Media")+($AL994="Community and Social Service")+($AL994="Personal Care and Services")+($AL994="Government and Public Administration")+($AL994="Defence/ Protective Service")+($AL994="Sports"))&gt;0,"Arts / Humanities",""))))</f>
        <v/>
      </c>
      <c r="BD994" s="5" t="str">
        <f aca="false">IF($B994="","",--(F994&gt;=10)+--(G994&gt;=10)+--(H994&gt;=10)+--(I994&gt;=10)+--(J994&gt;=10)+--(K994&gt;=10)+--(L994&gt;=10)+--(M994&gt;=10)+--(N994&gt;=10)+--(O994&gt;=10))</f>
        <v/>
      </c>
      <c r="BE994" s="5" t="str">
        <f aca="false">IF($B994="","",--(AND(F994&lt;&gt;"",F994&lt;=8))+--(AND(G994&lt;&gt;"",G994&lt;=8))+--(AND(H994&lt;&gt;"",H994&lt;=8))+--(AND(I994&lt;&gt;"",I994&lt;=8))+--(AND(J994&lt;&gt;"",J994&lt;=8))+--(AND(K994&lt;&gt;"",K994&lt;=8))+--(AND(L994&lt;&gt;"",L994&lt;=8))+--(AND(M994&lt;&gt;"",M994&lt;=8))+--(AND(N994&lt;&gt;"",N994&lt;=8))+--(AND(O994&lt;&gt;"",O994&lt;=8)))</f>
        <v/>
      </c>
    </row>
    <row r="995" customFormat="false" ht="15" hidden="false" customHeight="false" outlineLevel="0" collapsed="false">
      <c r="AZ995" s="5" t="str">
        <f aca="false">IF($B995="","",SUMPRODUCT(($AL995:$AO995&lt;&gt;"")*(COUNTIF($AP995:$AX995,$AL995:$AO995)&gt;0)))</f>
        <v/>
      </c>
      <c r="BA995" s="5" t="str">
        <f aca="false">IF($B995="","",IF(AZ995&gt;0,1,0))</f>
        <v/>
      </c>
      <c r="BB995" s="5" t="str">
        <f aca="false">IF($AP995="","",IF((($AP995="Engineering and Technology")+($AP995="Science and Mathematics")+($AP995="Computer Science, IT and Allied Fields")+($AP995="Life Sciences /Medicine and Healthcare")+($AP995="Paramedical")+($AP995="Architecture")+($AP995="Environmental Service")+($AP995="Agriculture, Food Industry and Forestry"))&gt;0,"Science",IF((($AP995="Banking and Finance")+($AP995="Management and Administration")+($AP995="Marketing")+($AP995="Sales")+($AP995="Entrepreneurship")+($AP995="Hospitality and Tourism"))&gt;0,"Commerce",IF((($AP995="Social Sciences and Humanities")+($AP995="Law Studies")+($AP995="Education and Training")+($AP995="Art, Design")+($AP995="Entertainment and Mass Media")+($AP995="Community and Social Service")+($AP995="Personal Care and Services")+($AP995="Government and Public Administration")+($AP995="Defence/ Protective Service")+($AP995="Sports"))&gt;0,"Arts / Humanities",""))))</f>
        <v/>
      </c>
      <c r="BC995" s="5" t="str">
        <f aca="false">IF($AL995="","",IF((($AL995="Engineering and Technology")+($AL995="Science and Mathematics")+($AL995="Computer Science, IT and Allied Fields")+($AL995="Life Sciences /Medicine and Healthcare")+($AL995="Paramedical")+($AL995="Architecture")+($AL995="Environmental Service")+($AL995="Agriculture, Food Industry and Forestry"))&gt;0,"Science",IF((($AL995="Banking and Finance")+($AL995="Management and Administration")+($AL995="Marketing")+($AL995="Sales")+($AL995="Entrepreneurship")+($AL995="Hospitality and Tourism"))&gt;0,"Commerce",IF((($AL995="Social Sciences and Humanities")+($AL995="Law Studies")+($AL995="Education and Training")+($AL995="Art, Design")+($AL995="Entertainment and Mass Media")+($AL995="Community and Social Service")+($AL995="Personal Care and Services")+($AL995="Government and Public Administration")+($AL995="Defence/ Protective Service")+($AL995="Sports"))&gt;0,"Arts / Humanities",""))))</f>
        <v/>
      </c>
      <c r="BD995" s="5" t="str">
        <f aca="false">IF($B995="","",--(F995&gt;=10)+--(G995&gt;=10)+--(H995&gt;=10)+--(I995&gt;=10)+--(J995&gt;=10)+--(K995&gt;=10)+--(L995&gt;=10)+--(M995&gt;=10)+--(N995&gt;=10)+--(O995&gt;=10))</f>
        <v/>
      </c>
      <c r="BE995" s="5" t="str">
        <f aca="false">IF($B995="","",--(AND(F995&lt;&gt;"",F995&lt;=8))+--(AND(G995&lt;&gt;"",G995&lt;=8))+--(AND(H995&lt;&gt;"",H995&lt;=8))+--(AND(I995&lt;&gt;"",I995&lt;=8))+--(AND(J995&lt;&gt;"",J995&lt;=8))+--(AND(K995&lt;&gt;"",K995&lt;=8))+--(AND(L995&lt;&gt;"",L995&lt;=8))+--(AND(M995&lt;&gt;"",M995&lt;=8))+--(AND(N995&lt;&gt;"",N995&lt;=8))+--(AND(O995&lt;&gt;"",O995&lt;=8)))</f>
        <v/>
      </c>
    </row>
    <row r="996" customFormat="false" ht="15" hidden="false" customHeight="false" outlineLevel="0" collapsed="false">
      <c r="AZ996" s="5" t="str">
        <f aca="false">IF($B996="","",SUMPRODUCT(($AL996:$AO996&lt;&gt;"")*(COUNTIF($AP996:$AX996,$AL996:$AO996)&gt;0)))</f>
        <v/>
      </c>
      <c r="BA996" s="5" t="str">
        <f aca="false">IF($B996="","",IF(AZ996&gt;0,1,0))</f>
        <v/>
      </c>
      <c r="BB996" s="5" t="str">
        <f aca="false">IF($AP996="","",IF((($AP996="Engineering and Technology")+($AP996="Science and Mathematics")+($AP996="Computer Science, IT and Allied Fields")+($AP996="Life Sciences /Medicine and Healthcare")+($AP996="Paramedical")+($AP996="Architecture")+($AP996="Environmental Service")+($AP996="Agriculture, Food Industry and Forestry"))&gt;0,"Science",IF((($AP996="Banking and Finance")+($AP996="Management and Administration")+($AP996="Marketing")+($AP996="Sales")+($AP996="Entrepreneurship")+($AP996="Hospitality and Tourism"))&gt;0,"Commerce",IF((($AP996="Social Sciences and Humanities")+($AP996="Law Studies")+($AP996="Education and Training")+($AP996="Art, Design")+($AP996="Entertainment and Mass Media")+($AP996="Community and Social Service")+($AP996="Personal Care and Services")+($AP996="Government and Public Administration")+($AP996="Defence/ Protective Service")+($AP996="Sports"))&gt;0,"Arts / Humanities",""))))</f>
        <v/>
      </c>
      <c r="BC996" s="5" t="str">
        <f aca="false">IF($AL996="","",IF((($AL996="Engineering and Technology")+($AL996="Science and Mathematics")+($AL996="Computer Science, IT and Allied Fields")+($AL996="Life Sciences /Medicine and Healthcare")+($AL996="Paramedical")+($AL996="Architecture")+($AL996="Environmental Service")+($AL996="Agriculture, Food Industry and Forestry"))&gt;0,"Science",IF((($AL996="Banking and Finance")+($AL996="Management and Administration")+($AL996="Marketing")+($AL996="Sales")+($AL996="Entrepreneurship")+($AL996="Hospitality and Tourism"))&gt;0,"Commerce",IF((($AL996="Social Sciences and Humanities")+($AL996="Law Studies")+($AL996="Education and Training")+($AL996="Art, Design")+($AL996="Entertainment and Mass Media")+($AL996="Community and Social Service")+($AL996="Personal Care and Services")+($AL996="Government and Public Administration")+($AL996="Defence/ Protective Service")+($AL996="Sports"))&gt;0,"Arts / Humanities",""))))</f>
        <v/>
      </c>
      <c r="BD996" s="5" t="str">
        <f aca="false">IF($B996="","",--(F996&gt;=10)+--(G996&gt;=10)+--(H996&gt;=10)+--(I996&gt;=10)+--(J996&gt;=10)+--(K996&gt;=10)+--(L996&gt;=10)+--(M996&gt;=10)+--(N996&gt;=10)+--(O996&gt;=10))</f>
        <v/>
      </c>
      <c r="BE996" s="5" t="str">
        <f aca="false">IF($B996="","",--(AND(F996&lt;&gt;"",F996&lt;=8))+--(AND(G996&lt;&gt;"",G996&lt;=8))+--(AND(H996&lt;&gt;"",H996&lt;=8))+--(AND(I996&lt;&gt;"",I996&lt;=8))+--(AND(J996&lt;&gt;"",J996&lt;=8))+--(AND(K996&lt;&gt;"",K996&lt;=8))+--(AND(L996&lt;&gt;"",L996&lt;=8))+--(AND(M996&lt;&gt;"",M996&lt;=8))+--(AND(N996&lt;&gt;"",N996&lt;=8))+--(AND(O996&lt;&gt;"",O996&lt;=8)))</f>
        <v/>
      </c>
    </row>
    <row r="997" customFormat="false" ht="15" hidden="false" customHeight="false" outlineLevel="0" collapsed="false">
      <c r="AZ997" s="5" t="str">
        <f aca="false">IF($B997="","",SUMPRODUCT(($AL997:$AO997&lt;&gt;"")*(COUNTIF($AP997:$AX997,$AL997:$AO997)&gt;0)))</f>
        <v/>
      </c>
      <c r="BA997" s="5" t="str">
        <f aca="false">IF($B997="","",IF(AZ997&gt;0,1,0))</f>
        <v/>
      </c>
      <c r="BB997" s="5" t="str">
        <f aca="false">IF($AP997="","",IF((($AP997="Engineering and Technology")+($AP997="Science and Mathematics")+($AP997="Computer Science, IT and Allied Fields")+($AP997="Life Sciences /Medicine and Healthcare")+($AP997="Paramedical")+($AP997="Architecture")+($AP997="Environmental Service")+($AP997="Agriculture, Food Industry and Forestry"))&gt;0,"Science",IF((($AP997="Banking and Finance")+($AP997="Management and Administration")+($AP997="Marketing")+($AP997="Sales")+($AP997="Entrepreneurship")+($AP997="Hospitality and Tourism"))&gt;0,"Commerce",IF((($AP997="Social Sciences and Humanities")+($AP997="Law Studies")+($AP997="Education and Training")+($AP997="Art, Design")+($AP997="Entertainment and Mass Media")+($AP997="Community and Social Service")+($AP997="Personal Care and Services")+($AP997="Government and Public Administration")+($AP997="Defence/ Protective Service")+($AP997="Sports"))&gt;0,"Arts / Humanities",""))))</f>
        <v/>
      </c>
      <c r="BC997" s="5" t="str">
        <f aca="false">IF($AL997="","",IF((($AL997="Engineering and Technology")+($AL997="Science and Mathematics")+($AL997="Computer Science, IT and Allied Fields")+($AL997="Life Sciences /Medicine and Healthcare")+($AL997="Paramedical")+($AL997="Architecture")+($AL997="Environmental Service")+($AL997="Agriculture, Food Industry and Forestry"))&gt;0,"Science",IF((($AL997="Banking and Finance")+($AL997="Management and Administration")+($AL997="Marketing")+($AL997="Sales")+($AL997="Entrepreneurship")+($AL997="Hospitality and Tourism"))&gt;0,"Commerce",IF((($AL997="Social Sciences and Humanities")+($AL997="Law Studies")+($AL997="Education and Training")+($AL997="Art, Design")+($AL997="Entertainment and Mass Media")+($AL997="Community and Social Service")+($AL997="Personal Care and Services")+($AL997="Government and Public Administration")+($AL997="Defence/ Protective Service")+($AL997="Sports"))&gt;0,"Arts / Humanities",""))))</f>
        <v/>
      </c>
      <c r="BD997" s="5" t="str">
        <f aca="false">IF($B997="","",--(F997&gt;=10)+--(G997&gt;=10)+--(H997&gt;=10)+--(I997&gt;=10)+--(J997&gt;=10)+--(K997&gt;=10)+--(L997&gt;=10)+--(M997&gt;=10)+--(N997&gt;=10)+--(O997&gt;=10))</f>
        <v/>
      </c>
      <c r="BE997" s="5" t="str">
        <f aca="false">IF($B997="","",--(AND(F997&lt;&gt;"",F997&lt;=8))+--(AND(G997&lt;&gt;"",G997&lt;=8))+--(AND(H997&lt;&gt;"",H997&lt;=8))+--(AND(I997&lt;&gt;"",I997&lt;=8))+--(AND(J997&lt;&gt;"",J997&lt;=8))+--(AND(K997&lt;&gt;"",K997&lt;=8))+--(AND(L997&lt;&gt;"",L997&lt;=8))+--(AND(M997&lt;&gt;"",M997&lt;=8))+--(AND(N997&lt;&gt;"",N997&lt;=8))+--(AND(O997&lt;&gt;"",O997&lt;=8)))</f>
        <v/>
      </c>
    </row>
    <row r="998" customFormat="false" ht="15" hidden="false" customHeight="false" outlineLevel="0" collapsed="false">
      <c r="AZ998" s="5" t="str">
        <f aca="false">IF($B998="","",SUMPRODUCT(($AL998:$AO998&lt;&gt;"")*(COUNTIF($AP998:$AX998,$AL998:$AO998)&gt;0)))</f>
        <v/>
      </c>
      <c r="BA998" s="5" t="str">
        <f aca="false">IF($B998="","",IF(AZ998&gt;0,1,0))</f>
        <v/>
      </c>
      <c r="BB998" s="5" t="str">
        <f aca="false">IF($AP998="","",IF((($AP998="Engineering and Technology")+($AP998="Science and Mathematics")+($AP998="Computer Science, IT and Allied Fields")+($AP998="Life Sciences /Medicine and Healthcare")+($AP998="Paramedical")+($AP998="Architecture")+($AP998="Environmental Service")+($AP998="Agriculture, Food Industry and Forestry"))&gt;0,"Science",IF((($AP998="Banking and Finance")+($AP998="Management and Administration")+($AP998="Marketing")+($AP998="Sales")+($AP998="Entrepreneurship")+($AP998="Hospitality and Tourism"))&gt;0,"Commerce",IF((($AP998="Social Sciences and Humanities")+($AP998="Law Studies")+($AP998="Education and Training")+($AP998="Art, Design")+($AP998="Entertainment and Mass Media")+($AP998="Community and Social Service")+($AP998="Personal Care and Services")+($AP998="Government and Public Administration")+($AP998="Defence/ Protective Service")+($AP998="Sports"))&gt;0,"Arts / Humanities",""))))</f>
        <v/>
      </c>
      <c r="BC998" s="5" t="str">
        <f aca="false">IF($AL998="","",IF((($AL998="Engineering and Technology")+($AL998="Science and Mathematics")+($AL998="Computer Science, IT and Allied Fields")+($AL998="Life Sciences /Medicine and Healthcare")+($AL998="Paramedical")+($AL998="Architecture")+($AL998="Environmental Service")+($AL998="Agriculture, Food Industry and Forestry"))&gt;0,"Science",IF((($AL998="Banking and Finance")+($AL998="Management and Administration")+($AL998="Marketing")+($AL998="Sales")+($AL998="Entrepreneurship")+($AL998="Hospitality and Tourism"))&gt;0,"Commerce",IF((($AL998="Social Sciences and Humanities")+($AL998="Law Studies")+($AL998="Education and Training")+($AL998="Art, Design")+($AL998="Entertainment and Mass Media")+($AL998="Community and Social Service")+($AL998="Personal Care and Services")+($AL998="Government and Public Administration")+($AL998="Defence/ Protective Service")+($AL998="Sports"))&gt;0,"Arts / Humanities",""))))</f>
        <v/>
      </c>
      <c r="BD998" s="5" t="str">
        <f aca="false">IF($B998="","",--(F998&gt;=10)+--(G998&gt;=10)+--(H998&gt;=10)+--(I998&gt;=10)+--(J998&gt;=10)+--(K998&gt;=10)+--(L998&gt;=10)+--(M998&gt;=10)+--(N998&gt;=10)+--(O998&gt;=10))</f>
        <v/>
      </c>
      <c r="BE998" s="5" t="str">
        <f aca="false">IF($B998="","",--(AND(F998&lt;&gt;"",F998&lt;=8))+--(AND(G998&lt;&gt;"",G998&lt;=8))+--(AND(H998&lt;&gt;"",H998&lt;=8))+--(AND(I998&lt;&gt;"",I998&lt;=8))+--(AND(J998&lt;&gt;"",J998&lt;=8))+--(AND(K998&lt;&gt;"",K998&lt;=8))+--(AND(L998&lt;&gt;"",L998&lt;=8))+--(AND(M998&lt;&gt;"",M998&lt;=8))+--(AND(N998&lt;&gt;"",N998&lt;=8))+--(AND(O998&lt;&gt;"",O998&lt;=8)))</f>
        <v/>
      </c>
    </row>
    <row r="999" customFormat="false" ht="15" hidden="false" customHeight="false" outlineLevel="0" collapsed="false">
      <c r="AZ999" s="5" t="str">
        <f aca="false">IF($B999="","",SUMPRODUCT(($AL999:$AO999&lt;&gt;"")*(COUNTIF($AP999:$AX999,$AL999:$AO999)&gt;0)))</f>
        <v/>
      </c>
      <c r="BA999" s="5" t="str">
        <f aca="false">IF($B999="","",IF(AZ999&gt;0,1,0))</f>
        <v/>
      </c>
      <c r="BB999" s="5" t="str">
        <f aca="false">IF($AP999="","",IF((($AP999="Engineering and Technology")+($AP999="Science and Mathematics")+($AP999="Computer Science, IT and Allied Fields")+($AP999="Life Sciences /Medicine and Healthcare")+($AP999="Paramedical")+($AP999="Architecture")+($AP999="Environmental Service")+($AP999="Agriculture, Food Industry and Forestry"))&gt;0,"Science",IF((($AP999="Banking and Finance")+($AP999="Management and Administration")+($AP999="Marketing")+($AP999="Sales")+($AP999="Entrepreneurship")+($AP999="Hospitality and Tourism"))&gt;0,"Commerce",IF((($AP999="Social Sciences and Humanities")+($AP999="Law Studies")+($AP999="Education and Training")+($AP999="Art, Design")+($AP999="Entertainment and Mass Media")+($AP999="Community and Social Service")+($AP999="Personal Care and Services")+($AP999="Government and Public Administration")+($AP999="Defence/ Protective Service")+($AP999="Sports"))&gt;0,"Arts / Humanities",""))))</f>
        <v/>
      </c>
      <c r="BC999" s="5" t="str">
        <f aca="false">IF($AL999="","",IF((($AL999="Engineering and Technology")+($AL999="Science and Mathematics")+($AL999="Computer Science, IT and Allied Fields")+($AL999="Life Sciences /Medicine and Healthcare")+($AL999="Paramedical")+($AL999="Architecture")+($AL999="Environmental Service")+($AL999="Agriculture, Food Industry and Forestry"))&gt;0,"Science",IF((($AL999="Banking and Finance")+($AL999="Management and Administration")+($AL999="Marketing")+($AL999="Sales")+($AL999="Entrepreneurship")+($AL999="Hospitality and Tourism"))&gt;0,"Commerce",IF((($AL999="Social Sciences and Humanities")+($AL999="Law Studies")+($AL999="Education and Training")+($AL999="Art, Design")+($AL999="Entertainment and Mass Media")+($AL999="Community and Social Service")+($AL999="Personal Care and Services")+($AL999="Government and Public Administration")+($AL999="Defence/ Protective Service")+($AL999="Sports"))&gt;0,"Arts / Humanities",""))))</f>
        <v/>
      </c>
      <c r="BD999" s="5" t="str">
        <f aca="false">IF($B999="","",--(F999&gt;=10)+--(G999&gt;=10)+--(H999&gt;=10)+--(I999&gt;=10)+--(J999&gt;=10)+--(K999&gt;=10)+--(L999&gt;=10)+--(M999&gt;=10)+--(N999&gt;=10)+--(O999&gt;=10))</f>
        <v/>
      </c>
      <c r="BE999" s="5" t="str">
        <f aca="false">IF($B999="","",--(AND(F999&lt;&gt;"",F999&lt;=8))+--(AND(G999&lt;&gt;"",G999&lt;=8))+--(AND(H999&lt;&gt;"",H999&lt;=8))+--(AND(I999&lt;&gt;"",I999&lt;=8))+--(AND(J999&lt;&gt;"",J999&lt;=8))+--(AND(K999&lt;&gt;"",K999&lt;=8))+--(AND(L999&lt;&gt;"",L999&lt;=8))+--(AND(M999&lt;&gt;"",M999&lt;=8))+--(AND(N999&lt;&gt;"",N999&lt;=8))+--(AND(O999&lt;&gt;"",O999&lt;=8)))</f>
        <v/>
      </c>
    </row>
    <row r="1000" customFormat="false" ht="15" hidden="false" customHeight="false" outlineLevel="0" collapsed="false">
      <c r="AZ1000" s="5" t="str">
        <f aca="false">IF($B1000="","",SUMPRODUCT(($AL1000:$AO1000&lt;&gt;"")*(COUNTIF($AP1000:$AX1000,$AL1000:$AO1000)&gt;0)))</f>
        <v/>
      </c>
      <c r="BA1000" s="5" t="str">
        <f aca="false">IF($B1000="","",IF(AZ1000&gt;0,1,0))</f>
        <v/>
      </c>
      <c r="BB1000" s="5" t="str">
        <f aca="false">IF($AP1000="","",IF((($AP1000="Engineering and Technology")+($AP1000="Science and Mathematics")+($AP1000="Computer Science, IT and Allied Fields")+($AP1000="Life Sciences /Medicine and Healthcare")+($AP1000="Paramedical")+($AP1000="Architecture")+($AP1000="Environmental Service")+($AP1000="Agriculture, Food Industry and Forestry"))&gt;0,"Science",IF((($AP1000="Banking and Finance")+($AP1000="Management and Administration")+($AP1000="Marketing")+($AP1000="Sales")+($AP1000="Entrepreneurship")+($AP1000="Hospitality and Tourism"))&gt;0,"Commerce",IF((($AP1000="Social Sciences and Humanities")+($AP1000="Law Studies")+($AP1000="Education and Training")+($AP1000="Art, Design")+($AP1000="Entertainment and Mass Media")+($AP1000="Community and Social Service")+($AP1000="Personal Care and Services")+($AP1000="Government and Public Administration")+($AP1000="Defence/ Protective Service")+($AP1000="Sports"))&gt;0,"Arts / Humanities",""))))</f>
        <v/>
      </c>
      <c r="BC1000" s="5" t="str">
        <f aca="false">IF($AL1000="","",IF((($AL1000="Engineering and Technology")+($AL1000="Science and Mathematics")+($AL1000="Computer Science, IT and Allied Fields")+($AL1000="Life Sciences /Medicine and Healthcare")+($AL1000="Paramedical")+($AL1000="Architecture")+($AL1000="Environmental Service")+($AL1000="Agriculture, Food Industry and Forestry"))&gt;0,"Science",IF((($AL1000="Banking and Finance")+($AL1000="Management and Administration")+($AL1000="Marketing")+($AL1000="Sales")+($AL1000="Entrepreneurship")+($AL1000="Hospitality and Tourism"))&gt;0,"Commerce",IF((($AL1000="Social Sciences and Humanities")+($AL1000="Law Studies")+($AL1000="Education and Training")+($AL1000="Art, Design")+($AL1000="Entertainment and Mass Media")+($AL1000="Community and Social Service")+($AL1000="Personal Care and Services")+($AL1000="Government and Public Administration")+($AL1000="Defence/ Protective Service")+($AL1000="Sports"))&gt;0,"Arts / Humanities",""))))</f>
        <v/>
      </c>
      <c r="BD1000" s="5" t="str">
        <f aca="false">IF($B1000="","",--(F1000&gt;=10)+--(G1000&gt;=10)+--(H1000&gt;=10)+--(I1000&gt;=10)+--(J1000&gt;=10)+--(K1000&gt;=10)+--(L1000&gt;=10)+--(M1000&gt;=10)+--(N1000&gt;=10)+--(O1000&gt;=10))</f>
        <v/>
      </c>
      <c r="BE1000" s="5" t="str">
        <f aca="false">IF($B1000="","",--(AND(F1000&lt;&gt;"",F1000&lt;=8))+--(AND(G1000&lt;&gt;"",G1000&lt;=8))+--(AND(H1000&lt;&gt;"",H1000&lt;=8))+--(AND(I1000&lt;&gt;"",I1000&lt;=8))+--(AND(J1000&lt;&gt;"",J1000&lt;=8))+--(AND(K1000&lt;&gt;"",K1000&lt;=8))+--(AND(L1000&lt;&gt;"",L1000&lt;=8))+--(AND(M1000&lt;&gt;"",M1000&lt;=8))+--(AND(N1000&lt;&gt;"",N1000&lt;=8))+--(AND(O1000&lt;&gt;"",O1000&lt;=8)))</f>
        <v/>
      </c>
    </row>
    <row r="1001" customFormat="false" ht="15" hidden="false" customHeight="false" outlineLevel="0" collapsed="false">
      <c r="AZ1001" s="5" t="str">
        <f aca="false">IF($B1001="","",SUMPRODUCT(($AL1001:$AO1001&lt;&gt;"")*(COUNTIF($AP1001:$AX1001,$AL1001:$AO1001)&gt;0)))</f>
        <v/>
      </c>
      <c r="BA1001" s="5" t="str">
        <f aca="false">IF($B1001="","",IF(AZ1001&gt;0,1,0))</f>
        <v/>
      </c>
      <c r="BB1001" s="5" t="str">
        <f aca="false">IF($AP1001="","",IF((($AP1001="Engineering and Technology")+($AP1001="Science and Mathematics")+($AP1001="Computer Science, IT and Allied Fields")+($AP1001="Life Sciences /Medicine and Healthcare")+($AP1001="Paramedical")+($AP1001="Architecture")+($AP1001="Environmental Service")+($AP1001="Agriculture, Food Industry and Forestry"))&gt;0,"Science",IF((($AP1001="Banking and Finance")+($AP1001="Management and Administration")+($AP1001="Marketing")+($AP1001="Sales")+($AP1001="Entrepreneurship")+($AP1001="Hospitality and Tourism"))&gt;0,"Commerce",IF((($AP1001="Social Sciences and Humanities")+($AP1001="Law Studies")+($AP1001="Education and Training")+($AP1001="Art, Design")+($AP1001="Entertainment and Mass Media")+($AP1001="Community and Social Service")+($AP1001="Personal Care and Services")+($AP1001="Government and Public Administration")+($AP1001="Defence/ Protective Service")+($AP1001="Sports"))&gt;0,"Arts / Humanities",""))))</f>
        <v/>
      </c>
      <c r="BC1001" s="5" t="str">
        <f aca="false">IF($AL1001="","",IF((($AL1001="Engineering and Technology")+($AL1001="Science and Mathematics")+($AL1001="Computer Science, IT and Allied Fields")+($AL1001="Life Sciences /Medicine and Healthcare")+($AL1001="Paramedical")+($AL1001="Architecture")+($AL1001="Environmental Service")+($AL1001="Agriculture, Food Industry and Forestry"))&gt;0,"Science",IF((($AL1001="Banking and Finance")+($AL1001="Management and Administration")+($AL1001="Marketing")+($AL1001="Sales")+($AL1001="Entrepreneurship")+($AL1001="Hospitality and Tourism"))&gt;0,"Commerce",IF((($AL1001="Social Sciences and Humanities")+($AL1001="Law Studies")+($AL1001="Education and Training")+($AL1001="Art, Design")+($AL1001="Entertainment and Mass Media")+($AL1001="Community and Social Service")+($AL1001="Personal Care and Services")+($AL1001="Government and Public Administration")+($AL1001="Defence/ Protective Service")+($AL1001="Sports"))&gt;0,"Arts / Humanities",""))))</f>
        <v/>
      </c>
      <c r="BD1001" s="5" t="str">
        <f aca="false">IF($B1001="","",--(F1001&gt;=10)+--(G1001&gt;=10)+--(H1001&gt;=10)+--(I1001&gt;=10)+--(J1001&gt;=10)+--(K1001&gt;=10)+--(L1001&gt;=10)+--(M1001&gt;=10)+--(N1001&gt;=10)+--(O1001&gt;=10))</f>
        <v/>
      </c>
      <c r="BE1001" s="5" t="str">
        <f aca="false">IF($B1001="","",--(AND(F1001&lt;&gt;"",F1001&lt;=8))+--(AND(G1001&lt;&gt;"",G1001&lt;=8))+--(AND(H1001&lt;&gt;"",H1001&lt;=8))+--(AND(I1001&lt;&gt;"",I1001&lt;=8))+--(AND(J1001&lt;&gt;"",J1001&lt;=8))+--(AND(K1001&lt;&gt;"",K1001&lt;=8))+--(AND(L1001&lt;&gt;"",L1001&lt;=8))+--(AND(M1001&lt;&gt;"",M1001&lt;=8))+--(AND(N1001&lt;&gt;"",N1001&lt;=8))+--(AND(O1001&lt;&gt;"",O1001&lt;=8)))</f>
        <v/>
      </c>
    </row>
    <row r="1002" customFormat="false" ht="15" hidden="false" customHeight="false" outlineLevel="0" collapsed="false">
      <c r="AZ1002" s="5" t="str">
        <f aca="false">IF($B1002="","",SUMPRODUCT(($AL1002:$AO1002&lt;&gt;"")*(COUNTIF($AP1002:$AX1002,$AL1002:$AO1002)&gt;0)))</f>
        <v/>
      </c>
      <c r="BA1002" s="5" t="str">
        <f aca="false">IF($B1002="","",IF(AZ1002&gt;0,1,0))</f>
        <v/>
      </c>
      <c r="BB1002" s="5" t="str">
        <f aca="false">IF($AP1002="","",IF((($AP1002="Engineering and Technology")+($AP1002="Science and Mathematics")+($AP1002="Computer Science, IT and Allied Fields")+($AP1002="Life Sciences /Medicine and Healthcare")+($AP1002="Paramedical")+($AP1002="Architecture")+($AP1002="Environmental Service")+($AP1002="Agriculture, Food Industry and Forestry"))&gt;0,"Science",IF((($AP1002="Banking and Finance")+($AP1002="Management and Administration")+($AP1002="Marketing")+($AP1002="Sales")+($AP1002="Entrepreneurship")+($AP1002="Hospitality and Tourism"))&gt;0,"Commerce",IF((($AP1002="Social Sciences and Humanities")+($AP1002="Law Studies")+($AP1002="Education and Training")+($AP1002="Art, Design")+($AP1002="Entertainment and Mass Media")+($AP1002="Community and Social Service")+($AP1002="Personal Care and Services")+($AP1002="Government and Public Administration")+($AP1002="Defence/ Protective Service")+($AP1002="Sports"))&gt;0,"Arts / Humanities",""))))</f>
        <v/>
      </c>
      <c r="BC1002" s="5" t="str">
        <f aca="false">IF($AL1002="","",IF((($AL1002="Engineering and Technology")+($AL1002="Science and Mathematics")+($AL1002="Computer Science, IT and Allied Fields")+($AL1002="Life Sciences /Medicine and Healthcare")+($AL1002="Paramedical")+($AL1002="Architecture")+($AL1002="Environmental Service")+($AL1002="Agriculture, Food Industry and Forestry"))&gt;0,"Science",IF((($AL1002="Banking and Finance")+($AL1002="Management and Administration")+($AL1002="Marketing")+($AL1002="Sales")+($AL1002="Entrepreneurship")+($AL1002="Hospitality and Tourism"))&gt;0,"Commerce",IF((($AL1002="Social Sciences and Humanities")+($AL1002="Law Studies")+($AL1002="Education and Training")+($AL1002="Art, Design")+($AL1002="Entertainment and Mass Media")+($AL1002="Community and Social Service")+($AL1002="Personal Care and Services")+($AL1002="Government and Public Administration")+($AL1002="Defence/ Protective Service")+($AL1002="Sports"))&gt;0,"Arts / Humanities",""))))</f>
        <v/>
      </c>
      <c r="BD1002" s="5" t="str">
        <f aca="false">IF($B1002="","",--(F1002&gt;=10)+--(G1002&gt;=10)+--(H1002&gt;=10)+--(I1002&gt;=10)+--(J1002&gt;=10)+--(K1002&gt;=10)+--(L1002&gt;=10)+--(M1002&gt;=10)+--(N1002&gt;=10)+--(O1002&gt;=10))</f>
        <v/>
      </c>
      <c r="BE1002" s="5" t="str">
        <f aca="false">IF($B1002="","",--(AND(F1002&lt;&gt;"",F1002&lt;=8))+--(AND(G1002&lt;&gt;"",G1002&lt;=8))+--(AND(H1002&lt;&gt;"",H1002&lt;=8))+--(AND(I1002&lt;&gt;"",I1002&lt;=8))+--(AND(J1002&lt;&gt;"",J1002&lt;=8))+--(AND(K1002&lt;&gt;"",K1002&lt;=8))+--(AND(L1002&lt;&gt;"",L1002&lt;=8))+--(AND(M1002&lt;&gt;"",M1002&lt;=8))+--(AND(N1002&lt;&gt;"",N1002&lt;=8))+--(AND(O1002&lt;&gt;"",O1002&lt;=8)))</f>
        <v/>
      </c>
    </row>
    <row r="1003" customFormat="false" ht="15" hidden="false" customHeight="false" outlineLevel="0" collapsed="false">
      <c r="AZ1003" s="5" t="str">
        <f aca="false">IF($B1003="","",SUMPRODUCT(($AL1003:$AO1003&lt;&gt;"")*(COUNTIF($AP1003:$AX1003,$AL1003:$AO1003)&gt;0)))</f>
        <v/>
      </c>
      <c r="BA1003" s="5" t="str">
        <f aca="false">IF($B1003="","",IF(AZ1003&gt;0,1,0))</f>
        <v/>
      </c>
      <c r="BB1003" s="5" t="str">
        <f aca="false">IF($AP1003="","",IF((($AP1003="Engineering and Technology")+($AP1003="Science and Mathematics")+($AP1003="Computer Science, IT and Allied Fields")+($AP1003="Life Sciences /Medicine and Healthcare")+($AP1003="Paramedical")+($AP1003="Architecture")+($AP1003="Environmental Service")+($AP1003="Agriculture, Food Industry and Forestry"))&gt;0,"Science",IF((($AP1003="Banking and Finance")+($AP1003="Management and Administration")+($AP1003="Marketing")+($AP1003="Sales")+($AP1003="Entrepreneurship")+($AP1003="Hospitality and Tourism"))&gt;0,"Commerce",IF((($AP1003="Social Sciences and Humanities")+($AP1003="Law Studies")+($AP1003="Education and Training")+($AP1003="Art, Design")+($AP1003="Entertainment and Mass Media")+($AP1003="Community and Social Service")+($AP1003="Personal Care and Services")+($AP1003="Government and Public Administration")+($AP1003="Defence/ Protective Service")+($AP1003="Sports"))&gt;0,"Arts / Humanities",""))))</f>
        <v/>
      </c>
      <c r="BC1003" s="5" t="str">
        <f aca="false">IF($AL1003="","",IF((($AL1003="Engineering and Technology")+($AL1003="Science and Mathematics")+($AL1003="Computer Science, IT and Allied Fields")+($AL1003="Life Sciences /Medicine and Healthcare")+($AL1003="Paramedical")+($AL1003="Architecture")+($AL1003="Environmental Service")+($AL1003="Agriculture, Food Industry and Forestry"))&gt;0,"Science",IF((($AL1003="Banking and Finance")+($AL1003="Management and Administration")+($AL1003="Marketing")+($AL1003="Sales")+($AL1003="Entrepreneurship")+($AL1003="Hospitality and Tourism"))&gt;0,"Commerce",IF((($AL1003="Social Sciences and Humanities")+($AL1003="Law Studies")+($AL1003="Education and Training")+($AL1003="Art, Design")+($AL1003="Entertainment and Mass Media")+($AL1003="Community and Social Service")+($AL1003="Personal Care and Services")+($AL1003="Government and Public Administration")+($AL1003="Defence/ Protective Service")+($AL1003="Sports"))&gt;0,"Arts / Humanities",""))))</f>
        <v/>
      </c>
      <c r="BD1003" s="5" t="str">
        <f aca="false">IF($B1003="","",--(F1003&gt;=10)+--(G1003&gt;=10)+--(H1003&gt;=10)+--(I1003&gt;=10)+--(J1003&gt;=10)+--(K1003&gt;=10)+--(L1003&gt;=10)+--(M1003&gt;=10)+--(N1003&gt;=10)+--(O1003&gt;=10))</f>
        <v/>
      </c>
      <c r="BE1003" s="5" t="str">
        <f aca="false">IF($B1003="","",--(AND(F1003&lt;&gt;"",F1003&lt;=8))+--(AND(G1003&lt;&gt;"",G1003&lt;=8))+--(AND(H1003&lt;&gt;"",H1003&lt;=8))+--(AND(I1003&lt;&gt;"",I1003&lt;=8))+--(AND(J1003&lt;&gt;"",J1003&lt;=8))+--(AND(K1003&lt;&gt;"",K1003&lt;=8))+--(AND(L1003&lt;&gt;"",L1003&lt;=8))+--(AND(M1003&lt;&gt;"",M1003&lt;=8))+--(AND(N1003&lt;&gt;"",N1003&lt;=8))+--(AND(O1003&lt;&gt;"",O1003&lt;=8)))</f>
        <v/>
      </c>
    </row>
    <row r="1004" customFormat="false" ht="15" hidden="false" customHeight="false" outlineLevel="0" collapsed="false">
      <c r="AZ1004" s="5" t="str">
        <f aca="false">IF($B1004="","",SUMPRODUCT(($AL1004:$AO1004&lt;&gt;"")*(COUNTIF($AP1004:$AX1004,$AL1004:$AO1004)&gt;0)))</f>
        <v/>
      </c>
      <c r="BA1004" s="5" t="str">
        <f aca="false">IF($B1004="","",IF(AZ1004&gt;0,1,0))</f>
        <v/>
      </c>
      <c r="BB1004" s="5" t="str">
        <f aca="false">IF($AP1004="","",IF((($AP1004="Engineering and Technology")+($AP1004="Science and Mathematics")+($AP1004="Computer Science, IT and Allied Fields")+($AP1004="Life Sciences /Medicine and Healthcare")+($AP1004="Paramedical")+($AP1004="Architecture")+($AP1004="Environmental Service")+($AP1004="Agriculture, Food Industry and Forestry"))&gt;0,"Science",IF((($AP1004="Banking and Finance")+($AP1004="Management and Administration")+($AP1004="Marketing")+($AP1004="Sales")+($AP1004="Entrepreneurship")+($AP1004="Hospitality and Tourism"))&gt;0,"Commerce",IF((($AP1004="Social Sciences and Humanities")+($AP1004="Law Studies")+($AP1004="Education and Training")+($AP1004="Art, Design")+($AP1004="Entertainment and Mass Media")+($AP1004="Community and Social Service")+($AP1004="Personal Care and Services")+($AP1004="Government and Public Administration")+($AP1004="Defence/ Protective Service")+($AP1004="Sports"))&gt;0,"Arts / Humanities",""))))</f>
        <v/>
      </c>
      <c r="BC1004" s="5" t="str">
        <f aca="false">IF($AL1004="","",IF((($AL1004="Engineering and Technology")+($AL1004="Science and Mathematics")+($AL1004="Computer Science, IT and Allied Fields")+($AL1004="Life Sciences /Medicine and Healthcare")+($AL1004="Paramedical")+($AL1004="Architecture")+($AL1004="Environmental Service")+($AL1004="Agriculture, Food Industry and Forestry"))&gt;0,"Science",IF((($AL1004="Banking and Finance")+($AL1004="Management and Administration")+($AL1004="Marketing")+($AL1004="Sales")+($AL1004="Entrepreneurship")+($AL1004="Hospitality and Tourism"))&gt;0,"Commerce",IF((($AL1004="Social Sciences and Humanities")+($AL1004="Law Studies")+($AL1004="Education and Training")+($AL1004="Art, Design")+($AL1004="Entertainment and Mass Media")+($AL1004="Community and Social Service")+($AL1004="Personal Care and Services")+($AL1004="Government and Public Administration")+($AL1004="Defence/ Protective Service")+($AL1004="Sports"))&gt;0,"Arts / Humanities",""))))</f>
        <v/>
      </c>
      <c r="BD1004" s="5" t="str">
        <f aca="false">IF($B1004="","",--(F1004&gt;=10)+--(G1004&gt;=10)+--(H1004&gt;=10)+--(I1004&gt;=10)+--(J1004&gt;=10)+--(K1004&gt;=10)+--(L1004&gt;=10)+--(M1004&gt;=10)+--(N1004&gt;=10)+--(O1004&gt;=10))</f>
        <v/>
      </c>
      <c r="BE1004" s="5" t="str">
        <f aca="false">IF($B1004="","",--(AND(F1004&lt;&gt;"",F1004&lt;=8))+--(AND(G1004&lt;&gt;"",G1004&lt;=8))+--(AND(H1004&lt;&gt;"",H1004&lt;=8))+--(AND(I1004&lt;&gt;"",I1004&lt;=8))+--(AND(J1004&lt;&gt;"",J1004&lt;=8))+--(AND(K1004&lt;&gt;"",K1004&lt;=8))+--(AND(L1004&lt;&gt;"",L1004&lt;=8))+--(AND(M1004&lt;&gt;"",M1004&lt;=8))+--(AND(N1004&lt;&gt;"",N1004&lt;=8))+--(AND(O1004&lt;&gt;"",O1004&lt;=8)))</f>
        <v/>
      </c>
    </row>
    <row r="1005" customFormat="false" ht="15" hidden="false" customHeight="false" outlineLevel="0" collapsed="false">
      <c r="AZ1005" s="5" t="str">
        <f aca="false">IF($B1005="","",SUMPRODUCT(($AL1005:$AO1005&lt;&gt;"")*(COUNTIF($AP1005:$AX1005,$AL1005:$AO1005)&gt;0)))</f>
        <v/>
      </c>
      <c r="BA1005" s="5" t="str">
        <f aca="false">IF($B1005="","",IF(AZ1005&gt;0,1,0))</f>
        <v/>
      </c>
      <c r="BB1005" s="5" t="str">
        <f aca="false">IF($AP1005="","",IF((($AP1005="Engineering and Technology")+($AP1005="Science and Mathematics")+($AP1005="Computer Science, IT and Allied Fields")+($AP1005="Life Sciences /Medicine and Healthcare")+($AP1005="Paramedical")+($AP1005="Architecture")+($AP1005="Environmental Service")+($AP1005="Agriculture, Food Industry and Forestry"))&gt;0,"Science",IF((($AP1005="Banking and Finance")+($AP1005="Management and Administration")+($AP1005="Marketing")+($AP1005="Sales")+($AP1005="Entrepreneurship")+($AP1005="Hospitality and Tourism"))&gt;0,"Commerce",IF((($AP1005="Social Sciences and Humanities")+($AP1005="Law Studies")+($AP1005="Education and Training")+($AP1005="Art, Design")+($AP1005="Entertainment and Mass Media")+($AP1005="Community and Social Service")+($AP1005="Personal Care and Services")+($AP1005="Government and Public Administration")+($AP1005="Defence/ Protective Service")+($AP1005="Sports"))&gt;0,"Arts / Humanities",""))))</f>
        <v/>
      </c>
      <c r="BC1005" s="5" t="str">
        <f aca="false">IF($AL1005="","",IF((($AL1005="Engineering and Technology")+($AL1005="Science and Mathematics")+($AL1005="Computer Science, IT and Allied Fields")+($AL1005="Life Sciences /Medicine and Healthcare")+($AL1005="Paramedical")+($AL1005="Architecture")+($AL1005="Environmental Service")+($AL1005="Agriculture, Food Industry and Forestry"))&gt;0,"Science",IF((($AL1005="Banking and Finance")+($AL1005="Management and Administration")+($AL1005="Marketing")+($AL1005="Sales")+($AL1005="Entrepreneurship")+($AL1005="Hospitality and Tourism"))&gt;0,"Commerce",IF((($AL1005="Social Sciences and Humanities")+($AL1005="Law Studies")+($AL1005="Education and Training")+($AL1005="Art, Design")+($AL1005="Entertainment and Mass Media")+($AL1005="Community and Social Service")+($AL1005="Personal Care and Services")+($AL1005="Government and Public Administration")+($AL1005="Defence/ Protective Service")+($AL1005="Sports"))&gt;0,"Arts / Humanities",""))))</f>
        <v/>
      </c>
      <c r="BD1005" s="5" t="str">
        <f aca="false">IF($B1005="","",--(F1005&gt;=10)+--(G1005&gt;=10)+--(H1005&gt;=10)+--(I1005&gt;=10)+--(J1005&gt;=10)+--(K1005&gt;=10)+--(L1005&gt;=10)+--(M1005&gt;=10)+--(N1005&gt;=10)+--(O1005&gt;=10))</f>
        <v/>
      </c>
      <c r="BE1005" s="5" t="str">
        <f aca="false">IF($B1005="","",--(AND(F1005&lt;&gt;"",F1005&lt;=8))+--(AND(G1005&lt;&gt;"",G1005&lt;=8))+--(AND(H1005&lt;&gt;"",H1005&lt;=8))+--(AND(I1005&lt;&gt;"",I1005&lt;=8))+--(AND(J1005&lt;&gt;"",J1005&lt;=8))+--(AND(K1005&lt;&gt;"",K1005&lt;=8))+--(AND(L1005&lt;&gt;"",L1005&lt;=8))+--(AND(M1005&lt;&gt;"",M1005&lt;=8))+--(AND(N1005&lt;&gt;"",N1005&lt;=8))+--(AND(O1005&lt;&gt;"",O1005&lt;=8)))</f>
        <v/>
      </c>
    </row>
    <row r="1006" customFormat="false" ht="15" hidden="false" customHeight="false" outlineLevel="0" collapsed="false">
      <c r="AZ1006" s="5" t="str">
        <f aca="false">IF($B1006="","",SUMPRODUCT(($AL1006:$AO1006&lt;&gt;"")*(COUNTIF($AP1006:$AX1006,$AL1006:$AO1006)&gt;0)))</f>
        <v/>
      </c>
      <c r="BA1006" s="5" t="str">
        <f aca="false">IF($B1006="","",IF(AZ1006&gt;0,1,0))</f>
        <v/>
      </c>
      <c r="BB1006" s="5" t="str">
        <f aca="false">IF($AP1006="","",IF((($AP1006="Engineering and Technology")+($AP1006="Science and Mathematics")+($AP1006="Computer Science, IT and Allied Fields")+($AP1006="Life Sciences /Medicine and Healthcare")+($AP1006="Paramedical")+($AP1006="Architecture")+($AP1006="Environmental Service")+($AP1006="Agriculture, Food Industry and Forestry"))&gt;0,"Science",IF((($AP1006="Banking and Finance")+($AP1006="Management and Administration")+($AP1006="Marketing")+($AP1006="Sales")+($AP1006="Entrepreneurship")+($AP1006="Hospitality and Tourism"))&gt;0,"Commerce",IF((($AP1006="Social Sciences and Humanities")+($AP1006="Law Studies")+($AP1006="Education and Training")+($AP1006="Art, Design")+($AP1006="Entertainment and Mass Media")+($AP1006="Community and Social Service")+($AP1006="Personal Care and Services")+($AP1006="Government and Public Administration")+($AP1006="Defence/ Protective Service")+($AP1006="Sports"))&gt;0,"Arts / Humanities",""))))</f>
        <v/>
      </c>
      <c r="BC1006" s="5" t="str">
        <f aca="false">IF($AL1006="","",IF((($AL1006="Engineering and Technology")+($AL1006="Science and Mathematics")+($AL1006="Computer Science, IT and Allied Fields")+($AL1006="Life Sciences /Medicine and Healthcare")+($AL1006="Paramedical")+($AL1006="Architecture")+($AL1006="Environmental Service")+($AL1006="Agriculture, Food Industry and Forestry"))&gt;0,"Science",IF((($AL1006="Banking and Finance")+($AL1006="Management and Administration")+($AL1006="Marketing")+($AL1006="Sales")+($AL1006="Entrepreneurship")+($AL1006="Hospitality and Tourism"))&gt;0,"Commerce",IF((($AL1006="Social Sciences and Humanities")+($AL1006="Law Studies")+($AL1006="Education and Training")+($AL1006="Art, Design")+($AL1006="Entertainment and Mass Media")+($AL1006="Community and Social Service")+($AL1006="Personal Care and Services")+($AL1006="Government and Public Administration")+($AL1006="Defence/ Protective Service")+($AL1006="Sports"))&gt;0,"Arts / Humanities",""))))</f>
        <v/>
      </c>
      <c r="BD1006" s="5" t="str">
        <f aca="false">IF($B1006="","",--(F1006&gt;=10)+--(G1006&gt;=10)+--(H1006&gt;=10)+--(I1006&gt;=10)+--(J1006&gt;=10)+--(K1006&gt;=10)+--(L1006&gt;=10)+--(M1006&gt;=10)+--(N1006&gt;=10)+--(O1006&gt;=10))</f>
        <v/>
      </c>
      <c r="BE1006" s="5" t="str">
        <f aca="false">IF($B1006="","",--(AND(F1006&lt;&gt;"",F1006&lt;=8))+--(AND(G1006&lt;&gt;"",G1006&lt;=8))+--(AND(H1006&lt;&gt;"",H1006&lt;=8))+--(AND(I1006&lt;&gt;"",I1006&lt;=8))+--(AND(J1006&lt;&gt;"",J1006&lt;=8))+--(AND(K1006&lt;&gt;"",K1006&lt;=8))+--(AND(L1006&lt;&gt;"",L1006&lt;=8))+--(AND(M1006&lt;&gt;"",M1006&lt;=8))+--(AND(N1006&lt;&gt;"",N1006&lt;=8))+--(AND(O1006&lt;&gt;"",O1006&lt;=8)))</f>
        <v/>
      </c>
    </row>
    <row r="1007" customFormat="false" ht="15" hidden="false" customHeight="false" outlineLevel="0" collapsed="false">
      <c r="AZ1007" s="5" t="str">
        <f aca="false">IF($B1007="","",SUMPRODUCT(($AL1007:$AO1007&lt;&gt;"")*(COUNTIF($AP1007:$AX1007,$AL1007:$AO1007)&gt;0)))</f>
        <v/>
      </c>
      <c r="BA1007" s="5" t="str">
        <f aca="false">IF($B1007="","",IF(AZ1007&gt;0,1,0))</f>
        <v/>
      </c>
      <c r="BB1007" s="5" t="str">
        <f aca="false">IF($AP1007="","",IF((($AP1007="Engineering and Technology")+($AP1007="Science and Mathematics")+($AP1007="Computer Science, IT and Allied Fields")+($AP1007="Life Sciences /Medicine and Healthcare")+($AP1007="Paramedical")+($AP1007="Architecture")+($AP1007="Environmental Service")+($AP1007="Agriculture, Food Industry and Forestry"))&gt;0,"Science",IF((($AP1007="Banking and Finance")+($AP1007="Management and Administration")+($AP1007="Marketing")+($AP1007="Sales")+($AP1007="Entrepreneurship")+($AP1007="Hospitality and Tourism"))&gt;0,"Commerce",IF((($AP1007="Social Sciences and Humanities")+($AP1007="Law Studies")+($AP1007="Education and Training")+($AP1007="Art, Design")+($AP1007="Entertainment and Mass Media")+($AP1007="Community and Social Service")+($AP1007="Personal Care and Services")+($AP1007="Government and Public Administration")+($AP1007="Defence/ Protective Service")+($AP1007="Sports"))&gt;0,"Arts / Humanities",""))))</f>
        <v/>
      </c>
      <c r="BC1007" s="5" t="str">
        <f aca="false">IF($AL1007="","",IF((($AL1007="Engineering and Technology")+($AL1007="Science and Mathematics")+($AL1007="Computer Science, IT and Allied Fields")+($AL1007="Life Sciences /Medicine and Healthcare")+($AL1007="Paramedical")+($AL1007="Architecture")+($AL1007="Environmental Service")+($AL1007="Agriculture, Food Industry and Forestry"))&gt;0,"Science",IF((($AL1007="Banking and Finance")+($AL1007="Management and Administration")+($AL1007="Marketing")+($AL1007="Sales")+($AL1007="Entrepreneurship")+($AL1007="Hospitality and Tourism"))&gt;0,"Commerce",IF((($AL1007="Social Sciences and Humanities")+($AL1007="Law Studies")+($AL1007="Education and Training")+($AL1007="Art, Design")+($AL1007="Entertainment and Mass Media")+($AL1007="Community and Social Service")+($AL1007="Personal Care and Services")+($AL1007="Government and Public Administration")+($AL1007="Defence/ Protective Service")+($AL1007="Sports"))&gt;0,"Arts / Humanities",""))))</f>
        <v/>
      </c>
      <c r="BD1007" s="5" t="str">
        <f aca="false">IF($B1007="","",--(F1007&gt;=10)+--(G1007&gt;=10)+--(H1007&gt;=10)+--(I1007&gt;=10)+--(J1007&gt;=10)+--(K1007&gt;=10)+--(L1007&gt;=10)+--(M1007&gt;=10)+--(N1007&gt;=10)+--(O1007&gt;=10))</f>
        <v/>
      </c>
      <c r="BE1007" s="5" t="str">
        <f aca="false">IF($B1007="","",--(AND(F1007&lt;&gt;"",F1007&lt;=8))+--(AND(G1007&lt;&gt;"",G1007&lt;=8))+--(AND(H1007&lt;&gt;"",H1007&lt;=8))+--(AND(I1007&lt;&gt;"",I1007&lt;=8))+--(AND(J1007&lt;&gt;"",J1007&lt;=8))+--(AND(K1007&lt;&gt;"",K1007&lt;=8))+--(AND(L1007&lt;&gt;"",L1007&lt;=8))+--(AND(M1007&lt;&gt;"",M1007&lt;=8))+--(AND(N1007&lt;&gt;"",N1007&lt;=8))+--(AND(O1007&lt;&gt;"",O1007&lt;=8)))</f>
        <v/>
      </c>
    </row>
    <row r="1008" customFormat="false" ht="15" hidden="false" customHeight="false" outlineLevel="0" collapsed="false">
      <c r="AZ1008" s="5" t="str">
        <f aca="false">IF($B1008="","",SUMPRODUCT(($AL1008:$AO1008&lt;&gt;"")*(COUNTIF($AP1008:$AX1008,$AL1008:$AO1008)&gt;0)))</f>
        <v/>
      </c>
      <c r="BA1008" s="5" t="str">
        <f aca="false">IF($B1008="","",IF(AZ1008&gt;0,1,0))</f>
        <v/>
      </c>
      <c r="BB1008" s="5" t="str">
        <f aca="false">IF($AP1008="","",IF((($AP1008="Engineering and Technology")+($AP1008="Science and Mathematics")+($AP1008="Computer Science, IT and Allied Fields")+($AP1008="Life Sciences /Medicine and Healthcare")+($AP1008="Paramedical")+($AP1008="Architecture")+($AP1008="Environmental Service")+($AP1008="Agriculture, Food Industry and Forestry"))&gt;0,"Science",IF((($AP1008="Banking and Finance")+($AP1008="Management and Administration")+($AP1008="Marketing")+($AP1008="Sales")+($AP1008="Entrepreneurship")+($AP1008="Hospitality and Tourism"))&gt;0,"Commerce",IF((($AP1008="Social Sciences and Humanities")+($AP1008="Law Studies")+($AP1008="Education and Training")+($AP1008="Art, Design")+($AP1008="Entertainment and Mass Media")+($AP1008="Community and Social Service")+($AP1008="Personal Care and Services")+($AP1008="Government and Public Administration")+($AP1008="Defence/ Protective Service")+($AP1008="Sports"))&gt;0,"Arts / Humanities",""))))</f>
        <v/>
      </c>
      <c r="BC1008" s="5" t="str">
        <f aca="false">IF($AL1008="","",IF((($AL1008="Engineering and Technology")+($AL1008="Science and Mathematics")+($AL1008="Computer Science, IT and Allied Fields")+($AL1008="Life Sciences /Medicine and Healthcare")+($AL1008="Paramedical")+($AL1008="Architecture")+($AL1008="Environmental Service")+($AL1008="Agriculture, Food Industry and Forestry"))&gt;0,"Science",IF((($AL1008="Banking and Finance")+($AL1008="Management and Administration")+($AL1008="Marketing")+($AL1008="Sales")+($AL1008="Entrepreneurship")+($AL1008="Hospitality and Tourism"))&gt;0,"Commerce",IF((($AL1008="Social Sciences and Humanities")+($AL1008="Law Studies")+($AL1008="Education and Training")+($AL1008="Art, Design")+($AL1008="Entertainment and Mass Media")+($AL1008="Community and Social Service")+($AL1008="Personal Care and Services")+($AL1008="Government and Public Administration")+($AL1008="Defence/ Protective Service")+($AL1008="Sports"))&gt;0,"Arts / Humanities",""))))</f>
        <v/>
      </c>
      <c r="BD1008" s="5" t="str">
        <f aca="false">IF($B1008="","",--(F1008&gt;=10)+--(G1008&gt;=10)+--(H1008&gt;=10)+--(I1008&gt;=10)+--(J1008&gt;=10)+--(K1008&gt;=10)+--(L1008&gt;=10)+--(M1008&gt;=10)+--(N1008&gt;=10)+--(O1008&gt;=10))</f>
        <v/>
      </c>
      <c r="BE1008" s="5" t="str">
        <f aca="false">IF($B1008="","",--(AND(F1008&lt;&gt;"",F1008&lt;=8))+--(AND(G1008&lt;&gt;"",G1008&lt;=8))+--(AND(H1008&lt;&gt;"",H1008&lt;=8))+--(AND(I1008&lt;&gt;"",I1008&lt;=8))+--(AND(J1008&lt;&gt;"",J1008&lt;=8))+--(AND(K1008&lt;&gt;"",K1008&lt;=8))+--(AND(L1008&lt;&gt;"",L1008&lt;=8))+--(AND(M1008&lt;&gt;"",M1008&lt;=8))+--(AND(N1008&lt;&gt;"",N1008&lt;=8))+--(AND(O1008&lt;&gt;"",O1008&lt;=8)))</f>
        <v/>
      </c>
    </row>
    <row r="1009" customFormat="false" ht="15" hidden="false" customHeight="false" outlineLevel="0" collapsed="false">
      <c r="AZ1009" s="5" t="str">
        <f aca="false">IF($B1009="","",SUMPRODUCT(($AL1009:$AO1009&lt;&gt;"")*(COUNTIF($AP1009:$AX1009,$AL1009:$AO1009)&gt;0)))</f>
        <v/>
      </c>
      <c r="BA1009" s="5" t="str">
        <f aca="false">IF($B1009="","",IF(AZ1009&gt;0,1,0))</f>
        <v/>
      </c>
      <c r="BB1009" s="5" t="str">
        <f aca="false">IF($AP1009="","",IF((($AP1009="Engineering and Technology")+($AP1009="Science and Mathematics")+($AP1009="Computer Science, IT and Allied Fields")+($AP1009="Life Sciences /Medicine and Healthcare")+($AP1009="Paramedical")+($AP1009="Architecture")+($AP1009="Environmental Service")+($AP1009="Agriculture, Food Industry and Forestry"))&gt;0,"Science",IF((($AP1009="Banking and Finance")+($AP1009="Management and Administration")+($AP1009="Marketing")+($AP1009="Sales")+($AP1009="Entrepreneurship")+($AP1009="Hospitality and Tourism"))&gt;0,"Commerce",IF((($AP1009="Social Sciences and Humanities")+($AP1009="Law Studies")+($AP1009="Education and Training")+($AP1009="Art, Design")+($AP1009="Entertainment and Mass Media")+($AP1009="Community and Social Service")+($AP1009="Personal Care and Services")+($AP1009="Government and Public Administration")+($AP1009="Defence/ Protective Service")+($AP1009="Sports"))&gt;0,"Arts / Humanities",""))))</f>
        <v/>
      </c>
      <c r="BC1009" s="5" t="str">
        <f aca="false">IF($AL1009="","",IF((($AL1009="Engineering and Technology")+($AL1009="Science and Mathematics")+($AL1009="Computer Science, IT and Allied Fields")+($AL1009="Life Sciences /Medicine and Healthcare")+($AL1009="Paramedical")+($AL1009="Architecture")+($AL1009="Environmental Service")+($AL1009="Agriculture, Food Industry and Forestry"))&gt;0,"Science",IF((($AL1009="Banking and Finance")+($AL1009="Management and Administration")+($AL1009="Marketing")+($AL1009="Sales")+($AL1009="Entrepreneurship")+($AL1009="Hospitality and Tourism"))&gt;0,"Commerce",IF((($AL1009="Social Sciences and Humanities")+($AL1009="Law Studies")+($AL1009="Education and Training")+($AL1009="Art, Design")+($AL1009="Entertainment and Mass Media")+($AL1009="Community and Social Service")+($AL1009="Personal Care and Services")+($AL1009="Government and Public Administration")+($AL1009="Defence/ Protective Service")+($AL1009="Sports"))&gt;0,"Arts / Humanities",""))))</f>
        <v/>
      </c>
      <c r="BD1009" s="5" t="str">
        <f aca="false">IF($B1009="","",--(F1009&gt;=10)+--(G1009&gt;=10)+--(H1009&gt;=10)+--(I1009&gt;=10)+--(J1009&gt;=10)+--(K1009&gt;=10)+--(L1009&gt;=10)+--(M1009&gt;=10)+--(N1009&gt;=10)+--(O1009&gt;=10))</f>
        <v/>
      </c>
      <c r="BE1009" s="5" t="str">
        <f aca="false">IF($B1009="","",--(AND(F1009&lt;&gt;"",F1009&lt;=8))+--(AND(G1009&lt;&gt;"",G1009&lt;=8))+--(AND(H1009&lt;&gt;"",H1009&lt;=8))+--(AND(I1009&lt;&gt;"",I1009&lt;=8))+--(AND(J1009&lt;&gt;"",J1009&lt;=8))+--(AND(K1009&lt;&gt;"",K1009&lt;=8))+--(AND(L1009&lt;&gt;"",L1009&lt;=8))+--(AND(M1009&lt;&gt;"",M1009&lt;=8))+--(AND(N1009&lt;&gt;"",N1009&lt;=8))+--(AND(O1009&lt;&gt;"",O1009&lt;=8)))</f>
        <v/>
      </c>
    </row>
    <row r="1010" customFormat="false" ht="15" hidden="false" customHeight="false" outlineLevel="0" collapsed="false">
      <c r="AZ1010" s="5" t="str">
        <f aca="false">IF($B1010="","",SUMPRODUCT(($AL1010:$AO1010&lt;&gt;"")*(COUNTIF($AP1010:$AX1010,$AL1010:$AO1010)&gt;0)))</f>
        <v/>
      </c>
      <c r="BA1010" s="5" t="str">
        <f aca="false">IF($B1010="","",IF(AZ1010&gt;0,1,0))</f>
        <v/>
      </c>
      <c r="BB1010" s="5" t="str">
        <f aca="false">IF($AP1010="","",IF((($AP1010="Engineering and Technology")+($AP1010="Science and Mathematics")+($AP1010="Computer Science, IT and Allied Fields")+($AP1010="Life Sciences /Medicine and Healthcare")+($AP1010="Paramedical")+($AP1010="Architecture")+($AP1010="Environmental Service")+($AP1010="Agriculture, Food Industry and Forestry"))&gt;0,"Science",IF((($AP1010="Banking and Finance")+($AP1010="Management and Administration")+($AP1010="Marketing")+($AP1010="Sales")+($AP1010="Entrepreneurship")+($AP1010="Hospitality and Tourism"))&gt;0,"Commerce",IF((($AP1010="Social Sciences and Humanities")+($AP1010="Law Studies")+($AP1010="Education and Training")+($AP1010="Art, Design")+($AP1010="Entertainment and Mass Media")+($AP1010="Community and Social Service")+($AP1010="Personal Care and Services")+($AP1010="Government and Public Administration")+($AP1010="Defence/ Protective Service")+($AP1010="Sports"))&gt;0,"Arts / Humanities",""))))</f>
        <v/>
      </c>
      <c r="BC1010" s="5" t="str">
        <f aca="false">IF($AL1010="","",IF((($AL1010="Engineering and Technology")+($AL1010="Science and Mathematics")+($AL1010="Computer Science, IT and Allied Fields")+($AL1010="Life Sciences /Medicine and Healthcare")+($AL1010="Paramedical")+($AL1010="Architecture")+($AL1010="Environmental Service")+($AL1010="Agriculture, Food Industry and Forestry"))&gt;0,"Science",IF((($AL1010="Banking and Finance")+($AL1010="Management and Administration")+($AL1010="Marketing")+($AL1010="Sales")+($AL1010="Entrepreneurship")+($AL1010="Hospitality and Tourism"))&gt;0,"Commerce",IF((($AL1010="Social Sciences and Humanities")+($AL1010="Law Studies")+($AL1010="Education and Training")+($AL1010="Art, Design")+($AL1010="Entertainment and Mass Media")+($AL1010="Community and Social Service")+($AL1010="Personal Care and Services")+($AL1010="Government and Public Administration")+($AL1010="Defence/ Protective Service")+($AL1010="Sports"))&gt;0,"Arts / Humanities",""))))</f>
        <v/>
      </c>
      <c r="BD1010" s="5" t="str">
        <f aca="false">IF($B1010="","",--(F1010&gt;=10)+--(G1010&gt;=10)+--(H1010&gt;=10)+--(I1010&gt;=10)+--(J1010&gt;=10)+--(K1010&gt;=10)+--(L1010&gt;=10)+--(M1010&gt;=10)+--(N1010&gt;=10)+--(O1010&gt;=10))</f>
        <v/>
      </c>
      <c r="BE1010" s="5" t="str">
        <f aca="false">IF($B1010="","",--(AND(F1010&lt;&gt;"",F1010&lt;=8))+--(AND(G1010&lt;&gt;"",G1010&lt;=8))+--(AND(H1010&lt;&gt;"",H1010&lt;=8))+--(AND(I1010&lt;&gt;"",I1010&lt;=8))+--(AND(J1010&lt;&gt;"",J1010&lt;=8))+--(AND(K1010&lt;&gt;"",K1010&lt;=8))+--(AND(L1010&lt;&gt;"",L1010&lt;=8))+--(AND(M1010&lt;&gt;"",M1010&lt;=8))+--(AND(N1010&lt;&gt;"",N1010&lt;=8))+--(AND(O1010&lt;&gt;"",O1010&lt;=8)))</f>
        <v/>
      </c>
    </row>
    <row r="1011" customFormat="false" ht="15" hidden="false" customHeight="false" outlineLevel="0" collapsed="false">
      <c r="AZ1011" s="5" t="str">
        <f aca="false">IF($B1011="","",SUMPRODUCT(($AL1011:$AO1011&lt;&gt;"")*(COUNTIF($AP1011:$AX1011,$AL1011:$AO1011)&gt;0)))</f>
        <v/>
      </c>
      <c r="BA1011" s="5" t="str">
        <f aca="false">IF($B1011="","",IF(AZ1011&gt;0,1,0))</f>
        <v/>
      </c>
      <c r="BB1011" s="5" t="str">
        <f aca="false">IF($AP1011="","",IF((($AP1011="Engineering and Technology")+($AP1011="Science and Mathematics")+($AP1011="Computer Science, IT and Allied Fields")+($AP1011="Life Sciences /Medicine and Healthcare")+($AP1011="Paramedical")+($AP1011="Architecture")+($AP1011="Environmental Service")+($AP1011="Agriculture, Food Industry and Forestry"))&gt;0,"Science",IF((($AP1011="Banking and Finance")+($AP1011="Management and Administration")+($AP1011="Marketing")+($AP1011="Sales")+($AP1011="Entrepreneurship")+($AP1011="Hospitality and Tourism"))&gt;0,"Commerce",IF((($AP1011="Social Sciences and Humanities")+($AP1011="Law Studies")+($AP1011="Education and Training")+($AP1011="Art, Design")+($AP1011="Entertainment and Mass Media")+($AP1011="Community and Social Service")+($AP1011="Personal Care and Services")+($AP1011="Government and Public Administration")+($AP1011="Defence/ Protective Service")+($AP1011="Sports"))&gt;0,"Arts / Humanities",""))))</f>
        <v/>
      </c>
      <c r="BC1011" s="5" t="str">
        <f aca="false">IF($AL1011="","",IF((($AL1011="Engineering and Technology")+($AL1011="Science and Mathematics")+($AL1011="Computer Science, IT and Allied Fields")+($AL1011="Life Sciences /Medicine and Healthcare")+($AL1011="Paramedical")+($AL1011="Architecture")+($AL1011="Environmental Service")+($AL1011="Agriculture, Food Industry and Forestry"))&gt;0,"Science",IF((($AL1011="Banking and Finance")+($AL1011="Management and Administration")+($AL1011="Marketing")+($AL1011="Sales")+($AL1011="Entrepreneurship")+($AL1011="Hospitality and Tourism"))&gt;0,"Commerce",IF((($AL1011="Social Sciences and Humanities")+($AL1011="Law Studies")+($AL1011="Education and Training")+($AL1011="Art, Design")+($AL1011="Entertainment and Mass Media")+($AL1011="Community and Social Service")+($AL1011="Personal Care and Services")+($AL1011="Government and Public Administration")+($AL1011="Defence/ Protective Service")+($AL1011="Sports"))&gt;0,"Arts / Humanities",""))))</f>
        <v/>
      </c>
      <c r="BD1011" s="5" t="str">
        <f aca="false">IF($B1011="","",--(F1011&gt;=10)+--(G1011&gt;=10)+--(H1011&gt;=10)+--(I1011&gt;=10)+--(J1011&gt;=10)+--(K1011&gt;=10)+--(L1011&gt;=10)+--(M1011&gt;=10)+--(N1011&gt;=10)+--(O1011&gt;=10))</f>
        <v/>
      </c>
      <c r="BE1011" s="5" t="str">
        <f aca="false">IF($B1011="","",--(AND(F1011&lt;&gt;"",F1011&lt;=8))+--(AND(G1011&lt;&gt;"",G1011&lt;=8))+--(AND(H1011&lt;&gt;"",H1011&lt;=8))+--(AND(I1011&lt;&gt;"",I1011&lt;=8))+--(AND(J1011&lt;&gt;"",J1011&lt;=8))+--(AND(K1011&lt;&gt;"",K1011&lt;=8))+--(AND(L1011&lt;&gt;"",L1011&lt;=8))+--(AND(M1011&lt;&gt;"",M1011&lt;=8))+--(AND(N1011&lt;&gt;"",N1011&lt;=8))+--(AND(O1011&lt;&gt;"",O1011&lt;=8)))</f>
        <v/>
      </c>
    </row>
    <row r="1012" customFormat="false" ht="15" hidden="false" customHeight="false" outlineLevel="0" collapsed="false">
      <c r="AZ1012" s="5" t="str">
        <f aca="false">IF($B1012="","",SUMPRODUCT(($AL1012:$AO1012&lt;&gt;"")*(COUNTIF($AP1012:$AX1012,$AL1012:$AO1012)&gt;0)))</f>
        <v/>
      </c>
      <c r="BA1012" s="5" t="str">
        <f aca="false">IF($B1012="","",IF(AZ1012&gt;0,1,0))</f>
        <v/>
      </c>
      <c r="BB1012" s="5" t="str">
        <f aca="false">IF($AP1012="","",IF((($AP1012="Engineering and Technology")+($AP1012="Science and Mathematics")+($AP1012="Computer Science, IT and Allied Fields")+($AP1012="Life Sciences /Medicine and Healthcare")+($AP1012="Paramedical")+($AP1012="Architecture")+($AP1012="Environmental Service")+($AP1012="Agriculture, Food Industry and Forestry"))&gt;0,"Science",IF((($AP1012="Banking and Finance")+($AP1012="Management and Administration")+($AP1012="Marketing")+($AP1012="Sales")+($AP1012="Entrepreneurship")+($AP1012="Hospitality and Tourism"))&gt;0,"Commerce",IF((($AP1012="Social Sciences and Humanities")+($AP1012="Law Studies")+($AP1012="Education and Training")+($AP1012="Art, Design")+($AP1012="Entertainment and Mass Media")+($AP1012="Community and Social Service")+($AP1012="Personal Care and Services")+($AP1012="Government and Public Administration")+($AP1012="Defence/ Protective Service")+($AP1012="Sports"))&gt;0,"Arts / Humanities",""))))</f>
        <v/>
      </c>
      <c r="BC1012" s="5" t="str">
        <f aca="false">IF($AL1012="","",IF((($AL1012="Engineering and Technology")+($AL1012="Science and Mathematics")+($AL1012="Computer Science, IT and Allied Fields")+($AL1012="Life Sciences /Medicine and Healthcare")+($AL1012="Paramedical")+($AL1012="Architecture")+($AL1012="Environmental Service")+($AL1012="Agriculture, Food Industry and Forestry"))&gt;0,"Science",IF((($AL1012="Banking and Finance")+($AL1012="Management and Administration")+($AL1012="Marketing")+($AL1012="Sales")+($AL1012="Entrepreneurship")+($AL1012="Hospitality and Tourism"))&gt;0,"Commerce",IF((($AL1012="Social Sciences and Humanities")+($AL1012="Law Studies")+($AL1012="Education and Training")+($AL1012="Art, Design")+($AL1012="Entertainment and Mass Media")+($AL1012="Community and Social Service")+($AL1012="Personal Care and Services")+($AL1012="Government and Public Administration")+($AL1012="Defence/ Protective Service")+($AL1012="Sports"))&gt;0,"Arts / Humanities",""))))</f>
        <v/>
      </c>
      <c r="BD1012" s="5" t="str">
        <f aca="false">IF($B1012="","",--(F1012&gt;=10)+--(G1012&gt;=10)+--(H1012&gt;=10)+--(I1012&gt;=10)+--(J1012&gt;=10)+--(K1012&gt;=10)+--(L1012&gt;=10)+--(M1012&gt;=10)+--(N1012&gt;=10)+--(O1012&gt;=10))</f>
        <v/>
      </c>
      <c r="BE1012" s="5" t="str">
        <f aca="false">IF($B1012="","",--(AND(F1012&lt;&gt;"",F1012&lt;=8))+--(AND(G1012&lt;&gt;"",G1012&lt;=8))+--(AND(H1012&lt;&gt;"",H1012&lt;=8))+--(AND(I1012&lt;&gt;"",I1012&lt;=8))+--(AND(J1012&lt;&gt;"",J1012&lt;=8))+--(AND(K1012&lt;&gt;"",K1012&lt;=8))+--(AND(L1012&lt;&gt;"",L1012&lt;=8))+--(AND(M1012&lt;&gt;"",M1012&lt;=8))+--(AND(N1012&lt;&gt;"",N1012&lt;=8))+--(AND(O1012&lt;&gt;"",O1012&lt;=8)))</f>
        <v/>
      </c>
    </row>
    <row r="1013" customFormat="false" ht="15" hidden="false" customHeight="false" outlineLevel="0" collapsed="false">
      <c r="AZ1013" s="5" t="str">
        <f aca="false">IF($B1013="","",SUMPRODUCT(($AL1013:$AO1013&lt;&gt;"")*(COUNTIF($AP1013:$AX1013,$AL1013:$AO1013)&gt;0)))</f>
        <v/>
      </c>
      <c r="BA1013" s="5" t="str">
        <f aca="false">IF($B1013="","",IF(AZ1013&gt;0,1,0))</f>
        <v/>
      </c>
      <c r="BB1013" s="5" t="str">
        <f aca="false">IF($AP1013="","",IF((($AP1013="Engineering and Technology")+($AP1013="Science and Mathematics")+($AP1013="Computer Science, IT and Allied Fields")+($AP1013="Life Sciences /Medicine and Healthcare")+($AP1013="Paramedical")+($AP1013="Architecture")+($AP1013="Environmental Service")+($AP1013="Agriculture, Food Industry and Forestry"))&gt;0,"Science",IF((($AP1013="Banking and Finance")+($AP1013="Management and Administration")+($AP1013="Marketing")+($AP1013="Sales")+($AP1013="Entrepreneurship")+($AP1013="Hospitality and Tourism"))&gt;0,"Commerce",IF((($AP1013="Social Sciences and Humanities")+($AP1013="Law Studies")+($AP1013="Education and Training")+($AP1013="Art, Design")+($AP1013="Entertainment and Mass Media")+($AP1013="Community and Social Service")+($AP1013="Personal Care and Services")+($AP1013="Government and Public Administration")+($AP1013="Defence/ Protective Service")+($AP1013="Sports"))&gt;0,"Arts / Humanities",""))))</f>
        <v/>
      </c>
      <c r="BC1013" s="5" t="str">
        <f aca="false">IF($AL1013="","",IF((($AL1013="Engineering and Technology")+($AL1013="Science and Mathematics")+($AL1013="Computer Science, IT and Allied Fields")+($AL1013="Life Sciences /Medicine and Healthcare")+($AL1013="Paramedical")+($AL1013="Architecture")+($AL1013="Environmental Service")+($AL1013="Agriculture, Food Industry and Forestry"))&gt;0,"Science",IF((($AL1013="Banking and Finance")+($AL1013="Management and Administration")+($AL1013="Marketing")+($AL1013="Sales")+($AL1013="Entrepreneurship")+($AL1013="Hospitality and Tourism"))&gt;0,"Commerce",IF((($AL1013="Social Sciences and Humanities")+($AL1013="Law Studies")+($AL1013="Education and Training")+($AL1013="Art, Design")+($AL1013="Entertainment and Mass Media")+($AL1013="Community and Social Service")+($AL1013="Personal Care and Services")+($AL1013="Government and Public Administration")+($AL1013="Defence/ Protective Service")+($AL1013="Sports"))&gt;0,"Arts / Humanities",""))))</f>
        <v/>
      </c>
      <c r="BD1013" s="5" t="str">
        <f aca="false">IF($B1013="","",--(F1013&gt;=10)+--(G1013&gt;=10)+--(H1013&gt;=10)+--(I1013&gt;=10)+--(J1013&gt;=10)+--(K1013&gt;=10)+--(L1013&gt;=10)+--(M1013&gt;=10)+--(N1013&gt;=10)+--(O1013&gt;=10))</f>
        <v/>
      </c>
      <c r="BE1013" s="5" t="str">
        <f aca="false">IF($B1013="","",--(AND(F1013&lt;&gt;"",F1013&lt;=8))+--(AND(G1013&lt;&gt;"",G1013&lt;=8))+--(AND(H1013&lt;&gt;"",H1013&lt;=8))+--(AND(I1013&lt;&gt;"",I1013&lt;=8))+--(AND(J1013&lt;&gt;"",J1013&lt;=8))+--(AND(K1013&lt;&gt;"",K1013&lt;=8))+--(AND(L1013&lt;&gt;"",L1013&lt;=8))+--(AND(M1013&lt;&gt;"",M1013&lt;=8))+--(AND(N1013&lt;&gt;"",N1013&lt;=8))+--(AND(O1013&lt;&gt;"",O1013&lt;=8)))</f>
        <v/>
      </c>
    </row>
    <row r="1014" customFormat="false" ht="15" hidden="false" customHeight="false" outlineLevel="0" collapsed="false">
      <c r="AZ1014" s="5" t="str">
        <f aca="false">IF($B1014="","",SUMPRODUCT(($AL1014:$AO1014&lt;&gt;"")*(COUNTIF($AP1014:$AX1014,$AL1014:$AO1014)&gt;0)))</f>
        <v/>
      </c>
      <c r="BA1014" s="5" t="str">
        <f aca="false">IF($B1014="","",IF(AZ1014&gt;0,1,0))</f>
        <v/>
      </c>
      <c r="BB1014" s="5" t="str">
        <f aca="false">IF($AP1014="","",IF((($AP1014="Engineering and Technology")+($AP1014="Science and Mathematics")+($AP1014="Computer Science, IT and Allied Fields")+($AP1014="Life Sciences /Medicine and Healthcare")+($AP1014="Paramedical")+($AP1014="Architecture")+($AP1014="Environmental Service")+($AP1014="Agriculture, Food Industry and Forestry"))&gt;0,"Science",IF((($AP1014="Banking and Finance")+($AP1014="Management and Administration")+($AP1014="Marketing")+($AP1014="Sales")+($AP1014="Entrepreneurship")+($AP1014="Hospitality and Tourism"))&gt;0,"Commerce",IF((($AP1014="Social Sciences and Humanities")+($AP1014="Law Studies")+($AP1014="Education and Training")+($AP1014="Art, Design")+($AP1014="Entertainment and Mass Media")+($AP1014="Community and Social Service")+($AP1014="Personal Care and Services")+($AP1014="Government and Public Administration")+($AP1014="Defence/ Protective Service")+($AP1014="Sports"))&gt;0,"Arts / Humanities",""))))</f>
        <v/>
      </c>
      <c r="BC1014" s="5" t="str">
        <f aca="false">IF($AL1014="","",IF((($AL1014="Engineering and Technology")+($AL1014="Science and Mathematics")+($AL1014="Computer Science, IT and Allied Fields")+($AL1014="Life Sciences /Medicine and Healthcare")+($AL1014="Paramedical")+($AL1014="Architecture")+($AL1014="Environmental Service")+($AL1014="Agriculture, Food Industry and Forestry"))&gt;0,"Science",IF((($AL1014="Banking and Finance")+($AL1014="Management and Administration")+($AL1014="Marketing")+($AL1014="Sales")+($AL1014="Entrepreneurship")+($AL1014="Hospitality and Tourism"))&gt;0,"Commerce",IF((($AL1014="Social Sciences and Humanities")+($AL1014="Law Studies")+($AL1014="Education and Training")+($AL1014="Art, Design")+($AL1014="Entertainment and Mass Media")+($AL1014="Community and Social Service")+($AL1014="Personal Care and Services")+($AL1014="Government and Public Administration")+($AL1014="Defence/ Protective Service")+($AL1014="Sports"))&gt;0,"Arts / Humanities",""))))</f>
        <v/>
      </c>
      <c r="BD1014" s="5" t="str">
        <f aca="false">IF($B1014="","",--(F1014&gt;=10)+--(G1014&gt;=10)+--(H1014&gt;=10)+--(I1014&gt;=10)+--(J1014&gt;=10)+--(K1014&gt;=10)+--(L1014&gt;=10)+--(M1014&gt;=10)+--(N1014&gt;=10)+--(O1014&gt;=10))</f>
        <v/>
      </c>
      <c r="BE1014" s="5" t="str">
        <f aca="false">IF($B1014="","",--(AND(F1014&lt;&gt;"",F1014&lt;=8))+--(AND(G1014&lt;&gt;"",G1014&lt;=8))+--(AND(H1014&lt;&gt;"",H1014&lt;=8))+--(AND(I1014&lt;&gt;"",I1014&lt;=8))+--(AND(J1014&lt;&gt;"",J1014&lt;=8))+--(AND(K1014&lt;&gt;"",K1014&lt;=8))+--(AND(L1014&lt;&gt;"",L1014&lt;=8))+--(AND(M1014&lt;&gt;"",M1014&lt;=8))+--(AND(N1014&lt;&gt;"",N1014&lt;=8))+--(AND(O1014&lt;&gt;"",O1014&lt;=8)))</f>
        <v/>
      </c>
    </row>
    <row r="1015" customFormat="false" ht="15" hidden="false" customHeight="false" outlineLevel="0" collapsed="false">
      <c r="AZ1015" s="5" t="str">
        <f aca="false">IF($B1015="","",SUMPRODUCT(($AL1015:$AO1015&lt;&gt;"")*(COUNTIF($AP1015:$AX1015,$AL1015:$AO1015)&gt;0)))</f>
        <v/>
      </c>
      <c r="BA1015" s="5" t="str">
        <f aca="false">IF($B1015="","",IF(AZ1015&gt;0,1,0))</f>
        <v/>
      </c>
      <c r="BB1015" s="5" t="str">
        <f aca="false">IF($AP1015="","",IF((($AP1015="Engineering and Technology")+($AP1015="Science and Mathematics")+($AP1015="Computer Science, IT and Allied Fields")+($AP1015="Life Sciences /Medicine and Healthcare")+($AP1015="Paramedical")+($AP1015="Architecture")+($AP1015="Environmental Service")+($AP1015="Agriculture, Food Industry and Forestry"))&gt;0,"Science",IF((($AP1015="Banking and Finance")+($AP1015="Management and Administration")+($AP1015="Marketing")+($AP1015="Sales")+($AP1015="Entrepreneurship")+($AP1015="Hospitality and Tourism"))&gt;0,"Commerce",IF((($AP1015="Social Sciences and Humanities")+($AP1015="Law Studies")+($AP1015="Education and Training")+($AP1015="Art, Design")+($AP1015="Entertainment and Mass Media")+($AP1015="Community and Social Service")+($AP1015="Personal Care and Services")+($AP1015="Government and Public Administration")+($AP1015="Defence/ Protective Service")+($AP1015="Sports"))&gt;0,"Arts / Humanities",""))))</f>
        <v/>
      </c>
      <c r="BC1015" s="5" t="str">
        <f aca="false">IF($AL1015="","",IF((($AL1015="Engineering and Technology")+($AL1015="Science and Mathematics")+($AL1015="Computer Science, IT and Allied Fields")+($AL1015="Life Sciences /Medicine and Healthcare")+($AL1015="Paramedical")+($AL1015="Architecture")+($AL1015="Environmental Service")+($AL1015="Agriculture, Food Industry and Forestry"))&gt;0,"Science",IF((($AL1015="Banking and Finance")+($AL1015="Management and Administration")+($AL1015="Marketing")+($AL1015="Sales")+($AL1015="Entrepreneurship")+($AL1015="Hospitality and Tourism"))&gt;0,"Commerce",IF((($AL1015="Social Sciences and Humanities")+($AL1015="Law Studies")+($AL1015="Education and Training")+($AL1015="Art, Design")+($AL1015="Entertainment and Mass Media")+($AL1015="Community and Social Service")+($AL1015="Personal Care and Services")+($AL1015="Government and Public Administration")+($AL1015="Defence/ Protective Service")+($AL1015="Sports"))&gt;0,"Arts / Humanities",""))))</f>
        <v/>
      </c>
      <c r="BD1015" s="5" t="str">
        <f aca="false">IF($B1015="","",--(F1015&gt;=10)+--(G1015&gt;=10)+--(H1015&gt;=10)+--(I1015&gt;=10)+--(J1015&gt;=10)+--(K1015&gt;=10)+--(L1015&gt;=10)+--(M1015&gt;=10)+--(N1015&gt;=10)+--(O1015&gt;=10))</f>
        <v/>
      </c>
      <c r="BE1015" s="5" t="str">
        <f aca="false">IF($B1015="","",--(AND(F1015&lt;&gt;"",F1015&lt;=8))+--(AND(G1015&lt;&gt;"",G1015&lt;=8))+--(AND(H1015&lt;&gt;"",H1015&lt;=8))+--(AND(I1015&lt;&gt;"",I1015&lt;=8))+--(AND(J1015&lt;&gt;"",J1015&lt;=8))+--(AND(K1015&lt;&gt;"",K1015&lt;=8))+--(AND(L1015&lt;&gt;"",L1015&lt;=8))+--(AND(M1015&lt;&gt;"",M1015&lt;=8))+--(AND(N1015&lt;&gt;"",N1015&lt;=8))+--(AND(O1015&lt;&gt;"",O1015&lt;=8)))</f>
        <v/>
      </c>
    </row>
    <row r="1016" customFormat="false" ht="15" hidden="false" customHeight="false" outlineLevel="0" collapsed="false">
      <c r="AZ1016" s="5" t="str">
        <f aca="false">IF($B1016="","",SUMPRODUCT(($AL1016:$AO1016&lt;&gt;"")*(COUNTIF($AP1016:$AX1016,$AL1016:$AO1016)&gt;0)))</f>
        <v/>
      </c>
      <c r="BA1016" s="5" t="str">
        <f aca="false">IF($B1016="","",IF(AZ1016&gt;0,1,0))</f>
        <v/>
      </c>
      <c r="BB1016" s="5" t="str">
        <f aca="false">IF($AP1016="","",IF((($AP1016="Engineering and Technology")+($AP1016="Science and Mathematics")+($AP1016="Computer Science, IT and Allied Fields")+($AP1016="Life Sciences /Medicine and Healthcare")+($AP1016="Paramedical")+($AP1016="Architecture")+($AP1016="Environmental Service")+($AP1016="Agriculture, Food Industry and Forestry"))&gt;0,"Science",IF((($AP1016="Banking and Finance")+($AP1016="Management and Administration")+($AP1016="Marketing")+($AP1016="Sales")+($AP1016="Entrepreneurship")+($AP1016="Hospitality and Tourism"))&gt;0,"Commerce",IF((($AP1016="Social Sciences and Humanities")+($AP1016="Law Studies")+($AP1016="Education and Training")+($AP1016="Art, Design")+($AP1016="Entertainment and Mass Media")+($AP1016="Community and Social Service")+($AP1016="Personal Care and Services")+($AP1016="Government and Public Administration")+($AP1016="Defence/ Protective Service")+($AP1016="Sports"))&gt;0,"Arts / Humanities",""))))</f>
        <v/>
      </c>
      <c r="BC1016" s="5" t="str">
        <f aca="false">IF($AL1016="","",IF((($AL1016="Engineering and Technology")+($AL1016="Science and Mathematics")+($AL1016="Computer Science, IT and Allied Fields")+($AL1016="Life Sciences /Medicine and Healthcare")+($AL1016="Paramedical")+($AL1016="Architecture")+($AL1016="Environmental Service")+($AL1016="Agriculture, Food Industry and Forestry"))&gt;0,"Science",IF((($AL1016="Banking and Finance")+($AL1016="Management and Administration")+($AL1016="Marketing")+($AL1016="Sales")+($AL1016="Entrepreneurship")+($AL1016="Hospitality and Tourism"))&gt;0,"Commerce",IF((($AL1016="Social Sciences and Humanities")+($AL1016="Law Studies")+($AL1016="Education and Training")+($AL1016="Art, Design")+($AL1016="Entertainment and Mass Media")+($AL1016="Community and Social Service")+($AL1016="Personal Care and Services")+($AL1016="Government and Public Administration")+($AL1016="Defence/ Protective Service")+($AL1016="Sports"))&gt;0,"Arts / Humanities",""))))</f>
        <v/>
      </c>
      <c r="BD1016" s="5" t="str">
        <f aca="false">IF($B1016="","",--(F1016&gt;=10)+--(G1016&gt;=10)+--(H1016&gt;=10)+--(I1016&gt;=10)+--(J1016&gt;=10)+--(K1016&gt;=10)+--(L1016&gt;=10)+--(M1016&gt;=10)+--(N1016&gt;=10)+--(O1016&gt;=10))</f>
        <v/>
      </c>
      <c r="BE1016" s="5" t="str">
        <f aca="false">IF($B1016="","",--(AND(F1016&lt;&gt;"",F1016&lt;=8))+--(AND(G1016&lt;&gt;"",G1016&lt;=8))+--(AND(H1016&lt;&gt;"",H1016&lt;=8))+--(AND(I1016&lt;&gt;"",I1016&lt;=8))+--(AND(J1016&lt;&gt;"",J1016&lt;=8))+--(AND(K1016&lt;&gt;"",K1016&lt;=8))+--(AND(L1016&lt;&gt;"",L1016&lt;=8))+--(AND(M1016&lt;&gt;"",M1016&lt;=8))+--(AND(N1016&lt;&gt;"",N1016&lt;=8))+--(AND(O1016&lt;&gt;"",O1016&lt;=8)))</f>
        <v/>
      </c>
    </row>
    <row r="1017" customFormat="false" ht="15" hidden="false" customHeight="false" outlineLevel="0" collapsed="false">
      <c r="AZ1017" s="5" t="str">
        <f aca="false">IF($B1017="","",SUMPRODUCT(($AL1017:$AO1017&lt;&gt;"")*(COUNTIF($AP1017:$AX1017,$AL1017:$AO1017)&gt;0)))</f>
        <v/>
      </c>
      <c r="BA1017" s="5" t="str">
        <f aca="false">IF($B1017="","",IF(AZ1017&gt;0,1,0))</f>
        <v/>
      </c>
      <c r="BB1017" s="5" t="str">
        <f aca="false">IF($AP1017="","",IF((($AP1017="Engineering and Technology")+($AP1017="Science and Mathematics")+($AP1017="Computer Science, IT and Allied Fields")+($AP1017="Life Sciences /Medicine and Healthcare")+($AP1017="Paramedical")+($AP1017="Architecture")+($AP1017="Environmental Service")+($AP1017="Agriculture, Food Industry and Forestry"))&gt;0,"Science",IF((($AP1017="Banking and Finance")+($AP1017="Management and Administration")+($AP1017="Marketing")+($AP1017="Sales")+($AP1017="Entrepreneurship")+($AP1017="Hospitality and Tourism"))&gt;0,"Commerce",IF((($AP1017="Social Sciences and Humanities")+($AP1017="Law Studies")+($AP1017="Education and Training")+($AP1017="Art, Design")+($AP1017="Entertainment and Mass Media")+($AP1017="Community and Social Service")+($AP1017="Personal Care and Services")+($AP1017="Government and Public Administration")+($AP1017="Defence/ Protective Service")+($AP1017="Sports"))&gt;0,"Arts / Humanities",""))))</f>
        <v/>
      </c>
      <c r="BC1017" s="5" t="str">
        <f aca="false">IF($AL1017="","",IF((($AL1017="Engineering and Technology")+($AL1017="Science and Mathematics")+($AL1017="Computer Science, IT and Allied Fields")+($AL1017="Life Sciences /Medicine and Healthcare")+($AL1017="Paramedical")+($AL1017="Architecture")+($AL1017="Environmental Service")+($AL1017="Agriculture, Food Industry and Forestry"))&gt;0,"Science",IF((($AL1017="Banking and Finance")+($AL1017="Management and Administration")+($AL1017="Marketing")+($AL1017="Sales")+($AL1017="Entrepreneurship")+($AL1017="Hospitality and Tourism"))&gt;0,"Commerce",IF((($AL1017="Social Sciences and Humanities")+($AL1017="Law Studies")+($AL1017="Education and Training")+($AL1017="Art, Design")+($AL1017="Entertainment and Mass Media")+($AL1017="Community and Social Service")+($AL1017="Personal Care and Services")+($AL1017="Government and Public Administration")+($AL1017="Defence/ Protective Service")+($AL1017="Sports"))&gt;0,"Arts / Humanities",""))))</f>
        <v/>
      </c>
      <c r="BD1017" s="5" t="str">
        <f aca="false">IF($B1017="","",--(F1017&gt;=10)+--(G1017&gt;=10)+--(H1017&gt;=10)+--(I1017&gt;=10)+--(J1017&gt;=10)+--(K1017&gt;=10)+--(L1017&gt;=10)+--(M1017&gt;=10)+--(N1017&gt;=10)+--(O1017&gt;=10))</f>
        <v/>
      </c>
      <c r="BE1017" s="5" t="str">
        <f aca="false">IF($B1017="","",--(AND(F1017&lt;&gt;"",F1017&lt;=8))+--(AND(G1017&lt;&gt;"",G1017&lt;=8))+--(AND(H1017&lt;&gt;"",H1017&lt;=8))+--(AND(I1017&lt;&gt;"",I1017&lt;=8))+--(AND(J1017&lt;&gt;"",J1017&lt;=8))+--(AND(K1017&lt;&gt;"",K1017&lt;=8))+--(AND(L1017&lt;&gt;"",L1017&lt;=8))+--(AND(M1017&lt;&gt;"",M1017&lt;=8))+--(AND(N1017&lt;&gt;"",N1017&lt;=8))+--(AND(O1017&lt;&gt;"",O1017&lt;=8)))</f>
        <v/>
      </c>
    </row>
    <row r="1018" customFormat="false" ht="15" hidden="false" customHeight="false" outlineLevel="0" collapsed="false">
      <c r="AZ1018" s="5" t="str">
        <f aca="false">IF($B1018="","",SUMPRODUCT(($AL1018:$AO1018&lt;&gt;"")*(COUNTIF($AP1018:$AX1018,$AL1018:$AO1018)&gt;0)))</f>
        <v/>
      </c>
      <c r="BA1018" s="5" t="str">
        <f aca="false">IF($B1018="","",IF(AZ1018&gt;0,1,0))</f>
        <v/>
      </c>
      <c r="BB1018" s="5" t="str">
        <f aca="false">IF($AP1018="","",IF((($AP1018="Engineering and Technology")+($AP1018="Science and Mathematics")+($AP1018="Computer Science, IT and Allied Fields")+($AP1018="Life Sciences /Medicine and Healthcare")+($AP1018="Paramedical")+($AP1018="Architecture")+($AP1018="Environmental Service")+($AP1018="Agriculture, Food Industry and Forestry"))&gt;0,"Science",IF((($AP1018="Banking and Finance")+($AP1018="Management and Administration")+($AP1018="Marketing")+($AP1018="Sales")+($AP1018="Entrepreneurship")+($AP1018="Hospitality and Tourism"))&gt;0,"Commerce",IF((($AP1018="Social Sciences and Humanities")+($AP1018="Law Studies")+($AP1018="Education and Training")+($AP1018="Art, Design")+($AP1018="Entertainment and Mass Media")+($AP1018="Community and Social Service")+($AP1018="Personal Care and Services")+($AP1018="Government and Public Administration")+($AP1018="Defence/ Protective Service")+($AP1018="Sports"))&gt;0,"Arts / Humanities",""))))</f>
        <v/>
      </c>
      <c r="BC1018" s="5" t="str">
        <f aca="false">IF($AL1018="","",IF((($AL1018="Engineering and Technology")+($AL1018="Science and Mathematics")+($AL1018="Computer Science, IT and Allied Fields")+($AL1018="Life Sciences /Medicine and Healthcare")+($AL1018="Paramedical")+($AL1018="Architecture")+($AL1018="Environmental Service")+($AL1018="Agriculture, Food Industry and Forestry"))&gt;0,"Science",IF((($AL1018="Banking and Finance")+($AL1018="Management and Administration")+($AL1018="Marketing")+($AL1018="Sales")+($AL1018="Entrepreneurship")+($AL1018="Hospitality and Tourism"))&gt;0,"Commerce",IF((($AL1018="Social Sciences and Humanities")+($AL1018="Law Studies")+($AL1018="Education and Training")+($AL1018="Art, Design")+($AL1018="Entertainment and Mass Media")+($AL1018="Community and Social Service")+($AL1018="Personal Care and Services")+($AL1018="Government and Public Administration")+($AL1018="Defence/ Protective Service")+($AL1018="Sports"))&gt;0,"Arts / Humanities",""))))</f>
        <v/>
      </c>
      <c r="BD1018" s="5" t="str">
        <f aca="false">IF($B1018="","",--(F1018&gt;=10)+--(G1018&gt;=10)+--(H1018&gt;=10)+--(I1018&gt;=10)+--(J1018&gt;=10)+--(K1018&gt;=10)+--(L1018&gt;=10)+--(M1018&gt;=10)+--(N1018&gt;=10)+--(O1018&gt;=10))</f>
        <v/>
      </c>
      <c r="BE1018" s="5" t="str">
        <f aca="false">IF($B1018="","",--(AND(F1018&lt;&gt;"",F1018&lt;=8))+--(AND(G1018&lt;&gt;"",G1018&lt;=8))+--(AND(H1018&lt;&gt;"",H1018&lt;=8))+--(AND(I1018&lt;&gt;"",I1018&lt;=8))+--(AND(J1018&lt;&gt;"",J1018&lt;=8))+--(AND(K1018&lt;&gt;"",K1018&lt;=8))+--(AND(L1018&lt;&gt;"",L1018&lt;=8))+--(AND(M1018&lt;&gt;"",M1018&lt;=8))+--(AND(N1018&lt;&gt;"",N1018&lt;=8))+--(AND(O1018&lt;&gt;"",O1018&lt;=8)))</f>
        <v/>
      </c>
    </row>
    <row r="1019" customFormat="false" ht="15" hidden="false" customHeight="false" outlineLevel="0" collapsed="false">
      <c r="AZ1019" s="5" t="str">
        <f aca="false">IF($B1019="","",SUMPRODUCT(($AL1019:$AO1019&lt;&gt;"")*(COUNTIF($AP1019:$AX1019,$AL1019:$AO1019)&gt;0)))</f>
        <v/>
      </c>
      <c r="BA1019" s="5" t="str">
        <f aca="false">IF($B1019="","",IF(AZ1019&gt;0,1,0))</f>
        <v/>
      </c>
      <c r="BB1019" s="5" t="str">
        <f aca="false">IF($AP1019="","",IF((($AP1019="Engineering and Technology")+($AP1019="Science and Mathematics")+($AP1019="Computer Science, IT and Allied Fields")+($AP1019="Life Sciences /Medicine and Healthcare")+($AP1019="Paramedical")+($AP1019="Architecture")+($AP1019="Environmental Service")+($AP1019="Agriculture, Food Industry and Forestry"))&gt;0,"Science",IF((($AP1019="Banking and Finance")+($AP1019="Management and Administration")+($AP1019="Marketing")+($AP1019="Sales")+($AP1019="Entrepreneurship")+($AP1019="Hospitality and Tourism"))&gt;0,"Commerce",IF((($AP1019="Social Sciences and Humanities")+($AP1019="Law Studies")+($AP1019="Education and Training")+($AP1019="Art, Design")+($AP1019="Entertainment and Mass Media")+($AP1019="Community and Social Service")+($AP1019="Personal Care and Services")+($AP1019="Government and Public Administration")+($AP1019="Defence/ Protective Service")+($AP1019="Sports"))&gt;0,"Arts / Humanities",""))))</f>
        <v/>
      </c>
      <c r="BC1019" s="5" t="str">
        <f aca="false">IF($AL1019="","",IF((($AL1019="Engineering and Technology")+($AL1019="Science and Mathematics")+($AL1019="Computer Science, IT and Allied Fields")+($AL1019="Life Sciences /Medicine and Healthcare")+($AL1019="Paramedical")+($AL1019="Architecture")+($AL1019="Environmental Service")+($AL1019="Agriculture, Food Industry and Forestry"))&gt;0,"Science",IF((($AL1019="Banking and Finance")+($AL1019="Management and Administration")+($AL1019="Marketing")+($AL1019="Sales")+($AL1019="Entrepreneurship")+($AL1019="Hospitality and Tourism"))&gt;0,"Commerce",IF((($AL1019="Social Sciences and Humanities")+($AL1019="Law Studies")+($AL1019="Education and Training")+($AL1019="Art, Design")+($AL1019="Entertainment and Mass Media")+($AL1019="Community and Social Service")+($AL1019="Personal Care and Services")+($AL1019="Government and Public Administration")+($AL1019="Defence/ Protective Service")+($AL1019="Sports"))&gt;0,"Arts / Humanities",""))))</f>
        <v/>
      </c>
      <c r="BD1019" s="5" t="str">
        <f aca="false">IF($B1019="","",--(F1019&gt;=10)+--(G1019&gt;=10)+--(H1019&gt;=10)+--(I1019&gt;=10)+--(J1019&gt;=10)+--(K1019&gt;=10)+--(L1019&gt;=10)+--(M1019&gt;=10)+--(N1019&gt;=10)+--(O1019&gt;=10))</f>
        <v/>
      </c>
      <c r="BE1019" s="5" t="str">
        <f aca="false">IF($B1019="","",--(AND(F1019&lt;&gt;"",F1019&lt;=8))+--(AND(G1019&lt;&gt;"",G1019&lt;=8))+--(AND(H1019&lt;&gt;"",H1019&lt;=8))+--(AND(I1019&lt;&gt;"",I1019&lt;=8))+--(AND(J1019&lt;&gt;"",J1019&lt;=8))+--(AND(K1019&lt;&gt;"",K1019&lt;=8))+--(AND(L1019&lt;&gt;"",L1019&lt;=8))+--(AND(M1019&lt;&gt;"",M1019&lt;=8))+--(AND(N1019&lt;&gt;"",N1019&lt;=8))+--(AND(O1019&lt;&gt;"",O1019&lt;=8)))</f>
        <v/>
      </c>
    </row>
    <row r="1020" customFormat="false" ht="15" hidden="false" customHeight="false" outlineLevel="0" collapsed="false">
      <c r="AZ1020" s="5" t="str">
        <f aca="false">IF($B1020="","",SUMPRODUCT(($AL1020:$AO1020&lt;&gt;"")*(COUNTIF($AP1020:$AX1020,$AL1020:$AO1020)&gt;0)))</f>
        <v/>
      </c>
      <c r="BA1020" s="5" t="str">
        <f aca="false">IF($B1020="","",IF(AZ1020&gt;0,1,0))</f>
        <v/>
      </c>
      <c r="BB1020" s="5" t="str">
        <f aca="false">IF($AP1020="","",IF((($AP1020="Engineering and Technology")+($AP1020="Science and Mathematics")+($AP1020="Computer Science, IT and Allied Fields")+($AP1020="Life Sciences /Medicine and Healthcare")+($AP1020="Paramedical")+($AP1020="Architecture")+($AP1020="Environmental Service")+($AP1020="Agriculture, Food Industry and Forestry"))&gt;0,"Science",IF((($AP1020="Banking and Finance")+($AP1020="Management and Administration")+($AP1020="Marketing")+($AP1020="Sales")+($AP1020="Entrepreneurship")+($AP1020="Hospitality and Tourism"))&gt;0,"Commerce",IF((($AP1020="Social Sciences and Humanities")+($AP1020="Law Studies")+($AP1020="Education and Training")+($AP1020="Art, Design")+($AP1020="Entertainment and Mass Media")+($AP1020="Community and Social Service")+($AP1020="Personal Care and Services")+($AP1020="Government and Public Administration")+($AP1020="Defence/ Protective Service")+($AP1020="Sports"))&gt;0,"Arts / Humanities",""))))</f>
        <v/>
      </c>
      <c r="BC1020" s="5" t="str">
        <f aca="false">IF($AL1020="","",IF((($AL1020="Engineering and Technology")+($AL1020="Science and Mathematics")+($AL1020="Computer Science, IT and Allied Fields")+($AL1020="Life Sciences /Medicine and Healthcare")+($AL1020="Paramedical")+($AL1020="Architecture")+($AL1020="Environmental Service")+($AL1020="Agriculture, Food Industry and Forestry"))&gt;0,"Science",IF((($AL1020="Banking and Finance")+($AL1020="Management and Administration")+($AL1020="Marketing")+($AL1020="Sales")+($AL1020="Entrepreneurship")+($AL1020="Hospitality and Tourism"))&gt;0,"Commerce",IF((($AL1020="Social Sciences and Humanities")+($AL1020="Law Studies")+($AL1020="Education and Training")+($AL1020="Art, Design")+($AL1020="Entertainment and Mass Media")+($AL1020="Community and Social Service")+($AL1020="Personal Care and Services")+($AL1020="Government and Public Administration")+($AL1020="Defence/ Protective Service")+($AL1020="Sports"))&gt;0,"Arts / Humanities",""))))</f>
        <v/>
      </c>
      <c r="BD1020" s="5" t="str">
        <f aca="false">IF($B1020="","",--(F1020&gt;=10)+--(G1020&gt;=10)+--(H1020&gt;=10)+--(I1020&gt;=10)+--(J1020&gt;=10)+--(K1020&gt;=10)+--(L1020&gt;=10)+--(M1020&gt;=10)+--(N1020&gt;=10)+--(O1020&gt;=10))</f>
        <v/>
      </c>
      <c r="BE1020" s="5" t="str">
        <f aca="false">IF($B1020="","",--(AND(F1020&lt;&gt;"",F1020&lt;=8))+--(AND(G1020&lt;&gt;"",G1020&lt;=8))+--(AND(H1020&lt;&gt;"",H1020&lt;=8))+--(AND(I1020&lt;&gt;"",I1020&lt;=8))+--(AND(J1020&lt;&gt;"",J1020&lt;=8))+--(AND(K1020&lt;&gt;"",K1020&lt;=8))+--(AND(L1020&lt;&gt;"",L1020&lt;=8))+--(AND(M1020&lt;&gt;"",M1020&lt;=8))+--(AND(N1020&lt;&gt;"",N1020&lt;=8))+--(AND(O1020&lt;&gt;"",O1020&lt;=8)))</f>
        <v/>
      </c>
    </row>
    <row r="1021" customFormat="false" ht="15" hidden="false" customHeight="false" outlineLevel="0" collapsed="false">
      <c r="AZ1021" s="5" t="str">
        <f aca="false">IF($B1021="","",SUMPRODUCT(($AL1021:$AO1021&lt;&gt;"")*(COUNTIF($AP1021:$AX1021,$AL1021:$AO1021)&gt;0)))</f>
        <v/>
      </c>
      <c r="BA1021" s="5" t="str">
        <f aca="false">IF($B1021="","",IF(AZ1021&gt;0,1,0))</f>
        <v/>
      </c>
      <c r="BB1021" s="5" t="str">
        <f aca="false">IF($AP1021="","",IF((($AP1021="Engineering and Technology")+($AP1021="Science and Mathematics")+($AP1021="Computer Science, IT and Allied Fields")+($AP1021="Life Sciences /Medicine and Healthcare")+($AP1021="Paramedical")+($AP1021="Architecture")+($AP1021="Environmental Service")+($AP1021="Agriculture, Food Industry and Forestry"))&gt;0,"Science",IF((($AP1021="Banking and Finance")+($AP1021="Management and Administration")+($AP1021="Marketing")+($AP1021="Sales")+($AP1021="Entrepreneurship")+($AP1021="Hospitality and Tourism"))&gt;0,"Commerce",IF((($AP1021="Social Sciences and Humanities")+($AP1021="Law Studies")+($AP1021="Education and Training")+($AP1021="Art, Design")+($AP1021="Entertainment and Mass Media")+($AP1021="Community and Social Service")+($AP1021="Personal Care and Services")+($AP1021="Government and Public Administration")+($AP1021="Defence/ Protective Service")+($AP1021="Sports"))&gt;0,"Arts / Humanities",""))))</f>
        <v/>
      </c>
      <c r="BC1021" s="5" t="str">
        <f aca="false">IF($AL1021="","",IF((($AL1021="Engineering and Technology")+($AL1021="Science and Mathematics")+($AL1021="Computer Science, IT and Allied Fields")+($AL1021="Life Sciences /Medicine and Healthcare")+($AL1021="Paramedical")+($AL1021="Architecture")+($AL1021="Environmental Service")+($AL1021="Agriculture, Food Industry and Forestry"))&gt;0,"Science",IF((($AL1021="Banking and Finance")+($AL1021="Management and Administration")+($AL1021="Marketing")+($AL1021="Sales")+($AL1021="Entrepreneurship")+($AL1021="Hospitality and Tourism"))&gt;0,"Commerce",IF((($AL1021="Social Sciences and Humanities")+($AL1021="Law Studies")+($AL1021="Education and Training")+($AL1021="Art, Design")+($AL1021="Entertainment and Mass Media")+($AL1021="Community and Social Service")+($AL1021="Personal Care and Services")+($AL1021="Government and Public Administration")+($AL1021="Defence/ Protective Service")+($AL1021="Sports"))&gt;0,"Arts / Humanities",""))))</f>
        <v/>
      </c>
      <c r="BD1021" s="5" t="str">
        <f aca="false">IF($B1021="","",--(F1021&gt;=10)+--(G1021&gt;=10)+--(H1021&gt;=10)+--(I1021&gt;=10)+--(J1021&gt;=10)+--(K1021&gt;=10)+--(L1021&gt;=10)+--(M1021&gt;=10)+--(N1021&gt;=10)+--(O1021&gt;=10))</f>
        <v/>
      </c>
      <c r="BE1021" s="5" t="str">
        <f aca="false">IF($B1021="","",--(AND(F1021&lt;&gt;"",F1021&lt;=8))+--(AND(G1021&lt;&gt;"",G1021&lt;=8))+--(AND(H1021&lt;&gt;"",H1021&lt;=8))+--(AND(I1021&lt;&gt;"",I1021&lt;=8))+--(AND(J1021&lt;&gt;"",J1021&lt;=8))+--(AND(K1021&lt;&gt;"",K1021&lt;=8))+--(AND(L1021&lt;&gt;"",L1021&lt;=8))+--(AND(M1021&lt;&gt;"",M1021&lt;=8))+--(AND(N1021&lt;&gt;"",N1021&lt;=8))+--(AND(O1021&lt;&gt;"",O1021&lt;=8)))</f>
        <v/>
      </c>
    </row>
    <row r="1022" customFormat="false" ht="15" hidden="false" customHeight="false" outlineLevel="0" collapsed="false">
      <c r="AZ1022" s="5" t="str">
        <f aca="false">IF($B1022="","",SUMPRODUCT(($AL1022:$AO1022&lt;&gt;"")*(COUNTIF($AP1022:$AX1022,$AL1022:$AO1022)&gt;0)))</f>
        <v/>
      </c>
      <c r="BA1022" s="5" t="str">
        <f aca="false">IF($B1022="","",IF(AZ1022&gt;0,1,0))</f>
        <v/>
      </c>
      <c r="BB1022" s="5" t="str">
        <f aca="false">IF($AP1022="","",IF((($AP1022="Engineering and Technology")+($AP1022="Science and Mathematics")+($AP1022="Computer Science, IT and Allied Fields")+($AP1022="Life Sciences /Medicine and Healthcare")+($AP1022="Paramedical")+($AP1022="Architecture")+($AP1022="Environmental Service")+($AP1022="Agriculture, Food Industry and Forestry"))&gt;0,"Science",IF((($AP1022="Banking and Finance")+($AP1022="Management and Administration")+($AP1022="Marketing")+($AP1022="Sales")+($AP1022="Entrepreneurship")+($AP1022="Hospitality and Tourism"))&gt;0,"Commerce",IF((($AP1022="Social Sciences and Humanities")+($AP1022="Law Studies")+($AP1022="Education and Training")+($AP1022="Art, Design")+($AP1022="Entertainment and Mass Media")+($AP1022="Community and Social Service")+($AP1022="Personal Care and Services")+($AP1022="Government and Public Administration")+($AP1022="Defence/ Protective Service")+($AP1022="Sports"))&gt;0,"Arts / Humanities",""))))</f>
        <v/>
      </c>
      <c r="BC1022" s="5" t="str">
        <f aca="false">IF($AL1022="","",IF((($AL1022="Engineering and Technology")+($AL1022="Science and Mathematics")+($AL1022="Computer Science, IT and Allied Fields")+($AL1022="Life Sciences /Medicine and Healthcare")+($AL1022="Paramedical")+($AL1022="Architecture")+($AL1022="Environmental Service")+($AL1022="Agriculture, Food Industry and Forestry"))&gt;0,"Science",IF((($AL1022="Banking and Finance")+($AL1022="Management and Administration")+($AL1022="Marketing")+($AL1022="Sales")+($AL1022="Entrepreneurship")+($AL1022="Hospitality and Tourism"))&gt;0,"Commerce",IF((($AL1022="Social Sciences and Humanities")+($AL1022="Law Studies")+($AL1022="Education and Training")+($AL1022="Art, Design")+($AL1022="Entertainment and Mass Media")+($AL1022="Community and Social Service")+($AL1022="Personal Care and Services")+($AL1022="Government and Public Administration")+($AL1022="Defence/ Protective Service")+($AL1022="Sports"))&gt;0,"Arts / Humanities",""))))</f>
        <v/>
      </c>
      <c r="BD1022" s="5" t="str">
        <f aca="false">IF($B1022="","",--(F1022&gt;=10)+--(G1022&gt;=10)+--(H1022&gt;=10)+--(I1022&gt;=10)+--(J1022&gt;=10)+--(K1022&gt;=10)+--(L1022&gt;=10)+--(M1022&gt;=10)+--(N1022&gt;=10)+--(O1022&gt;=10))</f>
        <v/>
      </c>
      <c r="BE1022" s="5" t="str">
        <f aca="false">IF($B1022="","",--(AND(F1022&lt;&gt;"",F1022&lt;=8))+--(AND(G1022&lt;&gt;"",G1022&lt;=8))+--(AND(H1022&lt;&gt;"",H1022&lt;=8))+--(AND(I1022&lt;&gt;"",I1022&lt;=8))+--(AND(J1022&lt;&gt;"",J1022&lt;=8))+--(AND(K1022&lt;&gt;"",K1022&lt;=8))+--(AND(L1022&lt;&gt;"",L1022&lt;=8))+--(AND(M1022&lt;&gt;"",M1022&lt;=8))+--(AND(N1022&lt;&gt;"",N1022&lt;=8))+--(AND(O1022&lt;&gt;"",O1022&lt;=8)))</f>
        <v/>
      </c>
    </row>
    <row r="1023" customFormat="false" ht="15" hidden="false" customHeight="false" outlineLevel="0" collapsed="false">
      <c r="AZ1023" s="5" t="str">
        <f aca="false">IF($B1023="","",SUMPRODUCT(($AL1023:$AO1023&lt;&gt;"")*(COUNTIF($AP1023:$AX1023,$AL1023:$AO1023)&gt;0)))</f>
        <v/>
      </c>
      <c r="BA1023" s="5" t="str">
        <f aca="false">IF($B1023="","",IF(AZ1023&gt;0,1,0))</f>
        <v/>
      </c>
      <c r="BB1023" s="5" t="str">
        <f aca="false">IF($AP1023="","",IF((($AP1023="Engineering and Technology")+($AP1023="Science and Mathematics")+($AP1023="Computer Science, IT and Allied Fields")+($AP1023="Life Sciences /Medicine and Healthcare")+($AP1023="Paramedical")+($AP1023="Architecture")+($AP1023="Environmental Service")+($AP1023="Agriculture, Food Industry and Forestry"))&gt;0,"Science",IF((($AP1023="Banking and Finance")+($AP1023="Management and Administration")+($AP1023="Marketing")+($AP1023="Sales")+($AP1023="Entrepreneurship")+($AP1023="Hospitality and Tourism"))&gt;0,"Commerce",IF((($AP1023="Social Sciences and Humanities")+($AP1023="Law Studies")+($AP1023="Education and Training")+($AP1023="Art, Design")+($AP1023="Entertainment and Mass Media")+($AP1023="Community and Social Service")+($AP1023="Personal Care and Services")+($AP1023="Government and Public Administration")+($AP1023="Defence/ Protective Service")+($AP1023="Sports"))&gt;0,"Arts / Humanities",""))))</f>
        <v/>
      </c>
      <c r="BC1023" s="5" t="str">
        <f aca="false">IF($AL1023="","",IF((($AL1023="Engineering and Technology")+($AL1023="Science and Mathematics")+($AL1023="Computer Science, IT and Allied Fields")+($AL1023="Life Sciences /Medicine and Healthcare")+($AL1023="Paramedical")+($AL1023="Architecture")+($AL1023="Environmental Service")+($AL1023="Agriculture, Food Industry and Forestry"))&gt;0,"Science",IF((($AL1023="Banking and Finance")+($AL1023="Management and Administration")+($AL1023="Marketing")+($AL1023="Sales")+($AL1023="Entrepreneurship")+($AL1023="Hospitality and Tourism"))&gt;0,"Commerce",IF((($AL1023="Social Sciences and Humanities")+($AL1023="Law Studies")+($AL1023="Education and Training")+($AL1023="Art, Design")+($AL1023="Entertainment and Mass Media")+($AL1023="Community and Social Service")+($AL1023="Personal Care and Services")+($AL1023="Government and Public Administration")+($AL1023="Defence/ Protective Service")+($AL1023="Sports"))&gt;0,"Arts / Humanities",""))))</f>
        <v/>
      </c>
      <c r="BD1023" s="5" t="str">
        <f aca="false">IF($B1023="","",--(F1023&gt;=10)+--(G1023&gt;=10)+--(H1023&gt;=10)+--(I1023&gt;=10)+--(J1023&gt;=10)+--(K1023&gt;=10)+--(L1023&gt;=10)+--(M1023&gt;=10)+--(N1023&gt;=10)+--(O1023&gt;=10))</f>
        <v/>
      </c>
      <c r="BE1023" s="5" t="str">
        <f aca="false">IF($B1023="","",--(AND(F1023&lt;&gt;"",F1023&lt;=8))+--(AND(G1023&lt;&gt;"",G1023&lt;=8))+--(AND(H1023&lt;&gt;"",H1023&lt;=8))+--(AND(I1023&lt;&gt;"",I1023&lt;=8))+--(AND(J1023&lt;&gt;"",J1023&lt;=8))+--(AND(K1023&lt;&gt;"",K1023&lt;=8))+--(AND(L1023&lt;&gt;"",L1023&lt;=8))+--(AND(M1023&lt;&gt;"",M1023&lt;=8))+--(AND(N1023&lt;&gt;"",N1023&lt;=8))+--(AND(O1023&lt;&gt;"",O1023&lt;=8)))</f>
        <v/>
      </c>
    </row>
    <row r="1024" customFormat="false" ht="15" hidden="false" customHeight="false" outlineLevel="0" collapsed="false">
      <c r="AZ1024" s="5" t="str">
        <f aca="false">IF($B1024="","",SUMPRODUCT(($AL1024:$AO1024&lt;&gt;"")*(COUNTIF($AP1024:$AX1024,$AL1024:$AO1024)&gt;0)))</f>
        <v/>
      </c>
      <c r="BA1024" s="5" t="str">
        <f aca="false">IF($B1024="","",IF(AZ1024&gt;0,1,0))</f>
        <v/>
      </c>
      <c r="BB1024" s="5" t="str">
        <f aca="false">IF($AP1024="","",IF((($AP1024="Engineering and Technology")+($AP1024="Science and Mathematics")+($AP1024="Computer Science, IT and Allied Fields")+($AP1024="Life Sciences /Medicine and Healthcare")+($AP1024="Paramedical")+($AP1024="Architecture")+($AP1024="Environmental Service")+($AP1024="Agriculture, Food Industry and Forestry"))&gt;0,"Science",IF((($AP1024="Banking and Finance")+($AP1024="Management and Administration")+($AP1024="Marketing")+($AP1024="Sales")+($AP1024="Entrepreneurship")+($AP1024="Hospitality and Tourism"))&gt;0,"Commerce",IF((($AP1024="Social Sciences and Humanities")+($AP1024="Law Studies")+($AP1024="Education and Training")+($AP1024="Art, Design")+($AP1024="Entertainment and Mass Media")+($AP1024="Community and Social Service")+($AP1024="Personal Care and Services")+($AP1024="Government and Public Administration")+($AP1024="Defence/ Protective Service")+($AP1024="Sports"))&gt;0,"Arts / Humanities",""))))</f>
        <v/>
      </c>
      <c r="BC1024" s="5" t="str">
        <f aca="false">IF($AL1024="","",IF((($AL1024="Engineering and Technology")+($AL1024="Science and Mathematics")+($AL1024="Computer Science, IT and Allied Fields")+($AL1024="Life Sciences /Medicine and Healthcare")+($AL1024="Paramedical")+($AL1024="Architecture")+($AL1024="Environmental Service")+($AL1024="Agriculture, Food Industry and Forestry"))&gt;0,"Science",IF((($AL1024="Banking and Finance")+($AL1024="Management and Administration")+($AL1024="Marketing")+($AL1024="Sales")+($AL1024="Entrepreneurship")+($AL1024="Hospitality and Tourism"))&gt;0,"Commerce",IF((($AL1024="Social Sciences and Humanities")+($AL1024="Law Studies")+($AL1024="Education and Training")+($AL1024="Art, Design")+($AL1024="Entertainment and Mass Media")+($AL1024="Community and Social Service")+($AL1024="Personal Care and Services")+($AL1024="Government and Public Administration")+($AL1024="Defence/ Protective Service")+($AL1024="Sports"))&gt;0,"Arts / Humanities",""))))</f>
        <v/>
      </c>
      <c r="BD1024" s="5" t="str">
        <f aca="false">IF($B1024="","",--(F1024&gt;=10)+--(G1024&gt;=10)+--(H1024&gt;=10)+--(I1024&gt;=10)+--(J1024&gt;=10)+--(K1024&gt;=10)+--(L1024&gt;=10)+--(M1024&gt;=10)+--(N1024&gt;=10)+--(O1024&gt;=10))</f>
        <v/>
      </c>
      <c r="BE1024" s="5" t="str">
        <f aca="false">IF($B1024="","",--(AND(F1024&lt;&gt;"",F1024&lt;=8))+--(AND(G1024&lt;&gt;"",G1024&lt;=8))+--(AND(H1024&lt;&gt;"",H1024&lt;=8))+--(AND(I1024&lt;&gt;"",I1024&lt;=8))+--(AND(J1024&lt;&gt;"",J1024&lt;=8))+--(AND(K1024&lt;&gt;"",K1024&lt;=8))+--(AND(L1024&lt;&gt;"",L1024&lt;=8))+--(AND(M1024&lt;&gt;"",M1024&lt;=8))+--(AND(N1024&lt;&gt;"",N1024&lt;=8))+--(AND(O1024&lt;&gt;"",O1024&lt;=8)))</f>
        <v/>
      </c>
    </row>
    <row r="1025" customFormat="false" ht="15" hidden="false" customHeight="false" outlineLevel="0" collapsed="false">
      <c r="AZ1025" s="5" t="str">
        <f aca="false">IF($B1025="","",SUMPRODUCT(($AL1025:$AO1025&lt;&gt;"")*(COUNTIF($AP1025:$AX1025,$AL1025:$AO1025)&gt;0)))</f>
        <v/>
      </c>
      <c r="BA1025" s="5" t="str">
        <f aca="false">IF($B1025="","",IF(AZ1025&gt;0,1,0))</f>
        <v/>
      </c>
      <c r="BB1025" s="5" t="str">
        <f aca="false">IF($AP1025="","",IF((($AP1025="Engineering and Technology")+($AP1025="Science and Mathematics")+($AP1025="Computer Science, IT and Allied Fields")+($AP1025="Life Sciences /Medicine and Healthcare")+($AP1025="Paramedical")+($AP1025="Architecture")+($AP1025="Environmental Service")+($AP1025="Agriculture, Food Industry and Forestry"))&gt;0,"Science",IF((($AP1025="Banking and Finance")+($AP1025="Management and Administration")+($AP1025="Marketing")+($AP1025="Sales")+($AP1025="Entrepreneurship")+($AP1025="Hospitality and Tourism"))&gt;0,"Commerce",IF((($AP1025="Social Sciences and Humanities")+($AP1025="Law Studies")+($AP1025="Education and Training")+($AP1025="Art, Design")+($AP1025="Entertainment and Mass Media")+($AP1025="Community and Social Service")+($AP1025="Personal Care and Services")+($AP1025="Government and Public Administration")+($AP1025="Defence/ Protective Service")+($AP1025="Sports"))&gt;0,"Arts / Humanities",""))))</f>
        <v/>
      </c>
      <c r="BC1025" s="5" t="str">
        <f aca="false">IF($AL1025="","",IF((($AL1025="Engineering and Technology")+($AL1025="Science and Mathematics")+($AL1025="Computer Science, IT and Allied Fields")+($AL1025="Life Sciences /Medicine and Healthcare")+($AL1025="Paramedical")+($AL1025="Architecture")+($AL1025="Environmental Service")+($AL1025="Agriculture, Food Industry and Forestry"))&gt;0,"Science",IF((($AL1025="Banking and Finance")+($AL1025="Management and Administration")+($AL1025="Marketing")+($AL1025="Sales")+($AL1025="Entrepreneurship")+($AL1025="Hospitality and Tourism"))&gt;0,"Commerce",IF((($AL1025="Social Sciences and Humanities")+($AL1025="Law Studies")+($AL1025="Education and Training")+($AL1025="Art, Design")+($AL1025="Entertainment and Mass Media")+($AL1025="Community and Social Service")+($AL1025="Personal Care and Services")+($AL1025="Government and Public Administration")+($AL1025="Defence/ Protective Service")+($AL1025="Sports"))&gt;0,"Arts / Humanities",""))))</f>
        <v/>
      </c>
      <c r="BD1025" s="5" t="str">
        <f aca="false">IF($B1025="","",--(F1025&gt;=10)+--(G1025&gt;=10)+--(H1025&gt;=10)+--(I1025&gt;=10)+--(J1025&gt;=10)+--(K1025&gt;=10)+--(L1025&gt;=10)+--(M1025&gt;=10)+--(N1025&gt;=10)+--(O1025&gt;=10))</f>
        <v/>
      </c>
      <c r="BE1025" s="5" t="str">
        <f aca="false">IF($B1025="","",--(AND(F1025&lt;&gt;"",F1025&lt;=8))+--(AND(G1025&lt;&gt;"",G1025&lt;=8))+--(AND(H1025&lt;&gt;"",H1025&lt;=8))+--(AND(I1025&lt;&gt;"",I1025&lt;=8))+--(AND(J1025&lt;&gt;"",J1025&lt;=8))+--(AND(K1025&lt;&gt;"",K1025&lt;=8))+--(AND(L1025&lt;&gt;"",L1025&lt;=8))+--(AND(M1025&lt;&gt;"",M1025&lt;=8))+--(AND(N1025&lt;&gt;"",N1025&lt;=8))+--(AND(O1025&lt;&gt;"",O1025&lt;=8)))</f>
        <v/>
      </c>
    </row>
    <row r="1026" customFormat="false" ht="15" hidden="false" customHeight="false" outlineLevel="0" collapsed="false">
      <c r="AZ1026" s="5" t="str">
        <f aca="false">IF($B1026="","",SUMPRODUCT(($AL1026:$AO1026&lt;&gt;"")*(COUNTIF($AP1026:$AX1026,$AL1026:$AO1026)&gt;0)))</f>
        <v/>
      </c>
      <c r="BA1026" s="5" t="str">
        <f aca="false">IF($B1026="","",IF(AZ1026&gt;0,1,0))</f>
        <v/>
      </c>
      <c r="BB1026" s="5" t="str">
        <f aca="false">IF($AP1026="","",IF((($AP1026="Engineering and Technology")+($AP1026="Science and Mathematics")+($AP1026="Computer Science, IT and Allied Fields")+($AP1026="Life Sciences /Medicine and Healthcare")+($AP1026="Paramedical")+($AP1026="Architecture")+($AP1026="Environmental Service")+($AP1026="Agriculture, Food Industry and Forestry"))&gt;0,"Science",IF((($AP1026="Banking and Finance")+($AP1026="Management and Administration")+($AP1026="Marketing")+($AP1026="Sales")+($AP1026="Entrepreneurship")+($AP1026="Hospitality and Tourism"))&gt;0,"Commerce",IF((($AP1026="Social Sciences and Humanities")+($AP1026="Law Studies")+($AP1026="Education and Training")+($AP1026="Art, Design")+($AP1026="Entertainment and Mass Media")+($AP1026="Community and Social Service")+($AP1026="Personal Care and Services")+($AP1026="Government and Public Administration")+($AP1026="Defence/ Protective Service")+($AP1026="Sports"))&gt;0,"Arts / Humanities",""))))</f>
        <v/>
      </c>
      <c r="BC1026" s="5" t="str">
        <f aca="false">IF($AL1026="","",IF((($AL1026="Engineering and Technology")+($AL1026="Science and Mathematics")+($AL1026="Computer Science, IT and Allied Fields")+($AL1026="Life Sciences /Medicine and Healthcare")+($AL1026="Paramedical")+($AL1026="Architecture")+($AL1026="Environmental Service")+($AL1026="Agriculture, Food Industry and Forestry"))&gt;0,"Science",IF((($AL1026="Banking and Finance")+($AL1026="Management and Administration")+($AL1026="Marketing")+($AL1026="Sales")+($AL1026="Entrepreneurship")+($AL1026="Hospitality and Tourism"))&gt;0,"Commerce",IF((($AL1026="Social Sciences and Humanities")+($AL1026="Law Studies")+($AL1026="Education and Training")+($AL1026="Art, Design")+($AL1026="Entertainment and Mass Media")+($AL1026="Community and Social Service")+($AL1026="Personal Care and Services")+($AL1026="Government and Public Administration")+($AL1026="Defence/ Protective Service")+($AL1026="Sports"))&gt;0,"Arts / Humanities",""))))</f>
        <v/>
      </c>
      <c r="BD1026" s="5" t="str">
        <f aca="false">IF($B1026="","",--(F1026&gt;=10)+--(G1026&gt;=10)+--(H1026&gt;=10)+--(I1026&gt;=10)+--(J1026&gt;=10)+--(K1026&gt;=10)+--(L1026&gt;=10)+--(M1026&gt;=10)+--(N1026&gt;=10)+--(O1026&gt;=10))</f>
        <v/>
      </c>
      <c r="BE1026" s="5" t="str">
        <f aca="false">IF($B1026="","",--(AND(F1026&lt;&gt;"",F1026&lt;=8))+--(AND(G1026&lt;&gt;"",G1026&lt;=8))+--(AND(H1026&lt;&gt;"",H1026&lt;=8))+--(AND(I1026&lt;&gt;"",I1026&lt;=8))+--(AND(J1026&lt;&gt;"",J1026&lt;=8))+--(AND(K1026&lt;&gt;"",K1026&lt;=8))+--(AND(L1026&lt;&gt;"",L1026&lt;=8))+--(AND(M1026&lt;&gt;"",M1026&lt;=8))+--(AND(N1026&lt;&gt;"",N1026&lt;=8))+--(AND(O1026&lt;&gt;"",O1026&lt;=8)))</f>
        <v/>
      </c>
    </row>
    <row r="1027" customFormat="false" ht="15" hidden="false" customHeight="false" outlineLevel="0" collapsed="false">
      <c r="AZ1027" s="5" t="str">
        <f aca="false">IF($B1027="","",SUMPRODUCT(($AL1027:$AO1027&lt;&gt;"")*(COUNTIF($AP1027:$AX1027,$AL1027:$AO1027)&gt;0)))</f>
        <v/>
      </c>
      <c r="BA1027" s="5" t="str">
        <f aca="false">IF($B1027="","",IF(AZ1027&gt;0,1,0))</f>
        <v/>
      </c>
      <c r="BB1027" s="5" t="str">
        <f aca="false">IF($AP1027="","",IF((($AP1027="Engineering and Technology")+($AP1027="Science and Mathematics")+($AP1027="Computer Science, IT and Allied Fields")+($AP1027="Life Sciences /Medicine and Healthcare")+($AP1027="Paramedical")+($AP1027="Architecture")+($AP1027="Environmental Service")+($AP1027="Agriculture, Food Industry and Forestry"))&gt;0,"Science",IF((($AP1027="Banking and Finance")+($AP1027="Management and Administration")+($AP1027="Marketing")+($AP1027="Sales")+($AP1027="Entrepreneurship")+($AP1027="Hospitality and Tourism"))&gt;0,"Commerce",IF((($AP1027="Social Sciences and Humanities")+($AP1027="Law Studies")+($AP1027="Education and Training")+($AP1027="Art, Design")+($AP1027="Entertainment and Mass Media")+($AP1027="Community and Social Service")+($AP1027="Personal Care and Services")+($AP1027="Government and Public Administration")+($AP1027="Defence/ Protective Service")+($AP1027="Sports"))&gt;0,"Arts / Humanities",""))))</f>
        <v/>
      </c>
      <c r="BC1027" s="5" t="str">
        <f aca="false">IF($AL1027="","",IF((($AL1027="Engineering and Technology")+($AL1027="Science and Mathematics")+($AL1027="Computer Science, IT and Allied Fields")+($AL1027="Life Sciences /Medicine and Healthcare")+($AL1027="Paramedical")+($AL1027="Architecture")+($AL1027="Environmental Service")+($AL1027="Agriculture, Food Industry and Forestry"))&gt;0,"Science",IF((($AL1027="Banking and Finance")+($AL1027="Management and Administration")+($AL1027="Marketing")+($AL1027="Sales")+($AL1027="Entrepreneurship")+($AL1027="Hospitality and Tourism"))&gt;0,"Commerce",IF((($AL1027="Social Sciences and Humanities")+($AL1027="Law Studies")+($AL1027="Education and Training")+($AL1027="Art, Design")+($AL1027="Entertainment and Mass Media")+($AL1027="Community and Social Service")+($AL1027="Personal Care and Services")+($AL1027="Government and Public Administration")+($AL1027="Defence/ Protective Service")+($AL1027="Sports"))&gt;0,"Arts / Humanities",""))))</f>
        <v/>
      </c>
      <c r="BD1027" s="5" t="str">
        <f aca="false">IF($B1027="","",--(F1027&gt;=10)+--(G1027&gt;=10)+--(H1027&gt;=10)+--(I1027&gt;=10)+--(J1027&gt;=10)+--(K1027&gt;=10)+--(L1027&gt;=10)+--(M1027&gt;=10)+--(N1027&gt;=10)+--(O1027&gt;=10))</f>
        <v/>
      </c>
      <c r="BE1027" s="5" t="str">
        <f aca="false">IF($B1027="","",--(AND(F1027&lt;&gt;"",F1027&lt;=8))+--(AND(G1027&lt;&gt;"",G1027&lt;=8))+--(AND(H1027&lt;&gt;"",H1027&lt;=8))+--(AND(I1027&lt;&gt;"",I1027&lt;=8))+--(AND(J1027&lt;&gt;"",J1027&lt;=8))+--(AND(K1027&lt;&gt;"",K1027&lt;=8))+--(AND(L1027&lt;&gt;"",L1027&lt;=8))+--(AND(M1027&lt;&gt;"",M1027&lt;=8))+--(AND(N1027&lt;&gt;"",N1027&lt;=8))+--(AND(O1027&lt;&gt;"",O1027&lt;=8)))</f>
        <v/>
      </c>
    </row>
    <row r="1028" customFormat="false" ht="15" hidden="false" customHeight="false" outlineLevel="0" collapsed="false">
      <c r="AZ1028" s="5" t="str">
        <f aca="false">IF($B1028="","",SUMPRODUCT(($AL1028:$AO1028&lt;&gt;"")*(COUNTIF($AP1028:$AX1028,$AL1028:$AO1028)&gt;0)))</f>
        <v/>
      </c>
      <c r="BA1028" s="5" t="str">
        <f aca="false">IF($B1028="","",IF(AZ1028&gt;0,1,0))</f>
        <v/>
      </c>
      <c r="BB1028" s="5" t="str">
        <f aca="false">IF($AP1028="","",IF((($AP1028="Engineering and Technology")+($AP1028="Science and Mathematics")+($AP1028="Computer Science, IT and Allied Fields")+($AP1028="Life Sciences /Medicine and Healthcare")+($AP1028="Paramedical")+($AP1028="Architecture")+($AP1028="Environmental Service")+($AP1028="Agriculture, Food Industry and Forestry"))&gt;0,"Science",IF((($AP1028="Banking and Finance")+($AP1028="Management and Administration")+($AP1028="Marketing")+($AP1028="Sales")+($AP1028="Entrepreneurship")+($AP1028="Hospitality and Tourism"))&gt;0,"Commerce",IF((($AP1028="Social Sciences and Humanities")+($AP1028="Law Studies")+($AP1028="Education and Training")+($AP1028="Art, Design")+($AP1028="Entertainment and Mass Media")+($AP1028="Community and Social Service")+($AP1028="Personal Care and Services")+($AP1028="Government and Public Administration")+($AP1028="Defence/ Protective Service")+($AP1028="Sports"))&gt;0,"Arts / Humanities",""))))</f>
        <v/>
      </c>
      <c r="BC1028" s="5" t="str">
        <f aca="false">IF($AL1028="","",IF((($AL1028="Engineering and Technology")+($AL1028="Science and Mathematics")+($AL1028="Computer Science, IT and Allied Fields")+($AL1028="Life Sciences /Medicine and Healthcare")+($AL1028="Paramedical")+($AL1028="Architecture")+($AL1028="Environmental Service")+($AL1028="Agriculture, Food Industry and Forestry"))&gt;0,"Science",IF((($AL1028="Banking and Finance")+($AL1028="Management and Administration")+($AL1028="Marketing")+($AL1028="Sales")+($AL1028="Entrepreneurship")+($AL1028="Hospitality and Tourism"))&gt;0,"Commerce",IF((($AL1028="Social Sciences and Humanities")+($AL1028="Law Studies")+($AL1028="Education and Training")+($AL1028="Art, Design")+($AL1028="Entertainment and Mass Media")+($AL1028="Community and Social Service")+($AL1028="Personal Care and Services")+($AL1028="Government and Public Administration")+($AL1028="Defence/ Protective Service")+($AL1028="Sports"))&gt;0,"Arts / Humanities",""))))</f>
        <v/>
      </c>
      <c r="BD1028" s="5" t="str">
        <f aca="false">IF($B1028="","",--(F1028&gt;=10)+--(G1028&gt;=10)+--(H1028&gt;=10)+--(I1028&gt;=10)+--(J1028&gt;=10)+--(K1028&gt;=10)+--(L1028&gt;=10)+--(M1028&gt;=10)+--(N1028&gt;=10)+--(O1028&gt;=10))</f>
        <v/>
      </c>
      <c r="BE1028" s="5" t="str">
        <f aca="false">IF($B1028="","",--(AND(F1028&lt;&gt;"",F1028&lt;=8))+--(AND(G1028&lt;&gt;"",G1028&lt;=8))+--(AND(H1028&lt;&gt;"",H1028&lt;=8))+--(AND(I1028&lt;&gt;"",I1028&lt;=8))+--(AND(J1028&lt;&gt;"",J1028&lt;=8))+--(AND(K1028&lt;&gt;"",K1028&lt;=8))+--(AND(L1028&lt;&gt;"",L1028&lt;=8))+--(AND(M1028&lt;&gt;"",M1028&lt;=8))+--(AND(N1028&lt;&gt;"",N1028&lt;=8))+--(AND(O1028&lt;&gt;"",O1028&lt;=8)))</f>
        <v/>
      </c>
    </row>
    <row r="1029" customFormat="false" ht="15" hidden="false" customHeight="false" outlineLevel="0" collapsed="false">
      <c r="AZ1029" s="5" t="str">
        <f aca="false">IF($B1029="","",SUMPRODUCT(($AL1029:$AO1029&lt;&gt;"")*(COUNTIF($AP1029:$AX1029,$AL1029:$AO1029)&gt;0)))</f>
        <v/>
      </c>
      <c r="BA1029" s="5" t="str">
        <f aca="false">IF($B1029="","",IF(AZ1029&gt;0,1,0))</f>
        <v/>
      </c>
      <c r="BB1029" s="5" t="str">
        <f aca="false">IF($AP1029="","",IF((($AP1029="Engineering and Technology")+($AP1029="Science and Mathematics")+($AP1029="Computer Science, IT and Allied Fields")+($AP1029="Life Sciences /Medicine and Healthcare")+($AP1029="Paramedical")+($AP1029="Architecture")+($AP1029="Environmental Service")+($AP1029="Agriculture, Food Industry and Forestry"))&gt;0,"Science",IF((($AP1029="Banking and Finance")+($AP1029="Management and Administration")+($AP1029="Marketing")+($AP1029="Sales")+($AP1029="Entrepreneurship")+($AP1029="Hospitality and Tourism"))&gt;0,"Commerce",IF((($AP1029="Social Sciences and Humanities")+($AP1029="Law Studies")+($AP1029="Education and Training")+($AP1029="Art, Design")+($AP1029="Entertainment and Mass Media")+($AP1029="Community and Social Service")+($AP1029="Personal Care and Services")+($AP1029="Government and Public Administration")+($AP1029="Defence/ Protective Service")+($AP1029="Sports"))&gt;0,"Arts / Humanities",""))))</f>
        <v/>
      </c>
      <c r="BC1029" s="5" t="str">
        <f aca="false">IF($AL1029="","",IF((($AL1029="Engineering and Technology")+($AL1029="Science and Mathematics")+($AL1029="Computer Science, IT and Allied Fields")+($AL1029="Life Sciences /Medicine and Healthcare")+($AL1029="Paramedical")+($AL1029="Architecture")+($AL1029="Environmental Service")+($AL1029="Agriculture, Food Industry and Forestry"))&gt;0,"Science",IF((($AL1029="Banking and Finance")+($AL1029="Management and Administration")+($AL1029="Marketing")+($AL1029="Sales")+($AL1029="Entrepreneurship")+($AL1029="Hospitality and Tourism"))&gt;0,"Commerce",IF((($AL1029="Social Sciences and Humanities")+($AL1029="Law Studies")+($AL1029="Education and Training")+($AL1029="Art, Design")+($AL1029="Entertainment and Mass Media")+($AL1029="Community and Social Service")+($AL1029="Personal Care and Services")+($AL1029="Government and Public Administration")+($AL1029="Defence/ Protective Service")+($AL1029="Sports"))&gt;0,"Arts / Humanities",""))))</f>
        <v/>
      </c>
      <c r="BD1029" s="5" t="str">
        <f aca="false">IF($B1029="","",--(F1029&gt;=10)+--(G1029&gt;=10)+--(H1029&gt;=10)+--(I1029&gt;=10)+--(J1029&gt;=10)+--(K1029&gt;=10)+--(L1029&gt;=10)+--(M1029&gt;=10)+--(N1029&gt;=10)+--(O1029&gt;=10))</f>
        <v/>
      </c>
      <c r="BE1029" s="5" t="str">
        <f aca="false">IF($B1029="","",--(AND(F1029&lt;&gt;"",F1029&lt;=8))+--(AND(G1029&lt;&gt;"",G1029&lt;=8))+--(AND(H1029&lt;&gt;"",H1029&lt;=8))+--(AND(I1029&lt;&gt;"",I1029&lt;=8))+--(AND(J1029&lt;&gt;"",J1029&lt;=8))+--(AND(K1029&lt;&gt;"",K1029&lt;=8))+--(AND(L1029&lt;&gt;"",L1029&lt;=8))+--(AND(M1029&lt;&gt;"",M1029&lt;=8))+--(AND(N1029&lt;&gt;"",N1029&lt;=8))+--(AND(O1029&lt;&gt;"",O1029&lt;=8)))</f>
        <v/>
      </c>
    </row>
    <row r="1030" customFormat="false" ht="15" hidden="false" customHeight="false" outlineLevel="0" collapsed="false">
      <c r="AZ1030" s="5" t="str">
        <f aca="false">IF($B1030="","",SUMPRODUCT(($AL1030:$AO1030&lt;&gt;"")*(COUNTIF($AP1030:$AX1030,$AL1030:$AO1030)&gt;0)))</f>
        <v/>
      </c>
      <c r="BA1030" s="5" t="str">
        <f aca="false">IF($B1030="","",IF(AZ1030&gt;0,1,0))</f>
        <v/>
      </c>
      <c r="BB1030" s="5" t="str">
        <f aca="false">IF($AP1030="","",IF((($AP1030="Engineering and Technology")+($AP1030="Science and Mathematics")+($AP1030="Computer Science, IT and Allied Fields")+($AP1030="Life Sciences /Medicine and Healthcare")+($AP1030="Paramedical")+($AP1030="Architecture")+($AP1030="Environmental Service")+($AP1030="Agriculture, Food Industry and Forestry"))&gt;0,"Science",IF((($AP1030="Banking and Finance")+($AP1030="Management and Administration")+($AP1030="Marketing")+($AP1030="Sales")+($AP1030="Entrepreneurship")+($AP1030="Hospitality and Tourism"))&gt;0,"Commerce",IF((($AP1030="Social Sciences and Humanities")+($AP1030="Law Studies")+($AP1030="Education and Training")+($AP1030="Art, Design")+($AP1030="Entertainment and Mass Media")+($AP1030="Community and Social Service")+($AP1030="Personal Care and Services")+($AP1030="Government and Public Administration")+($AP1030="Defence/ Protective Service")+($AP1030="Sports"))&gt;0,"Arts / Humanities",""))))</f>
        <v/>
      </c>
      <c r="BC1030" s="5" t="str">
        <f aca="false">IF($AL1030="","",IF((($AL1030="Engineering and Technology")+($AL1030="Science and Mathematics")+($AL1030="Computer Science, IT and Allied Fields")+($AL1030="Life Sciences /Medicine and Healthcare")+($AL1030="Paramedical")+($AL1030="Architecture")+($AL1030="Environmental Service")+($AL1030="Agriculture, Food Industry and Forestry"))&gt;0,"Science",IF((($AL1030="Banking and Finance")+($AL1030="Management and Administration")+($AL1030="Marketing")+($AL1030="Sales")+($AL1030="Entrepreneurship")+($AL1030="Hospitality and Tourism"))&gt;0,"Commerce",IF((($AL1030="Social Sciences and Humanities")+($AL1030="Law Studies")+($AL1030="Education and Training")+($AL1030="Art, Design")+($AL1030="Entertainment and Mass Media")+($AL1030="Community and Social Service")+($AL1030="Personal Care and Services")+($AL1030="Government and Public Administration")+($AL1030="Defence/ Protective Service")+($AL1030="Sports"))&gt;0,"Arts / Humanities",""))))</f>
        <v/>
      </c>
      <c r="BD1030" s="5" t="str">
        <f aca="false">IF($B1030="","",--(F1030&gt;=10)+--(G1030&gt;=10)+--(H1030&gt;=10)+--(I1030&gt;=10)+--(J1030&gt;=10)+--(K1030&gt;=10)+--(L1030&gt;=10)+--(M1030&gt;=10)+--(N1030&gt;=10)+--(O1030&gt;=10))</f>
        <v/>
      </c>
      <c r="BE1030" s="5" t="str">
        <f aca="false">IF($B1030="","",--(AND(F1030&lt;&gt;"",F1030&lt;=8))+--(AND(G1030&lt;&gt;"",G1030&lt;=8))+--(AND(H1030&lt;&gt;"",H1030&lt;=8))+--(AND(I1030&lt;&gt;"",I1030&lt;=8))+--(AND(J1030&lt;&gt;"",J1030&lt;=8))+--(AND(K1030&lt;&gt;"",K1030&lt;=8))+--(AND(L1030&lt;&gt;"",L1030&lt;=8))+--(AND(M1030&lt;&gt;"",M1030&lt;=8))+--(AND(N1030&lt;&gt;"",N1030&lt;=8))+--(AND(O1030&lt;&gt;"",O1030&lt;=8)))</f>
        <v/>
      </c>
    </row>
    <row r="1031" customFormat="false" ht="15" hidden="false" customHeight="false" outlineLevel="0" collapsed="false">
      <c r="AZ1031" s="5" t="str">
        <f aca="false">IF($B1031="","",SUMPRODUCT(($AL1031:$AO1031&lt;&gt;"")*(COUNTIF($AP1031:$AX1031,$AL1031:$AO1031)&gt;0)))</f>
        <v/>
      </c>
      <c r="BA1031" s="5" t="str">
        <f aca="false">IF($B1031="","",IF(AZ1031&gt;0,1,0))</f>
        <v/>
      </c>
      <c r="BB1031" s="5" t="str">
        <f aca="false">IF($AP1031="","",IF((($AP1031="Engineering and Technology")+($AP1031="Science and Mathematics")+($AP1031="Computer Science, IT and Allied Fields")+($AP1031="Life Sciences /Medicine and Healthcare")+($AP1031="Paramedical")+($AP1031="Architecture")+($AP1031="Environmental Service")+($AP1031="Agriculture, Food Industry and Forestry"))&gt;0,"Science",IF((($AP1031="Banking and Finance")+($AP1031="Management and Administration")+($AP1031="Marketing")+($AP1031="Sales")+($AP1031="Entrepreneurship")+($AP1031="Hospitality and Tourism"))&gt;0,"Commerce",IF((($AP1031="Social Sciences and Humanities")+($AP1031="Law Studies")+($AP1031="Education and Training")+($AP1031="Art, Design")+($AP1031="Entertainment and Mass Media")+($AP1031="Community and Social Service")+($AP1031="Personal Care and Services")+($AP1031="Government and Public Administration")+($AP1031="Defence/ Protective Service")+($AP1031="Sports"))&gt;0,"Arts / Humanities",""))))</f>
        <v/>
      </c>
      <c r="BC1031" s="5" t="str">
        <f aca="false">IF($AL1031="","",IF((($AL1031="Engineering and Technology")+($AL1031="Science and Mathematics")+($AL1031="Computer Science, IT and Allied Fields")+($AL1031="Life Sciences /Medicine and Healthcare")+($AL1031="Paramedical")+($AL1031="Architecture")+($AL1031="Environmental Service")+($AL1031="Agriculture, Food Industry and Forestry"))&gt;0,"Science",IF((($AL1031="Banking and Finance")+($AL1031="Management and Administration")+($AL1031="Marketing")+($AL1031="Sales")+($AL1031="Entrepreneurship")+($AL1031="Hospitality and Tourism"))&gt;0,"Commerce",IF((($AL1031="Social Sciences and Humanities")+($AL1031="Law Studies")+($AL1031="Education and Training")+($AL1031="Art, Design")+($AL1031="Entertainment and Mass Media")+($AL1031="Community and Social Service")+($AL1031="Personal Care and Services")+($AL1031="Government and Public Administration")+($AL1031="Defence/ Protective Service")+($AL1031="Sports"))&gt;0,"Arts / Humanities",""))))</f>
        <v/>
      </c>
      <c r="BD1031" s="5" t="str">
        <f aca="false">IF($B1031="","",--(F1031&gt;=10)+--(G1031&gt;=10)+--(H1031&gt;=10)+--(I1031&gt;=10)+--(J1031&gt;=10)+--(K1031&gt;=10)+--(L1031&gt;=10)+--(M1031&gt;=10)+--(N1031&gt;=10)+--(O1031&gt;=10))</f>
        <v/>
      </c>
      <c r="BE1031" s="5" t="str">
        <f aca="false">IF($B1031="","",--(AND(F1031&lt;&gt;"",F1031&lt;=8))+--(AND(G1031&lt;&gt;"",G1031&lt;=8))+--(AND(H1031&lt;&gt;"",H1031&lt;=8))+--(AND(I1031&lt;&gt;"",I1031&lt;=8))+--(AND(J1031&lt;&gt;"",J1031&lt;=8))+--(AND(K1031&lt;&gt;"",K1031&lt;=8))+--(AND(L1031&lt;&gt;"",L1031&lt;=8))+--(AND(M1031&lt;&gt;"",M1031&lt;=8))+--(AND(N1031&lt;&gt;"",N1031&lt;=8))+--(AND(O1031&lt;&gt;"",O1031&lt;=8)))</f>
        <v/>
      </c>
    </row>
    <row r="1032" customFormat="false" ht="15" hidden="false" customHeight="false" outlineLevel="0" collapsed="false">
      <c r="AZ1032" s="5" t="str">
        <f aca="false">IF($B1032="","",SUMPRODUCT(($AL1032:$AO1032&lt;&gt;"")*(COUNTIF($AP1032:$AX1032,$AL1032:$AO1032)&gt;0)))</f>
        <v/>
      </c>
      <c r="BA1032" s="5" t="str">
        <f aca="false">IF($B1032="","",IF(AZ1032&gt;0,1,0))</f>
        <v/>
      </c>
      <c r="BB1032" s="5" t="str">
        <f aca="false">IF($AP1032="","",IF((($AP1032="Engineering and Technology")+($AP1032="Science and Mathematics")+($AP1032="Computer Science, IT and Allied Fields")+($AP1032="Life Sciences /Medicine and Healthcare")+($AP1032="Paramedical")+($AP1032="Architecture")+($AP1032="Environmental Service")+($AP1032="Agriculture, Food Industry and Forestry"))&gt;0,"Science",IF((($AP1032="Banking and Finance")+($AP1032="Management and Administration")+($AP1032="Marketing")+($AP1032="Sales")+($AP1032="Entrepreneurship")+($AP1032="Hospitality and Tourism"))&gt;0,"Commerce",IF((($AP1032="Social Sciences and Humanities")+($AP1032="Law Studies")+($AP1032="Education and Training")+($AP1032="Art, Design")+($AP1032="Entertainment and Mass Media")+($AP1032="Community and Social Service")+($AP1032="Personal Care and Services")+($AP1032="Government and Public Administration")+($AP1032="Defence/ Protective Service")+($AP1032="Sports"))&gt;0,"Arts / Humanities",""))))</f>
        <v/>
      </c>
      <c r="BC1032" s="5" t="str">
        <f aca="false">IF($AL1032="","",IF((($AL1032="Engineering and Technology")+($AL1032="Science and Mathematics")+($AL1032="Computer Science, IT and Allied Fields")+($AL1032="Life Sciences /Medicine and Healthcare")+($AL1032="Paramedical")+($AL1032="Architecture")+($AL1032="Environmental Service")+($AL1032="Agriculture, Food Industry and Forestry"))&gt;0,"Science",IF((($AL1032="Banking and Finance")+($AL1032="Management and Administration")+($AL1032="Marketing")+($AL1032="Sales")+($AL1032="Entrepreneurship")+($AL1032="Hospitality and Tourism"))&gt;0,"Commerce",IF((($AL1032="Social Sciences and Humanities")+($AL1032="Law Studies")+($AL1032="Education and Training")+($AL1032="Art, Design")+($AL1032="Entertainment and Mass Media")+($AL1032="Community and Social Service")+($AL1032="Personal Care and Services")+($AL1032="Government and Public Administration")+($AL1032="Defence/ Protective Service")+($AL1032="Sports"))&gt;0,"Arts / Humanities",""))))</f>
        <v/>
      </c>
      <c r="BD1032" s="5" t="str">
        <f aca="false">IF($B1032="","",--(F1032&gt;=10)+--(G1032&gt;=10)+--(H1032&gt;=10)+--(I1032&gt;=10)+--(J1032&gt;=10)+--(K1032&gt;=10)+--(L1032&gt;=10)+--(M1032&gt;=10)+--(N1032&gt;=10)+--(O1032&gt;=10))</f>
        <v/>
      </c>
      <c r="BE1032" s="5" t="str">
        <f aca="false">IF($B1032="","",--(AND(F1032&lt;&gt;"",F1032&lt;=8))+--(AND(G1032&lt;&gt;"",G1032&lt;=8))+--(AND(H1032&lt;&gt;"",H1032&lt;=8))+--(AND(I1032&lt;&gt;"",I1032&lt;=8))+--(AND(J1032&lt;&gt;"",J1032&lt;=8))+--(AND(K1032&lt;&gt;"",K1032&lt;=8))+--(AND(L1032&lt;&gt;"",L1032&lt;=8))+--(AND(M1032&lt;&gt;"",M1032&lt;=8))+--(AND(N1032&lt;&gt;"",N1032&lt;=8))+--(AND(O1032&lt;&gt;"",O1032&lt;=8)))</f>
        <v/>
      </c>
    </row>
    <row r="1033" customFormat="false" ht="15" hidden="false" customHeight="false" outlineLevel="0" collapsed="false">
      <c r="AZ1033" s="5" t="str">
        <f aca="false">IF($B1033="","",SUMPRODUCT(($AL1033:$AO1033&lt;&gt;"")*(COUNTIF($AP1033:$AX1033,$AL1033:$AO1033)&gt;0)))</f>
        <v/>
      </c>
      <c r="BA1033" s="5" t="str">
        <f aca="false">IF($B1033="","",IF(AZ1033&gt;0,1,0))</f>
        <v/>
      </c>
      <c r="BB1033" s="5" t="str">
        <f aca="false">IF($AP1033="","",IF((($AP1033="Engineering and Technology")+($AP1033="Science and Mathematics")+($AP1033="Computer Science, IT and Allied Fields")+($AP1033="Life Sciences /Medicine and Healthcare")+($AP1033="Paramedical")+($AP1033="Architecture")+($AP1033="Environmental Service")+($AP1033="Agriculture, Food Industry and Forestry"))&gt;0,"Science",IF((($AP1033="Banking and Finance")+($AP1033="Management and Administration")+($AP1033="Marketing")+($AP1033="Sales")+($AP1033="Entrepreneurship")+($AP1033="Hospitality and Tourism"))&gt;0,"Commerce",IF((($AP1033="Social Sciences and Humanities")+($AP1033="Law Studies")+($AP1033="Education and Training")+($AP1033="Art, Design")+($AP1033="Entertainment and Mass Media")+($AP1033="Community and Social Service")+($AP1033="Personal Care and Services")+($AP1033="Government and Public Administration")+($AP1033="Defence/ Protective Service")+($AP1033="Sports"))&gt;0,"Arts / Humanities",""))))</f>
        <v/>
      </c>
      <c r="BC1033" s="5" t="str">
        <f aca="false">IF($AL1033="","",IF((($AL1033="Engineering and Technology")+($AL1033="Science and Mathematics")+($AL1033="Computer Science, IT and Allied Fields")+($AL1033="Life Sciences /Medicine and Healthcare")+($AL1033="Paramedical")+($AL1033="Architecture")+($AL1033="Environmental Service")+($AL1033="Agriculture, Food Industry and Forestry"))&gt;0,"Science",IF((($AL1033="Banking and Finance")+($AL1033="Management and Administration")+($AL1033="Marketing")+($AL1033="Sales")+($AL1033="Entrepreneurship")+($AL1033="Hospitality and Tourism"))&gt;0,"Commerce",IF((($AL1033="Social Sciences and Humanities")+($AL1033="Law Studies")+($AL1033="Education and Training")+($AL1033="Art, Design")+($AL1033="Entertainment and Mass Media")+($AL1033="Community and Social Service")+($AL1033="Personal Care and Services")+($AL1033="Government and Public Administration")+($AL1033="Defence/ Protective Service")+($AL1033="Sports"))&gt;0,"Arts / Humanities",""))))</f>
        <v/>
      </c>
      <c r="BD1033" s="5" t="str">
        <f aca="false">IF($B1033="","",--(F1033&gt;=10)+--(G1033&gt;=10)+--(H1033&gt;=10)+--(I1033&gt;=10)+--(J1033&gt;=10)+--(K1033&gt;=10)+--(L1033&gt;=10)+--(M1033&gt;=10)+--(N1033&gt;=10)+--(O1033&gt;=10))</f>
        <v/>
      </c>
      <c r="BE1033" s="5" t="str">
        <f aca="false">IF($B1033="","",--(AND(F1033&lt;&gt;"",F1033&lt;=8))+--(AND(G1033&lt;&gt;"",G1033&lt;=8))+--(AND(H1033&lt;&gt;"",H1033&lt;=8))+--(AND(I1033&lt;&gt;"",I1033&lt;=8))+--(AND(J1033&lt;&gt;"",J1033&lt;=8))+--(AND(K1033&lt;&gt;"",K1033&lt;=8))+--(AND(L1033&lt;&gt;"",L1033&lt;=8))+--(AND(M1033&lt;&gt;"",M1033&lt;=8))+--(AND(N1033&lt;&gt;"",N1033&lt;=8))+--(AND(O1033&lt;&gt;"",O1033&lt;=8)))</f>
        <v/>
      </c>
    </row>
    <row r="1034" customFormat="false" ht="15" hidden="false" customHeight="false" outlineLevel="0" collapsed="false">
      <c r="AZ1034" s="5" t="str">
        <f aca="false">IF($B1034="","",SUMPRODUCT(($AL1034:$AO1034&lt;&gt;"")*(COUNTIF($AP1034:$AX1034,$AL1034:$AO1034)&gt;0)))</f>
        <v/>
      </c>
      <c r="BA1034" s="5" t="str">
        <f aca="false">IF($B1034="","",IF(AZ1034&gt;0,1,0))</f>
        <v/>
      </c>
      <c r="BB1034" s="5" t="str">
        <f aca="false">IF($AP1034="","",IF((($AP1034="Engineering and Technology")+($AP1034="Science and Mathematics")+($AP1034="Computer Science, IT and Allied Fields")+($AP1034="Life Sciences /Medicine and Healthcare")+($AP1034="Paramedical")+($AP1034="Architecture")+($AP1034="Environmental Service")+($AP1034="Agriculture, Food Industry and Forestry"))&gt;0,"Science",IF((($AP1034="Banking and Finance")+($AP1034="Management and Administration")+($AP1034="Marketing")+($AP1034="Sales")+($AP1034="Entrepreneurship")+($AP1034="Hospitality and Tourism"))&gt;0,"Commerce",IF((($AP1034="Social Sciences and Humanities")+($AP1034="Law Studies")+($AP1034="Education and Training")+($AP1034="Art, Design")+($AP1034="Entertainment and Mass Media")+($AP1034="Community and Social Service")+($AP1034="Personal Care and Services")+($AP1034="Government and Public Administration")+($AP1034="Defence/ Protective Service")+($AP1034="Sports"))&gt;0,"Arts / Humanities",""))))</f>
        <v/>
      </c>
      <c r="BC1034" s="5" t="str">
        <f aca="false">IF($AL1034="","",IF((($AL1034="Engineering and Technology")+($AL1034="Science and Mathematics")+($AL1034="Computer Science, IT and Allied Fields")+($AL1034="Life Sciences /Medicine and Healthcare")+($AL1034="Paramedical")+($AL1034="Architecture")+($AL1034="Environmental Service")+($AL1034="Agriculture, Food Industry and Forestry"))&gt;0,"Science",IF((($AL1034="Banking and Finance")+($AL1034="Management and Administration")+($AL1034="Marketing")+($AL1034="Sales")+($AL1034="Entrepreneurship")+($AL1034="Hospitality and Tourism"))&gt;0,"Commerce",IF((($AL1034="Social Sciences and Humanities")+($AL1034="Law Studies")+($AL1034="Education and Training")+($AL1034="Art, Design")+($AL1034="Entertainment and Mass Media")+($AL1034="Community and Social Service")+($AL1034="Personal Care and Services")+($AL1034="Government and Public Administration")+($AL1034="Defence/ Protective Service")+($AL1034="Sports"))&gt;0,"Arts / Humanities",""))))</f>
        <v/>
      </c>
      <c r="BD1034" s="5" t="str">
        <f aca="false">IF($B1034="","",--(F1034&gt;=10)+--(G1034&gt;=10)+--(H1034&gt;=10)+--(I1034&gt;=10)+--(J1034&gt;=10)+--(K1034&gt;=10)+--(L1034&gt;=10)+--(M1034&gt;=10)+--(N1034&gt;=10)+--(O1034&gt;=10))</f>
        <v/>
      </c>
      <c r="BE1034" s="5" t="str">
        <f aca="false">IF($B1034="","",--(AND(F1034&lt;&gt;"",F1034&lt;=8))+--(AND(G1034&lt;&gt;"",G1034&lt;=8))+--(AND(H1034&lt;&gt;"",H1034&lt;=8))+--(AND(I1034&lt;&gt;"",I1034&lt;=8))+--(AND(J1034&lt;&gt;"",J1034&lt;=8))+--(AND(K1034&lt;&gt;"",K1034&lt;=8))+--(AND(L1034&lt;&gt;"",L1034&lt;=8))+--(AND(M1034&lt;&gt;"",M1034&lt;=8))+--(AND(N1034&lt;&gt;"",N1034&lt;=8))+--(AND(O1034&lt;&gt;"",O1034&lt;=8)))</f>
        <v/>
      </c>
    </row>
    <row r="1035" customFormat="false" ht="15" hidden="false" customHeight="false" outlineLevel="0" collapsed="false">
      <c r="AZ1035" s="5" t="str">
        <f aca="false">IF($B1035="","",SUMPRODUCT(($AL1035:$AO1035&lt;&gt;"")*(COUNTIF($AP1035:$AX1035,$AL1035:$AO1035)&gt;0)))</f>
        <v/>
      </c>
      <c r="BA1035" s="5" t="str">
        <f aca="false">IF($B1035="","",IF(AZ1035&gt;0,1,0))</f>
        <v/>
      </c>
      <c r="BB1035" s="5" t="str">
        <f aca="false">IF($AP1035="","",IF((($AP1035="Engineering and Technology")+($AP1035="Science and Mathematics")+($AP1035="Computer Science, IT and Allied Fields")+($AP1035="Life Sciences /Medicine and Healthcare")+($AP1035="Paramedical")+($AP1035="Architecture")+($AP1035="Environmental Service")+($AP1035="Agriculture, Food Industry and Forestry"))&gt;0,"Science",IF((($AP1035="Banking and Finance")+($AP1035="Management and Administration")+($AP1035="Marketing")+($AP1035="Sales")+($AP1035="Entrepreneurship")+($AP1035="Hospitality and Tourism"))&gt;0,"Commerce",IF((($AP1035="Social Sciences and Humanities")+($AP1035="Law Studies")+($AP1035="Education and Training")+($AP1035="Art, Design")+($AP1035="Entertainment and Mass Media")+($AP1035="Community and Social Service")+($AP1035="Personal Care and Services")+($AP1035="Government and Public Administration")+($AP1035="Defence/ Protective Service")+($AP1035="Sports"))&gt;0,"Arts / Humanities",""))))</f>
        <v/>
      </c>
      <c r="BC1035" s="5" t="str">
        <f aca="false">IF($AL1035="","",IF((($AL1035="Engineering and Technology")+($AL1035="Science and Mathematics")+($AL1035="Computer Science, IT and Allied Fields")+($AL1035="Life Sciences /Medicine and Healthcare")+($AL1035="Paramedical")+($AL1035="Architecture")+($AL1035="Environmental Service")+($AL1035="Agriculture, Food Industry and Forestry"))&gt;0,"Science",IF((($AL1035="Banking and Finance")+($AL1035="Management and Administration")+($AL1035="Marketing")+($AL1035="Sales")+($AL1035="Entrepreneurship")+($AL1035="Hospitality and Tourism"))&gt;0,"Commerce",IF((($AL1035="Social Sciences and Humanities")+($AL1035="Law Studies")+($AL1035="Education and Training")+($AL1035="Art, Design")+($AL1035="Entertainment and Mass Media")+($AL1035="Community and Social Service")+($AL1035="Personal Care and Services")+($AL1035="Government and Public Administration")+($AL1035="Defence/ Protective Service")+($AL1035="Sports"))&gt;0,"Arts / Humanities",""))))</f>
        <v/>
      </c>
      <c r="BD1035" s="5" t="str">
        <f aca="false">IF($B1035="","",--(F1035&gt;=10)+--(G1035&gt;=10)+--(H1035&gt;=10)+--(I1035&gt;=10)+--(J1035&gt;=10)+--(K1035&gt;=10)+--(L1035&gt;=10)+--(M1035&gt;=10)+--(N1035&gt;=10)+--(O1035&gt;=10))</f>
        <v/>
      </c>
      <c r="BE1035" s="5" t="str">
        <f aca="false">IF($B1035="","",--(AND(F1035&lt;&gt;"",F1035&lt;=8))+--(AND(G1035&lt;&gt;"",G1035&lt;=8))+--(AND(H1035&lt;&gt;"",H1035&lt;=8))+--(AND(I1035&lt;&gt;"",I1035&lt;=8))+--(AND(J1035&lt;&gt;"",J1035&lt;=8))+--(AND(K1035&lt;&gt;"",K1035&lt;=8))+--(AND(L1035&lt;&gt;"",L1035&lt;=8))+--(AND(M1035&lt;&gt;"",M1035&lt;=8))+--(AND(N1035&lt;&gt;"",N1035&lt;=8))+--(AND(O1035&lt;&gt;"",O1035&lt;=8)))</f>
        <v/>
      </c>
    </row>
    <row r="1036" customFormat="false" ht="15" hidden="false" customHeight="false" outlineLevel="0" collapsed="false">
      <c r="AZ1036" s="5" t="str">
        <f aca="false">IF($B1036="","",SUMPRODUCT(($AL1036:$AO1036&lt;&gt;"")*(COUNTIF($AP1036:$AX1036,$AL1036:$AO1036)&gt;0)))</f>
        <v/>
      </c>
      <c r="BA1036" s="5" t="str">
        <f aca="false">IF($B1036="","",IF(AZ1036&gt;0,1,0))</f>
        <v/>
      </c>
      <c r="BB1036" s="5" t="str">
        <f aca="false">IF($AP1036="","",IF((($AP1036="Engineering and Technology")+($AP1036="Science and Mathematics")+($AP1036="Computer Science, IT and Allied Fields")+($AP1036="Life Sciences /Medicine and Healthcare")+($AP1036="Paramedical")+($AP1036="Architecture")+($AP1036="Environmental Service")+($AP1036="Agriculture, Food Industry and Forestry"))&gt;0,"Science",IF((($AP1036="Banking and Finance")+($AP1036="Management and Administration")+($AP1036="Marketing")+($AP1036="Sales")+($AP1036="Entrepreneurship")+($AP1036="Hospitality and Tourism"))&gt;0,"Commerce",IF((($AP1036="Social Sciences and Humanities")+($AP1036="Law Studies")+($AP1036="Education and Training")+($AP1036="Art, Design")+($AP1036="Entertainment and Mass Media")+($AP1036="Community and Social Service")+($AP1036="Personal Care and Services")+($AP1036="Government and Public Administration")+($AP1036="Defence/ Protective Service")+($AP1036="Sports"))&gt;0,"Arts / Humanities",""))))</f>
        <v/>
      </c>
      <c r="BC1036" s="5" t="str">
        <f aca="false">IF($AL1036="","",IF((($AL1036="Engineering and Technology")+($AL1036="Science and Mathematics")+($AL1036="Computer Science, IT and Allied Fields")+($AL1036="Life Sciences /Medicine and Healthcare")+($AL1036="Paramedical")+($AL1036="Architecture")+($AL1036="Environmental Service")+($AL1036="Agriculture, Food Industry and Forestry"))&gt;0,"Science",IF((($AL1036="Banking and Finance")+($AL1036="Management and Administration")+($AL1036="Marketing")+($AL1036="Sales")+($AL1036="Entrepreneurship")+($AL1036="Hospitality and Tourism"))&gt;0,"Commerce",IF((($AL1036="Social Sciences and Humanities")+($AL1036="Law Studies")+($AL1036="Education and Training")+($AL1036="Art, Design")+($AL1036="Entertainment and Mass Media")+($AL1036="Community and Social Service")+($AL1036="Personal Care and Services")+($AL1036="Government and Public Administration")+($AL1036="Defence/ Protective Service")+($AL1036="Sports"))&gt;0,"Arts / Humanities",""))))</f>
        <v/>
      </c>
      <c r="BD1036" s="5" t="str">
        <f aca="false">IF($B1036="","",--(F1036&gt;=10)+--(G1036&gt;=10)+--(H1036&gt;=10)+--(I1036&gt;=10)+--(J1036&gt;=10)+--(K1036&gt;=10)+--(L1036&gt;=10)+--(M1036&gt;=10)+--(N1036&gt;=10)+--(O1036&gt;=10))</f>
        <v/>
      </c>
      <c r="BE1036" s="5" t="str">
        <f aca="false">IF($B1036="","",--(AND(F1036&lt;&gt;"",F1036&lt;=8))+--(AND(G1036&lt;&gt;"",G1036&lt;=8))+--(AND(H1036&lt;&gt;"",H1036&lt;=8))+--(AND(I1036&lt;&gt;"",I1036&lt;=8))+--(AND(J1036&lt;&gt;"",J1036&lt;=8))+--(AND(K1036&lt;&gt;"",K1036&lt;=8))+--(AND(L1036&lt;&gt;"",L1036&lt;=8))+--(AND(M1036&lt;&gt;"",M1036&lt;=8))+--(AND(N1036&lt;&gt;"",N1036&lt;=8))+--(AND(O1036&lt;&gt;"",O1036&lt;=8)))</f>
        <v/>
      </c>
    </row>
    <row r="1037" customFormat="false" ht="15" hidden="false" customHeight="false" outlineLevel="0" collapsed="false">
      <c r="AZ1037" s="5" t="str">
        <f aca="false">IF($B1037="","",SUMPRODUCT(($AL1037:$AO1037&lt;&gt;"")*(COUNTIF($AP1037:$AX1037,$AL1037:$AO1037)&gt;0)))</f>
        <v/>
      </c>
      <c r="BA1037" s="5" t="str">
        <f aca="false">IF($B1037="","",IF(AZ1037&gt;0,1,0))</f>
        <v/>
      </c>
      <c r="BB1037" s="5" t="str">
        <f aca="false">IF($AP1037="","",IF((($AP1037="Engineering and Technology")+($AP1037="Science and Mathematics")+($AP1037="Computer Science, IT and Allied Fields")+($AP1037="Life Sciences /Medicine and Healthcare")+($AP1037="Paramedical")+($AP1037="Architecture")+($AP1037="Environmental Service")+($AP1037="Agriculture, Food Industry and Forestry"))&gt;0,"Science",IF((($AP1037="Banking and Finance")+($AP1037="Management and Administration")+($AP1037="Marketing")+($AP1037="Sales")+($AP1037="Entrepreneurship")+($AP1037="Hospitality and Tourism"))&gt;0,"Commerce",IF((($AP1037="Social Sciences and Humanities")+($AP1037="Law Studies")+($AP1037="Education and Training")+($AP1037="Art, Design")+($AP1037="Entertainment and Mass Media")+($AP1037="Community and Social Service")+($AP1037="Personal Care and Services")+($AP1037="Government and Public Administration")+($AP1037="Defence/ Protective Service")+($AP1037="Sports"))&gt;0,"Arts / Humanities",""))))</f>
        <v/>
      </c>
      <c r="BC1037" s="5" t="str">
        <f aca="false">IF($AL1037="","",IF((($AL1037="Engineering and Technology")+($AL1037="Science and Mathematics")+($AL1037="Computer Science, IT and Allied Fields")+($AL1037="Life Sciences /Medicine and Healthcare")+($AL1037="Paramedical")+($AL1037="Architecture")+($AL1037="Environmental Service")+($AL1037="Agriculture, Food Industry and Forestry"))&gt;0,"Science",IF((($AL1037="Banking and Finance")+($AL1037="Management and Administration")+($AL1037="Marketing")+($AL1037="Sales")+($AL1037="Entrepreneurship")+($AL1037="Hospitality and Tourism"))&gt;0,"Commerce",IF((($AL1037="Social Sciences and Humanities")+($AL1037="Law Studies")+($AL1037="Education and Training")+($AL1037="Art, Design")+($AL1037="Entertainment and Mass Media")+($AL1037="Community and Social Service")+($AL1037="Personal Care and Services")+($AL1037="Government and Public Administration")+($AL1037="Defence/ Protective Service")+($AL1037="Sports"))&gt;0,"Arts / Humanities",""))))</f>
        <v/>
      </c>
      <c r="BD1037" s="5" t="str">
        <f aca="false">IF($B1037="","",--(F1037&gt;=10)+--(G1037&gt;=10)+--(H1037&gt;=10)+--(I1037&gt;=10)+--(J1037&gt;=10)+--(K1037&gt;=10)+--(L1037&gt;=10)+--(M1037&gt;=10)+--(N1037&gt;=10)+--(O1037&gt;=10))</f>
        <v/>
      </c>
      <c r="BE1037" s="5" t="str">
        <f aca="false">IF($B1037="","",--(AND(F1037&lt;&gt;"",F1037&lt;=8))+--(AND(G1037&lt;&gt;"",G1037&lt;=8))+--(AND(H1037&lt;&gt;"",H1037&lt;=8))+--(AND(I1037&lt;&gt;"",I1037&lt;=8))+--(AND(J1037&lt;&gt;"",J1037&lt;=8))+--(AND(K1037&lt;&gt;"",K1037&lt;=8))+--(AND(L1037&lt;&gt;"",L1037&lt;=8))+--(AND(M1037&lt;&gt;"",M1037&lt;=8))+--(AND(N1037&lt;&gt;"",N1037&lt;=8))+--(AND(O1037&lt;&gt;"",O1037&lt;=8)))</f>
        <v/>
      </c>
    </row>
    <row r="1038" customFormat="false" ht="15" hidden="false" customHeight="false" outlineLevel="0" collapsed="false">
      <c r="AZ1038" s="5" t="str">
        <f aca="false">IF($B1038="","",SUMPRODUCT(($AL1038:$AO1038&lt;&gt;"")*(COUNTIF($AP1038:$AX1038,$AL1038:$AO1038)&gt;0)))</f>
        <v/>
      </c>
      <c r="BA1038" s="5" t="str">
        <f aca="false">IF($B1038="","",IF(AZ1038&gt;0,1,0))</f>
        <v/>
      </c>
      <c r="BB1038" s="5" t="str">
        <f aca="false">IF($AP1038="","",IF((($AP1038="Engineering and Technology")+($AP1038="Science and Mathematics")+($AP1038="Computer Science, IT and Allied Fields")+($AP1038="Life Sciences /Medicine and Healthcare")+($AP1038="Paramedical")+($AP1038="Architecture")+($AP1038="Environmental Service")+($AP1038="Agriculture, Food Industry and Forestry"))&gt;0,"Science",IF((($AP1038="Banking and Finance")+($AP1038="Management and Administration")+($AP1038="Marketing")+($AP1038="Sales")+($AP1038="Entrepreneurship")+($AP1038="Hospitality and Tourism"))&gt;0,"Commerce",IF((($AP1038="Social Sciences and Humanities")+($AP1038="Law Studies")+($AP1038="Education and Training")+($AP1038="Art, Design")+($AP1038="Entertainment and Mass Media")+($AP1038="Community and Social Service")+($AP1038="Personal Care and Services")+($AP1038="Government and Public Administration")+($AP1038="Defence/ Protective Service")+($AP1038="Sports"))&gt;0,"Arts / Humanities",""))))</f>
        <v/>
      </c>
      <c r="BC1038" s="5" t="str">
        <f aca="false">IF($AL1038="","",IF((($AL1038="Engineering and Technology")+($AL1038="Science and Mathematics")+($AL1038="Computer Science, IT and Allied Fields")+($AL1038="Life Sciences /Medicine and Healthcare")+($AL1038="Paramedical")+($AL1038="Architecture")+($AL1038="Environmental Service")+($AL1038="Agriculture, Food Industry and Forestry"))&gt;0,"Science",IF((($AL1038="Banking and Finance")+($AL1038="Management and Administration")+($AL1038="Marketing")+($AL1038="Sales")+($AL1038="Entrepreneurship")+($AL1038="Hospitality and Tourism"))&gt;0,"Commerce",IF((($AL1038="Social Sciences and Humanities")+($AL1038="Law Studies")+($AL1038="Education and Training")+($AL1038="Art, Design")+($AL1038="Entertainment and Mass Media")+($AL1038="Community and Social Service")+($AL1038="Personal Care and Services")+($AL1038="Government and Public Administration")+($AL1038="Defence/ Protective Service")+($AL1038="Sports"))&gt;0,"Arts / Humanities",""))))</f>
        <v/>
      </c>
      <c r="BD1038" s="5" t="str">
        <f aca="false">IF($B1038="","",--(F1038&gt;=10)+--(G1038&gt;=10)+--(H1038&gt;=10)+--(I1038&gt;=10)+--(J1038&gt;=10)+--(K1038&gt;=10)+--(L1038&gt;=10)+--(M1038&gt;=10)+--(N1038&gt;=10)+--(O1038&gt;=10))</f>
        <v/>
      </c>
      <c r="BE1038" s="5" t="str">
        <f aca="false">IF($B1038="","",--(AND(F1038&lt;&gt;"",F1038&lt;=8))+--(AND(G1038&lt;&gt;"",G1038&lt;=8))+--(AND(H1038&lt;&gt;"",H1038&lt;=8))+--(AND(I1038&lt;&gt;"",I1038&lt;=8))+--(AND(J1038&lt;&gt;"",J1038&lt;=8))+--(AND(K1038&lt;&gt;"",K1038&lt;=8))+--(AND(L1038&lt;&gt;"",L1038&lt;=8))+--(AND(M1038&lt;&gt;"",M1038&lt;=8))+--(AND(N1038&lt;&gt;"",N1038&lt;=8))+--(AND(O1038&lt;&gt;"",O1038&lt;=8)))</f>
        <v/>
      </c>
    </row>
    <row r="1039" customFormat="false" ht="15" hidden="false" customHeight="false" outlineLevel="0" collapsed="false">
      <c r="AZ1039" s="5" t="str">
        <f aca="false">IF($B1039="","",SUMPRODUCT(($AL1039:$AO1039&lt;&gt;"")*(COUNTIF($AP1039:$AX1039,$AL1039:$AO1039)&gt;0)))</f>
        <v/>
      </c>
      <c r="BA1039" s="5" t="str">
        <f aca="false">IF($B1039="","",IF(AZ1039&gt;0,1,0))</f>
        <v/>
      </c>
      <c r="BB1039" s="5" t="str">
        <f aca="false">IF($AP1039="","",IF((($AP1039="Engineering and Technology")+($AP1039="Science and Mathematics")+($AP1039="Computer Science, IT and Allied Fields")+($AP1039="Life Sciences /Medicine and Healthcare")+($AP1039="Paramedical")+($AP1039="Architecture")+($AP1039="Environmental Service")+($AP1039="Agriculture, Food Industry and Forestry"))&gt;0,"Science",IF((($AP1039="Banking and Finance")+($AP1039="Management and Administration")+($AP1039="Marketing")+($AP1039="Sales")+($AP1039="Entrepreneurship")+($AP1039="Hospitality and Tourism"))&gt;0,"Commerce",IF((($AP1039="Social Sciences and Humanities")+($AP1039="Law Studies")+($AP1039="Education and Training")+($AP1039="Art, Design")+($AP1039="Entertainment and Mass Media")+($AP1039="Community and Social Service")+($AP1039="Personal Care and Services")+($AP1039="Government and Public Administration")+($AP1039="Defence/ Protective Service")+($AP1039="Sports"))&gt;0,"Arts / Humanities",""))))</f>
        <v/>
      </c>
      <c r="BC1039" s="5" t="str">
        <f aca="false">IF($AL1039="","",IF((($AL1039="Engineering and Technology")+($AL1039="Science and Mathematics")+($AL1039="Computer Science, IT and Allied Fields")+($AL1039="Life Sciences /Medicine and Healthcare")+($AL1039="Paramedical")+($AL1039="Architecture")+($AL1039="Environmental Service")+($AL1039="Agriculture, Food Industry and Forestry"))&gt;0,"Science",IF((($AL1039="Banking and Finance")+($AL1039="Management and Administration")+($AL1039="Marketing")+($AL1039="Sales")+($AL1039="Entrepreneurship")+($AL1039="Hospitality and Tourism"))&gt;0,"Commerce",IF((($AL1039="Social Sciences and Humanities")+($AL1039="Law Studies")+($AL1039="Education and Training")+($AL1039="Art, Design")+($AL1039="Entertainment and Mass Media")+($AL1039="Community and Social Service")+($AL1039="Personal Care and Services")+($AL1039="Government and Public Administration")+($AL1039="Defence/ Protective Service")+($AL1039="Sports"))&gt;0,"Arts / Humanities",""))))</f>
        <v/>
      </c>
      <c r="BD1039" s="5" t="str">
        <f aca="false">IF($B1039="","",--(F1039&gt;=10)+--(G1039&gt;=10)+--(H1039&gt;=10)+--(I1039&gt;=10)+--(J1039&gt;=10)+--(K1039&gt;=10)+--(L1039&gt;=10)+--(M1039&gt;=10)+--(N1039&gt;=10)+--(O1039&gt;=10))</f>
        <v/>
      </c>
      <c r="BE1039" s="5" t="str">
        <f aca="false">IF($B1039="","",--(AND(F1039&lt;&gt;"",F1039&lt;=8))+--(AND(G1039&lt;&gt;"",G1039&lt;=8))+--(AND(H1039&lt;&gt;"",H1039&lt;=8))+--(AND(I1039&lt;&gt;"",I1039&lt;=8))+--(AND(J1039&lt;&gt;"",J1039&lt;=8))+--(AND(K1039&lt;&gt;"",K1039&lt;=8))+--(AND(L1039&lt;&gt;"",L1039&lt;=8))+--(AND(M1039&lt;&gt;"",M1039&lt;=8))+--(AND(N1039&lt;&gt;"",N1039&lt;=8))+--(AND(O1039&lt;&gt;"",O1039&lt;=8)))</f>
        <v/>
      </c>
    </row>
    <row r="1040" customFormat="false" ht="15" hidden="false" customHeight="false" outlineLevel="0" collapsed="false">
      <c r="AZ1040" s="5" t="str">
        <f aca="false">IF($B1040="","",SUMPRODUCT(($AL1040:$AO1040&lt;&gt;"")*(COUNTIF($AP1040:$AX1040,$AL1040:$AO1040)&gt;0)))</f>
        <v/>
      </c>
      <c r="BA1040" s="5" t="str">
        <f aca="false">IF($B1040="","",IF(AZ1040&gt;0,1,0))</f>
        <v/>
      </c>
      <c r="BB1040" s="5" t="str">
        <f aca="false">IF($AP1040="","",IF((($AP1040="Engineering and Technology")+($AP1040="Science and Mathematics")+($AP1040="Computer Science, IT and Allied Fields")+($AP1040="Life Sciences /Medicine and Healthcare")+($AP1040="Paramedical")+($AP1040="Architecture")+($AP1040="Environmental Service")+($AP1040="Agriculture, Food Industry and Forestry"))&gt;0,"Science",IF((($AP1040="Banking and Finance")+($AP1040="Management and Administration")+($AP1040="Marketing")+($AP1040="Sales")+($AP1040="Entrepreneurship")+($AP1040="Hospitality and Tourism"))&gt;0,"Commerce",IF((($AP1040="Social Sciences and Humanities")+($AP1040="Law Studies")+($AP1040="Education and Training")+($AP1040="Art, Design")+($AP1040="Entertainment and Mass Media")+($AP1040="Community and Social Service")+($AP1040="Personal Care and Services")+($AP1040="Government and Public Administration")+($AP1040="Defence/ Protective Service")+($AP1040="Sports"))&gt;0,"Arts / Humanities",""))))</f>
        <v/>
      </c>
      <c r="BC1040" s="5" t="str">
        <f aca="false">IF($AL1040="","",IF((($AL1040="Engineering and Technology")+($AL1040="Science and Mathematics")+($AL1040="Computer Science, IT and Allied Fields")+($AL1040="Life Sciences /Medicine and Healthcare")+($AL1040="Paramedical")+($AL1040="Architecture")+($AL1040="Environmental Service")+($AL1040="Agriculture, Food Industry and Forestry"))&gt;0,"Science",IF((($AL1040="Banking and Finance")+($AL1040="Management and Administration")+($AL1040="Marketing")+($AL1040="Sales")+($AL1040="Entrepreneurship")+($AL1040="Hospitality and Tourism"))&gt;0,"Commerce",IF((($AL1040="Social Sciences and Humanities")+($AL1040="Law Studies")+($AL1040="Education and Training")+($AL1040="Art, Design")+($AL1040="Entertainment and Mass Media")+($AL1040="Community and Social Service")+($AL1040="Personal Care and Services")+($AL1040="Government and Public Administration")+($AL1040="Defence/ Protective Service")+($AL1040="Sports"))&gt;0,"Arts / Humanities",""))))</f>
        <v/>
      </c>
      <c r="BD1040" s="5" t="str">
        <f aca="false">IF($B1040="","",--(F1040&gt;=10)+--(G1040&gt;=10)+--(H1040&gt;=10)+--(I1040&gt;=10)+--(J1040&gt;=10)+--(K1040&gt;=10)+--(L1040&gt;=10)+--(M1040&gt;=10)+--(N1040&gt;=10)+--(O1040&gt;=10))</f>
        <v/>
      </c>
      <c r="BE1040" s="5" t="str">
        <f aca="false">IF($B1040="","",--(AND(F1040&lt;&gt;"",F1040&lt;=8))+--(AND(G1040&lt;&gt;"",G1040&lt;=8))+--(AND(H1040&lt;&gt;"",H1040&lt;=8))+--(AND(I1040&lt;&gt;"",I1040&lt;=8))+--(AND(J1040&lt;&gt;"",J1040&lt;=8))+--(AND(K1040&lt;&gt;"",K1040&lt;=8))+--(AND(L1040&lt;&gt;"",L1040&lt;=8))+--(AND(M1040&lt;&gt;"",M1040&lt;=8))+--(AND(N1040&lt;&gt;"",N1040&lt;=8))+--(AND(O1040&lt;&gt;"",O1040&lt;=8)))</f>
        <v/>
      </c>
    </row>
    <row r="1041" customFormat="false" ht="15" hidden="false" customHeight="false" outlineLevel="0" collapsed="false">
      <c r="AZ1041" s="5" t="str">
        <f aca="false">IF($B1041="","",SUMPRODUCT(($AL1041:$AO1041&lt;&gt;"")*(COUNTIF($AP1041:$AX1041,$AL1041:$AO1041)&gt;0)))</f>
        <v/>
      </c>
      <c r="BA1041" s="5" t="str">
        <f aca="false">IF($B1041="","",IF(AZ1041&gt;0,1,0))</f>
        <v/>
      </c>
      <c r="BB1041" s="5" t="str">
        <f aca="false">IF($AP1041="","",IF((($AP1041="Engineering and Technology")+($AP1041="Science and Mathematics")+($AP1041="Computer Science, IT and Allied Fields")+($AP1041="Life Sciences /Medicine and Healthcare")+($AP1041="Paramedical")+($AP1041="Architecture")+($AP1041="Environmental Service")+($AP1041="Agriculture, Food Industry and Forestry"))&gt;0,"Science",IF((($AP1041="Banking and Finance")+($AP1041="Management and Administration")+($AP1041="Marketing")+($AP1041="Sales")+($AP1041="Entrepreneurship")+($AP1041="Hospitality and Tourism"))&gt;0,"Commerce",IF((($AP1041="Social Sciences and Humanities")+($AP1041="Law Studies")+($AP1041="Education and Training")+($AP1041="Art, Design")+($AP1041="Entertainment and Mass Media")+($AP1041="Community and Social Service")+($AP1041="Personal Care and Services")+($AP1041="Government and Public Administration")+($AP1041="Defence/ Protective Service")+($AP1041="Sports"))&gt;0,"Arts / Humanities",""))))</f>
        <v/>
      </c>
      <c r="BC1041" s="5" t="str">
        <f aca="false">IF($AL1041="","",IF((($AL1041="Engineering and Technology")+($AL1041="Science and Mathematics")+($AL1041="Computer Science, IT and Allied Fields")+($AL1041="Life Sciences /Medicine and Healthcare")+($AL1041="Paramedical")+($AL1041="Architecture")+($AL1041="Environmental Service")+($AL1041="Agriculture, Food Industry and Forestry"))&gt;0,"Science",IF((($AL1041="Banking and Finance")+($AL1041="Management and Administration")+($AL1041="Marketing")+($AL1041="Sales")+($AL1041="Entrepreneurship")+($AL1041="Hospitality and Tourism"))&gt;0,"Commerce",IF((($AL1041="Social Sciences and Humanities")+($AL1041="Law Studies")+($AL1041="Education and Training")+($AL1041="Art, Design")+($AL1041="Entertainment and Mass Media")+($AL1041="Community and Social Service")+($AL1041="Personal Care and Services")+($AL1041="Government and Public Administration")+($AL1041="Defence/ Protective Service")+($AL1041="Sports"))&gt;0,"Arts / Humanities",""))))</f>
        <v/>
      </c>
      <c r="BD1041" s="5" t="str">
        <f aca="false">IF($B1041="","",--(F1041&gt;=10)+--(G1041&gt;=10)+--(H1041&gt;=10)+--(I1041&gt;=10)+--(J1041&gt;=10)+--(K1041&gt;=10)+--(L1041&gt;=10)+--(M1041&gt;=10)+--(N1041&gt;=10)+--(O1041&gt;=10))</f>
        <v/>
      </c>
      <c r="BE1041" s="5" t="str">
        <f aca="false">IF($B1041="","",--(AND(F1041&lt;&gt;"",F1041&lt;=8))+--(AND(G1041&lt;&gt;"",G1041&lt;=8))+--(AND(H1041&lt;&gt;"",H1041&lt;=8))+--(AND(I1041&lt;&gt;"",I1041&lt;=8))+--(AND(J1041&lt;&gt;"",J1041&lt;=8))+--(AND(K1041&lt;&gt;"",K1041&lt;=8))+--(AND(L1041&lt;&gt;"",L1041&lt;=8))+--(AND(M1041&lt;&gt;"",M1041&lt;=8))+--(AND(N1041&lt;&gt;"",N1041&lt;=8))+--(AND(O1041&lt;&gt;"",O1041&lt;=8)))</f>
        <v/>
      </c>
    </row>
    <row r="1042" customFormat="false" ht="15" hidden="false" customHeight="false" outlineLevel="0" collapsed="false">
      <c r="AZ1042" s="5" t="str">
        <f aca="false">IF($B1042="","",SUMPRODUCT(($AL1042:$AO1042&lt;&gt;"")*(COUNTIF($AP1042:$AX1042,$AL1042:$AO1042)&gt;0)))</f>
        <v/>
      </c>
      <c r="BA1042" s="5" t="str">
        <f aca="false">IF($B1042="","",IF(AZ1042&gt;0,1,0))</f>
        <v/>
      </c>
      <c r="BB1042" s="5" t="str">
        <f aca="false">IF($AP1042="","",IF((($AP1042="Engineering and Technology")+($AP1042="Science and Mathematics")+($AP1042="Computer Science, IT and Allied Fields")+($AP1042="Life Sciences /Medicine and Healthcare")+($AP1042="Paramedical")+($AP1042="Architecture")+($AP1042="Environmental Service")+($AP1042="Agriculture, Food Industry and Forestry"))&gt;0,"Science",IF((($AP1042="Banking and Finance")+($AP1042="Management and Administration")+($AP1042="Marketing")+($AP1042="Sales")+($AP1042="Entrepreneurship")+($AP1042="Hospitality and Tourism"))&gt;0,"Commerce",IF((($AP1042="Social Sciences and Humanities")+($AP1042="Law Studies")+($AP1042="Education and Training")+($AP1042="Art, Design")+($AP1042="Entertainment and Mass Media")+($AP1042="Community and Social Service")+($AP1042="Personal Care and Services")+($AP1042="Government and Public Administration")+($AP1042="Defence/ Protective Service")+($AP1042="Sports"))&gt;0,"Arts / Humanities",""))))</f>
        <v/>
      </c>
      <c r="BC1042" s="5" t="str">
        <f aca="false">IF($AL1042="","",IF((($AL1042="Engineering and Technology")+($AL1042="Science and Mathematics")+($AL1042="Computer Science, IT and Allied Fields")+($AL1042="Life Sciences /Medicine and Healthcare")+($AL1042="Paramedical")+($AL1042="Architecture")+($AL1042="Environmental Service")+($AL1042="Agriculture, Food Industry and Forestry"))&gt;0,"Science",IF((($AL1042="Banking and Finance")+($AL1042="Management and Administration")+($AL1042="Marketing")+($AL1042="Sales")+($AL1042="Entrepreneurship")+($AL1042="Hospitality and Tourism"))&gt;0,"Commerce",IF((($AL1042="Social Sciences and Humanities")+($AL1042="Law Studies")+($AL1042="Education and Training")+($AL1042="Art, Design")+($AL1042="Entertainment and Mass Media")+($AL1042="Community and Social Service")+($AL1042="Personal Care and Services")+($AL1042="Government and Public Administration")+($AL1042="Defence/ Protective Service")+($AL1042="Sports"))&gt;0,"Arts / Humanities",""))))</f>
        <v/>
      </c>
      <c r="BD1042" s="5" t="str">
        <f aca="false">IF($B1042="","",--(F1042&gt;=10)+--(G1042&gt;=10)+--(H1042&gt;=10)+--(I1042&gt;=10)+--(J1042&gt;=10)+--(K1042&gt;=10)+--(L1042&gt;=10)+--(M1042&gt;=10)+--(N1042&gt;=10)+--(O1042&gt;=10))</f>
        <v/>
      </c>
      <c r="BE1042" s="5" t="str">
        <f aca="false">IF($B1042="","",--(AND(F1042&lt;&gt;"",F1042&lt;=8))+--(AND(G1042&lt;&gt;"",G1042&lt;=8))+--(AND(H1042&lt;&gt;"",H1042&lt;=8))+--(AND(I1042&lt;&gt;"",I1042&lt;=8))+--(AND(J1042&lt;&gt;"",J1042&lt;=8))+--(AND(K1042&lt;&gt;"",K1042&lt;=8))+--(AND(L1042&lt;&gt;"",L1042&lt;=8))+--(AND(M1042&lt;&gt;"",M1042&lt;=8))+--(AND(N1042&lt;&gt;"",N1042&lt;=8))+--(AND(O1042&lt;&gt;"",O1042&lt;=8)))</f>
        <v/>
      </c>
    </row>
    <row r="1043" customFormat="false" ht="15" hidden="false" customHeight="false" outlineLevel="0" collapsed="false">
      <c r="AZ1043" s="5" t="str">
        <f aca="false">IF($B1043="","",SUMPRODUCT(($AL1043:$AO1043&lt;&gt;"")*(COUNTIF($AP1043:$AX1043,$AL1043:$AO1043)&gt;0)))</f>
        <v/>
      </c>
      <c r="BA1043" s="5" t="str">
        <f aca="false">IF($B1043="","",IF(AZ1043&gt;0,1,0))</f>
        <v/>
      </c>
      <c r="BB1043" s="5" t="str">
        <f aca="false">IF($AP1043="","",IF((($AP1043="Engineering and Technology")+($AP1043="Science and Mathematics")+($AP1043="Computer Science, IT and Allied Fields")+($AP1043="Life Sciences /Medicine and Healthcare")+($AP1043="Paramedical")+($AP1043="Architecture")+($AP1043="Environmental Service")+($AP1043="Agriculture, Food Industry and Forestry"))&gt;0,"Science",IF((($AP1043="Banking and Finance")+($AP1043="Management and Administration")+($AP1043="Marketing")+($AP1043="Sales")+($AP1043="Entrepreneurship")+($AP1043="Hospitality and Tourism"))&gt;0,"Commerce",IF((($AP1043="Social Sciences and Humanities")+($AP1043="Law Studies")+($AP1043="Education and Training")+($AP1043="Art, Design")+($AP1043="Entertainment and Mass Media")+($AP1043="Community and Social Service")+($AP1043="Personal Care and Services")+($AP1043="Government and Public Administration")+($AP1043="Defence/ Protective Service")+($AP1043="Sports"))&gt;0,"Arts / Humanities",""))))</f>
        <v/>
      </c>
      <c r="BC1043" s="5" t="str">
        <f aca="false">IF($AL1043="","",IF((($AL1043="Engineering and Technology")+($AL1043="Science and Mathematics")+($AL1043="Computer Science, IT and Allied Fields")+($AL1043="Life Sciences /Medicine and Healthcare")+($AL1043="Paramedical")+($AL1043="Architecture")+($AL1043="Environmental Service")+($AL1043="Agriculture, Food Industry and Forestry"))&gt;0,"Science",IF((($AL1043="Banking and Finance")+($AL1043="Management and Administration")+($AL1043="Marketing")+($AL1043="Sales")+($AL1043="Entrepreneurship")+($AL1043="Hospitality and Tourism"))&gt;0,"Commerce",IF((($AL1043="Social Sciences and Humanities")+($AL1043="Law Studies")+($AL1043="Education and Training")+($AL1043="Art, Design")+($AL1043="Entertainment and Mass Media")+($AL1043="Community and Social Service")+($AL1043="Personal Care and Services")+($AL1043="Government and Public Administration")+($AL1043="Defence/ Protective Service")+($AL1043="Sports"))&gt;0,"Arts / Humanities",""))))</f>
        <v/>
      </c>
      <c r="BD1043" s="5" t="str">
        <f aca="false">IF($B1043="","",--(F1043&gt;=10)+--(G1043&gt;=10)+--(H1043&gt;=10)+--(I1043&gt;=10)+--(J1043&gt;=10)+--(K1043&gt;=10)+--(L1043&gt;=10)+--(M1043&gt;=10)+--(N1043&gt;=10)+--(O1043&gt;=10))</f>
        <v/>
      </c>
      <c r="BE1043" s="5" t="str">
        <f aca="false">IF($B1043="","",--(AND(F1043&lt;&gt;"",F1043&lt;=8))+--(AND(G1043&lt;&gt;"",G1043&lt;=8))+--(AND(H1043&lt;&gt;"",H1043&lt;=8))+--(AND(I1043&lt;&gt;"",I1043&lt;=8))+--(AND(J1043&lt;&gt;"",J1043&lt;=8))+--(AND(K1043&lt;&gt;"",K1043&lt;=8))+--(AND(L1043&lt;&gt;"",L1043&lt;=8))+--(AND(M1043&lt;&gt;"",M1043&lt;=8))+--(AND(N1043&lt;&gt;"",N1043&lt;=8))+--(AND(O1043&lt;&gt;"",O1043&lt;=8)))</f>
        <v/>
      </c>
    </row>
    <row r="1044" customFormat="false" ht="15" hidden="false" customHeight="false" outlineLevel="0" collapsed="false">
      <c r="AZ1044" s="5" t="str">
        <f aca="false">IF($B1044="","",SUMPRODUCT(($AL1044:$AO1044&lt;&gt;"")*(COUNTIF($AP1044:$AX1044,$AL1044:$AO1044)&gt;0)))</f>
        <v/>
      </c>
      <c r="BA1044" s="5" t="str">
        <f aca="false">IF($B1044="","",IF(AZ1044&gt;0,1,0))</f>
        <v/>
      </c>
      <c r="BB1044" s="5" t="str">
        <f aca="false">IF($AP1044="","",IF((($AP1044="Engineering and Technology")+($AP1044="Science and Mathematics")+($AP1044="Computer Science, IT and Allied Fields")+($AP1044="Life Sciences /Medicine and Healthcare")+($AP1044="Paramedical")+($AP1044="Architecture")+($AP1044="Environmental Service")+($AP1044="Agriculture, Food Industry and Forestry"))&gt;0,"Science",IF((($AP1044="Banking and Finance")+($AP1044="Management and Administration")+($AP1044="Marketing")+($AP1044="Sales")+($AP1044="Entrepreneurship")+($AP1044="Hospitality and Tourism"))&gt;0,"Commerce",IF((($AP1044="Social Sciences and Humanities")+($AP1044="Law Studies")+($AP1044="Education and Training")+($AP1044="Art, Design")+($AP1044="Entertainment and Mass Media")+($AP1044="Community and Social Service")+($AP1044="Personal Care and Services")+($AP1044="Government and Public Administration")+($AP1044="Defence/ Protective Service")+($AP1044="Sports"))&gt;0,"Arts / Humanities",""))))</f>
        <v/>
      </c>
      <c r="BC1044" s="5" t="str">
        <f aca="false">IF($AL1044="","",IF((($AL1044="Engineering and Technology")+($AL1044="Science and Mathematics")+($AL1044="Computer Science, IT and Allied Fields")+($AL1044="Life Sciences /Medicine and Healthcare")+($AL1044="Paramedical")+($AL1044="Architecture")+($AL1044="Environmental Service")+($AL1044="Agriculture, Food Industry and Forestry"))&gt;0,"Science",IF((($AL1044="Banking and Finance")+($AL1044="Management and Administration")+($AL1044="Marketing")+($AL1044="Sales")+($AL1044="Entrepreneurship")+($AL1044="Hospitality and Tourism"))&gt;0,"Commerce",IF((($AL1044="Social Sciences and Humanities")+($AL1044="Law Studies")+($AL1044="Education and Training")+($AL1044="Art, Design")+($AL1044="Entertainment and Mass Media")+($AL1044="Community and Social Service")+($AL1044="Personal Care and Services")+($AL1044="Government and Public Administration")+($AL1044="Defence/ Protective Service")+($AL1044="Sports"))&gt;0,"Arts / Humanities",""))))</f>
        <v/>
      </c>
      <c r="BD1044" s="5" t="str">
        <f aca="false">IF($B1044="","",--(F1044&gt;=10)+--(G1044&gt;=10)+--(H1044&gt;=10)+--(I1044&gt;=10)+--(J1044&gt;=10)+--(K1044&gt;=10)+--(L1044&gt;=10)+--(M1044&gt;=10)+--(N1044&gt;=10)+--(O1044&gt;=10))</f>
        <v/>
      </c>
      <c r="BE1044" s="5" t="str">
        <f aca="false">IF($B1044="","",--(AND(F1044&lt;&gt;"",F1044&lt;=8))+--(AND(G1044&lt;&gt;"",G1044&lt;=8))+--(AND(H1044&lt;&gt;"",H1044&lt;=8))+--(AND(I1044&lt;&gt;"",I1044&lt;=8))+--(AND(J1044&lt;&gt;"",J1044&lt;=8))+--(AND(K1044&lt;&gt;"",K1044&lt;=8))+--(AND(L1044&lt;&gt;"",L1044&lt;=8))+--(AND(M1044&lt;&gt;"",M1044&lt;=8))+--(AND(N1044&lt;&gt;"",N1044&lt;=8))+--(AND(O1044&lt;&gt;"",O1044&lt;=8)))</f>
        <v/>
      </c>
    </row>
    <row r="1045" customFormat="false" ht="15" hidden="false" customHeight="false" outlineLevel="0" collapsed="false">
      <c r="AZ1045" s="5" t="str">
        <f aca="false">IF($B1045="","",SUMPRODUCT(($AL1045:$AO1045&lt;&gt;"")*(COUNTIF($AP1045:$AX1045,$AL1045:$AO1045)&gt;0)))</f>
        <v/>
      </c>
      <c r="BA1045" s="5" t="str">
        <f aca="false">IF($B1045="","",IF(AZ1045&gt;0,1,0))</f>
        <v/>
      </c>
      <c r="BB1045" s="5" t="str">
        <f aca="false">IF($AP1045="","",IF((($AP1045="Engineering and Technology")+($AP1045="Science and Mathematics")+($AP1045="Computer Science, IT and Allied Fields")+($AP1045="Life Sciences /Medicine and Healthcare")+($AP1045="Paramedical")+($AP1045="Architecture")+($AP1045="Environmental Service")+($AP1045="Agriculture, Food Industry and Forestry"))&gt;0,"Science",IF((($AP1045="Banking and Finance")+($AP1045="Management and Administration")+($AP1045="Marketing")+($AP1045="Sales")+($AP1045="Entrepreneurship")+($AP1045="Hospitality and Tourism"))&gt;0,"Commerce",IF((($AP1045="Social Sciences and Humanities")+($AP1045="Law Studies")+($AP1045="Education and Training")+($AP1045="Art, Design")+($AP1045="Entertainment and Mass Media")+($AP1045="Community and Social Service")+($AP1045="Personal Care and Services")+($AP1045="Government and Public Administration")+($AP1045="Defence/ Protective Service")+($AP1045="Sports"))&gt;0,"Arts / Humanities",""))))</f>
        <v/>
      </c>
      <c r="BC1045" s="5" t="str">
        <f aca="false">IF($AL1045="","",IF((($AL1045="Engineering and Technology")+($AL1045="Science and Mathematics")+($AL1045="Computer Science, IT and Allied Fields")+($AL1045="Life Sciences /Medicine and Healthcare")+($AL1045="Paramedical")+($AL1045="Architecture")+($AL1045="Environmental Service")+($AL1045="Agriculture, Food Industry and Forestry"))&gt;0,"Science",IF((($AL1045="Banking and Finance")+($AL1045="Management and Administration")+($AL1045="Marketing")+($AL1045="Sales")+($AL1045="Entrepreneurship")+($AL1045="Hospitality and Tourism"))&gt;0,"Commerce",IF((($AL1045="Social Sciences and Humanities")+($AL1045="Law Studies")+($AL1045="Education and Training")+($AL1045="Art, Design")+($AL1045="Entertainment and Mass Media")+($AL1045="Community and Social Service")+($AL1045="Personal Care and Services")+($AL1045="Government and Public Administration")+($AL1045="Defence/ Protective Service")+($AL1045="Sports"))&gt;0,"Arts / Humanities",""))))</f>
        <v/>
      </c>
      <c r="BD1045" s="5" t="str">
        <f aca="false">IF($B1045="","",--(F1045&gt;=10)+--(G1045&gt;=10)+--(H1045&gt;=10)+--(I1045&gt;=10)+--(J1045&gt;=10)+--(K1045&gt;=10)+--(L1045&gt;=10)+--(M1045&gt;=10)+--(N1045&gt;=10)+--(O1045&gt;=10))</f>
        <v/>
      </c>
      <c r="BE1045" s="5" t="str">
        <f aca="false">IF($B1045="","",--(AND(F1045&lt;&gt;"",F1045&lt;=8))+--(AND(G1045&lt;&gt;"",G1045&lt;=8))+--(AND(H1045&lt;&gt;"",H1045&lt;=8))+--(AND(I1045&lt;&gt;"",I1045&lt;=8))+--(AND(J1045&lt;&gt;"",J1045&lt;=8))+--(AND(K1045&lt;&gt;"",K1045&lt;=8))+--(AND(L1045&lt;&gt;"",L1045&lt;=8))+--(AND(M1045&lt;&gt;"",M1045&lt;=8))+--(AND(N1045&lt;&gt;"",N1045&lt;=8))+--(AND(O1045&lt;&gt;"",O1045&lt;=8)))</f>
        <v/>
      </c>
    </row>
    <row r="1046" customFormat="false" ht="15" hidden="false" customHeight="false" outlineLevel="0" collapsed="false">
      <c r="AZ1046" s="5" t="str">
        <f aca="false">IF($B1046="","",SUMPRODUCT(($AL1046:$AO1046&lt;&gt;"")*(COUNTIF($AP1046:$AX1046,$AL1046:$AO1046)&gt;0)))</f>
        <v/>
      </c>
      <c r="BA1046" s="5" t="str">
        <f aca="false">IF($B1046="","",IF(AZ1046&gt;0,1,0))</f>
        <v/>
      </c>
      <c r="BB1046" s="5" t="str">
        <f aca="false">IF($AP1046="","",IF((($AP1046="Engineering and Technology")+($AP1046="Science and Mathematics")+($AP1046="Computer Science, IT and Allied Fields")+($AP1046="Life Sciences /Medicine and Healthcare")+($AP1046="Paramedical")+($AP1046="Architecture")+($AP1046="Environmental Service")+($AP1046="Agriculture, Food Industry and Forestry"))&gt;0,"Science",IF((($AP1046="Banking and Finance")+($AP1046="Management and Administration")+($AP1046="Marketing")+($AP1046="Sales")+($AP1046="Entrepreneurship")+($AP1046="Hospitality and Tourism"))&gt;0,"Commerce",IF((($AP1046="Social Sciences and Humanities")+($AP1046="Law Studies")+($AP1046="Education and Training")+($AP1046="Art, Design")+($AP1046="Entertainment and Mass Media")+($AP1046="Community and Social Service")+($AP1046="Personal Care and Services")+($AP1046="Government and Public Administration")+($AP1046="Defence/ Protective Service")+($AP1046="Sports"))&gt;0,"Arts / Humanities",""))))</f>
        <v/>
      </c>
      <c r="BC1046" s="5" t="str">
        <f aca="false">IF($AL1046="","",IF((($AL1046="Engineering and Technology")+($AL1046="Science and Mathematics")+($AL1046="Computer Science, IT and Allied Fields")+($AL1046="Life Sciences /Medicine and Healthcare")+($AL1046="Paramedical")+($AL1046="Architecture")+($AL1046="Environmental Service")+($AL1046="Agriculture, Food Industry and Forestry"))&gt;0,"Science",IF((($AL1046="Banking and Finance")+($AL1046="Management and Administration")+($AL1046="Marketing")+($AL1046="Sales")+($AL1046="Entrepreneurship")+($AL1046="Hospitality and Tourism"))&gt;0,"Commerce",IF((($AL1046="Social Sciences and Humanities")+($AL1046="Law Studies")+($AL1046="Education and Training")+($AL1046="Art, Design")+($AL1046="Entertainment and Mass Media")+($AL1046="Community and Social Service")+($AL1046="Personal Care and Services")+($AL1046="Government and Public Administration")+($AL1046="Defence/ Protective Service")+($AL1046="Sports"))&gt;0,"Arts / Humanities",""))))</f>
        <v/>
      </c>
      <c r="BD1046" s="5" t="str">
        <f aca="false">IF($B1046="","",--(F1046&gt;=10)+--(G1046&gt;=10)+--(H1046&gt;=10)+--(I1046&gt;=10)+--(J1046&gt;=10)+--(K1046&gt;=10)+--(L1046&gt;=10)+--(M1046&gt;=10)+--(N1046&gt;=10)+--(O1046&gt;=10))</f>
        <v/>
      </c>
      <c r="BE1046" s="5" t="str">
        <f aca="false">IF($B1046="","",--(AND(F1046&lt;&gt;"",F1046&lt;=8))+--(AND(G1046&lt;&gt;"",G1046&lt;=8))+--(AND(H1046&lt;&gt;"",H1046&lt;=8))+--(AND(I1046&lt;&gt;"",I1046&lt;=8))+--(AND(J1046&lt;&gt;"",J1046&lt;=8))+--(AND(K1046&lt;&gt;"",K1046&lt;=8))+--(AND(L1046&lt;&gt;"",L1046&lt;=8))+--(AND(M1046&lt;&gt;"",M1046&lt;=8))+--(AND(N1046&lt;&gt;"",N1046&lt;=8))+--(AND(O1046&lt;&gt;"",O1046&lt;=8)))</f>
        <v/>
      </c>
    </row>
    <row r="1047" customFormat="false" ht="15" hidden="false" customHeight="false" outlineLevel="0" collapsed="false">
      <c r="AZ1047" s="5" t="str">
        <f aca="false">IF($B1047="","",SUMPRODUCT(($AL1047:$AO1047&lt;&gt;"")*(COUNTIF($AP1047:$AX1047,$AL1047:$AO1047)&gt;0)))</f>
        <v/>
      </c>
      <c r="BA1047" s="5" t="str">
        <f aca="false">IF($B1047="","",IF(AZ1047&gt;0,1,0))</f>
        <v/>
      </c>
      <c r="BB1047" s="5" t="str">
        <f aca="false">IF($AP1047="","",IF((($AP1047="Engineering and Technology")+($AP1047="Science and Mathematics")+($AP1047="Computer Science, IT and Allied Fields")+($AP1047="Life Sciences /Medicine and Healthcare")+($AP1047="Paramedical")+($AP1047="Architecture")+($AP1047="Environmental Service")+($AP1047="Agriculture, Food Industry and Forestry"))&gt;0,"Science",IF((($AP1047="Banking and Finance")+($AP1047="Management and Administration")+($AP1047="Marketing")+($AP1047="Sales")+($AP1047="Entrepreneurship")+($AP1047="Hospitality and Tourism"))&gt;0,"Commerce",IF((($AP1047="Social Sciences and Humanities")+($AP1047="Law Studies")+($AP1047="Education and Training")+($AP1047="Art, Design")+($AP1047="Entertainment and Mass Media")+($AP1047="Community and Social Service")+($AP1047="Personal Care and Services")+($AP1047="Government and Public Administration")+($AP1047="Defence/ Protective Service")+($AP1047="Sports"))&gt;0,"Arts / Humanities",""))))</f>
        <v/>
      </c>
      <c r="BC1047" s="5" t="str">
        <f aca="false">IF($AL1047="","",IF((($AL1047="Engineering and Technology")+($AL1047="Science and Mathematics")+($AL1047="Computer Science, IT and Allied Fields")+($AL1047="Life Sciences /Medicine and Healthcare")+($AL1047="Paramedical")+($AL1047="Architecture")+($AL1047="Environmental Service")+($AL1047="Agriculture, Food Industry and Forestry"))&gt;0,"Science",IF((($AL1047="Banking and Finance")+($AL1047="Management and Administration")+($AL1047="Marketing")+($AL1047="Sales")+($AL1047="Entrepreneurship")+($AL1047="Hospitality and Tourism"))&gt;0,"Commerce",IF((($AL1047="Social Sciences and Humanities")+($AL1047="Law Studies")+($AL1047="Education and Training")+($AL1047="Art, Design")+($AL1047="Entertainment and Mass Media")+($AL1047="Community and Social Service")+($AL1047="Personal Care and Services")+($AL1047="Government and Public Administration")+($AL1047="Defence/ Protective Service")+($AL1047="Sports"))&gt;0,"Arts / Humanities",""))))</f>
        <v/>
      </c>
      <c r="BD1047" s="5" t="str">
        <f aca="false">IF($B1047="","",--(F1047&gt;=10)+--(G1047&gt;=10)+--(H1047&gt;=10)+--(I1047&gt;=10)+--(J1047&gt;=10)+--(K1047&gt;=10)+--(L1047&gt;=10)+--(M1047&gt;=10)+--(N1047&gt;=10)+--(O1047&gt;=10))</f>
        <v/>
      </c>
      <c r="BE1047" s="5" t="str">
        <f aca="false">IF($B1047="","",--(AND(F1047&lt;&gt;"",F1047&lt;=8))+--(AND(G1047&lt;&gt;"",G1047&lt;=8))+--(AND(H1047&lt;&gt;"",H1047&lt;=8))+--(AND(I1047&lt;&gt;"",I1047&lt;=8))+--(AND(J1047&lt;&gt;"",J1047&lt;=8))+--(AND(K1047&lt;&gt;"",K1047&lt;=8))+--(AND(L1047&lt;&gt;"",L1047&lt;=8))+--(AND(M1047&lt;&gt;"",M1047&lt;=8))+--(AND(N1047&lt;&gt;"",N1047&lt;=8))+--(AND(O1047&lt;&gt;"",O1047&lt;=8)))</f>
        <v/>
      </c>
    </row>
    <row r="1048" customFormat="false" ht="15" hidden="false" customHeight="false" outlineLevel="0" collapsed="false">
      <c r="AZ1048" s="5" t="str">
        <f aca="false">IF($B1048="","",SUMPRODUCT(($AL1048:$AO1048&lt;&gt;"")*(COUNTIF($AP1048:$AX1048,$AL1048:$AO1048)&gt;0)))</f>
        <v/>
      </c>
      <c r="BA1048" s="5" t="str">
        <f aca="false">IF($B1048="","",IF(AZ1048&gt;0,1,0))</f>
        <v/>
      </c>
      <c r="BB1048" s="5" t="str">
        <f aca="false">IF($AP1048="","",IF((($AP1048="Engineering and Technology")+($AP1048="Science and Mathematics")+($AP1048="Computer Science, IT and Allied Fields")+($AP1048="Life Sciences /Medicine and Healthcare")+($AP1048="Paramedical")+($AP1048="Architecture")+($AP1048="Environmental Service")+($AP1048="Agriculture, Food Industry and Forestry"))&gt;0,"Science",IF((($AP1048="Banking and Finance")+($AP1048="Management and Administration")+($AP1048="Marketing")+($AP1048="Sales")+($AP1048="Entrepreneurship")+($AP1048="Hospitality and Tourism"))&gt;0,"Commerce",IF((($AP1048="Social Sciences and Humanities")+($AP1048="Law Studies")+($AP1048="Education and Training")+($AP1048="Art, Design")+($AP1048="Entertainment and Mass Media")+($AP1048="Community and Social Service")+($AP1048="Personal Care and Services")+($AP1048="Government and Public Administration")+($AP1048="Defence/ Protective Service")+($AP1048="Sports"))&gt;0,"Arts / Humanities",""))))</f>
        <v/>
      </c>
      <c r="BC1048" s="5" t="str">
        <f aca="false">IF($AL1048="","",IF((($AL1048="Engineering and Technology")+($AL1048="Science and Mathematics")+($AL1048="Computer Science, IT and Allied Fields")+($AL1048="Life Sciences /Medicine and Healthcare")+($AL1048="Paramedical")+($AL1048="Architecture")+($AL1048="Environmental Service")+($AL1048="Agriculture, Food Industry and Forestry"))&gt;0,"Science",IF((($AL1048="Banking and Finance")+($AL1048="Management and Administration")+($AL1048="Marketing")+($AL1048="Sales")+($AL1048="Entrepreneurship")+($AL1048="Hospitality and Tourism"))&gt;0,"Commerce",IF((($AL1048="Social Sciences and Humanities")+($AL1048="Law Studies")+($AL1048="Education and Training")+($AL1048="Art, Design")+($AL1048="Entertainment and Mass Media")+($AL1048="Community and Social Service")+($AL1048="Personal Care and Services")+($AL1048="Government and Public Administration")+($AL1048="Defence/ Protective Service")+($AL1048="Sports"))&gt;0,"Arts / Humanities",""))))</f>
        <v/>
      </c>
      <c r="BD1048" s="5" t="str">
        <f aca="false">IF($B1048="","",--(F1048&gt;=10)+--(G1048&gt;=10)+--(H1048&gt;=10)+--(I1048&gt;=10)+--(J1048&gt;=10)+--(K1048&gt;=10)+--(L1048&gt;=10)+--(M1048&gt;=10)+--(N1048&gt;=10)+--(O1048&gt;=10))</f>
        <v/>
      </c>
      <c r="BE1048" s="5" t="str">
        <f aca="false">IF($B1048="","",--(AND(F1048&lt;&gt;"",F1048&lt;=8))+--(AND(G1048&lt;&gt;"",G1048&lt;=8))+--(AND(H1048&lt;&gt;"",H1048&lt;=8))+--(AND(I1048&lt;&gt;"",I1048&lt;=8))+--(AND(J1048&lt;&gt;"",J1048&lt;=8))+--(AND(K1048&lt;&gt;"",K1048&lt;=8))+--(AND(L1048&lt;&gt;"",L1048&lt;=8))+--(AND(M1048&lt;&gt;"",M1048&lt;=8))+--(AND(N1048&lt;&gt;"",N1048&lt;=8))+--(AND(O1048&lt;&gt;"",O1048&lt;=8)))</f>
        <v/>
      </c>
    </row>
    <row r="1049" customFormat="false" ht="15" hidden="false" customHeight="false" outlineLevel="0" collapsed="false">
      <c r="AZ1049" s="5" t="str">
        <f aca="false">IF($B1049="","",SUMPRODUCT(($AL1049:$AO1049&lt;&gt;"")*(COUNTIF($AP1049:$AX1049,$AL1049:$AO1049)&gt;0)))</f>
        <v/>
      </c>
      <c r="BA1049" s="5" t="str">
        <f aca="false">IF($B1049="","",IF(AZ1049&gt;0,1,0))</f>
        <v/>
      </c>
      <c r="BB1049" s="5" t="str">
        <f aca="false">IF($AP1049="","",IF((($AP1049="Engineering and Technology")+($AP1049="Science and Mathematics")+($AP1049="Computer Science, IT and Allied Fields")+($AP1049="Life Sciences /Medicine and Healthcare")+($AP1049="Paramedical")+($AP1049="Architecture")+($AP1049="Environmental Service")+($AP1049="Agriculture, Food Industry and Forestry"))&gt;0,"Science",IF((($AP1049="Banking and Finance")+($AP1049="Management and Administration")+($AP1049="Marketing")+($AP1049="Sales")+($AP1049="Entrepreneurship")+($AP1049="Hospitality and Tourism"))&gt;0,"Commerce",IF((($AP1049="Social Sciences and Humanities")+($AP1049="Law Studies")+($AP1049="Education and Training")+($AP1049="Art, Design")+($AP1049="Entertainment and Mass Media")+($AP1049="Community and Social Service")+($AP1049="Personal Care and Services")+($AP1049="Government and Public Administration")+($AP1049="Defence/ Protective Service")+($AP1049="Sports"))&gt;0,"Arts / Humanities",""))))</f>
        <v/>
      </c>
      <c r="BC1049" s="5" t="str">
        <f aca="false">IF($AL1049="","",IF((($AL1049="Engineering and Technology")+($AL1049="Science and Mathematics")+($AL1049="Computer Science, IT and Allied Fields")+($AL1049="Life Sciences /Medicine and Healthcare")+($AL1049="Paramedical")+($AL1049="Architecture")+($AL1049="Environmental Service")+($AL1049="Agriculture, Food Industry and Forestry"))&gt;0,"Science",IF((($AL1049="Banking and Finance")+($AL1049="Management and Administration")+($AL1049="Marketing")+($AL1049="Sales")+($AL1049="Entrepreneurship")+($AL1049="Hospitality and Tourism"))&gt;0,"Commerce",IF((($AL1049="Social Sciences and Humanities")+($AL1049="Law Studies")+($AL1049="Education and Training")+($AL1049="Art, Design")+($AL1049="Entertainment and Mass Media")+($AL1049="Community and Social Service")+($AL1049="Personal Care and Services")+($AL1049="Government and Public Administration")+($AL1049="Defence/ Protective Service")+($AL1049="Sports"))&gt;0,"Arts / Humanities",""))))</f>
        <v/>
      </c>
      <c r="BD1049" s="5" t="str">
        <f aca="false">IF($B1049="","",--(F1049&gt;=10)+--(G1049&gt;=10)+--(H1049&gt;=10)+--(I1049&gt;=10)+--(J1049&gt;=10)+--(K1049&gt;=10)+--(L1049&gt;=10)+--(M1049&gt;=10)+--(N1049&gt;=10)+--(O1049&gt;=10))</f>
        <v/>
      </c>
      <c r="BE1049" s="5" t="str">
        <f aca="false">IF($B1049="","",--(AND(F1049&lt;&gt;"",F1049&lt;=8))+--(AND(G1049&lt;&gt;"",G1049&lt;=8))+--(AND(H1049&lt;&gt;"",H1049&lt;=8))+--(AND(I1049&lt;&gt;"",I1049&lt;=8))+--(AND(J1049&lt;&gt;"",J1049&lt;=8))+--(AND(K1049&lt;&gt;"",K1049&lt;=8))+--(AND(L1049&lt;&gt;"",L1049&lt;=8))+--(AND(M1049&lt;&gt;"",M1049&lt;=8))+--(AND(N1049&lt;&gt;"",N1049&lt;=8))+--(AND(O1049&lt;&gt;"",O1049&lt;=8)))</f>
        <v/>
      </c>
    </row>
    <row r="1050" customFormat="false" ht="15" hidden="false" customHeight="false" outlineLevel="0" collapsed="false">
      <c r="AZ1050" s="5" t="str">
        <f aca="false">IF($B1050="","",SUMPRODUCT(($AL1050:$AO1050&lt;&gt;"")*(COUNTIF($AP1050:$AX1050,$AL1050:$AO1050)&gt;0)))</f>
        <v/>
      </c>
      <c r="BA1050" s="5" t="str">
        <f aca="false">IF($B1050="","",IF(AZ1050&gt;0,1,0))</f>
        <v/>
      </c>
      <c r="BB1050" s="5" t="str">
        <f aca="false">IF($AP1050="","",IF((($AP1050="Engineering and Technology")+($AP1050="Science and Mathematics")+($AP1050="Computer Science, IT and Allied Fields")+($AP1050="Life Sciences /Medicine and Healthcare")+($AP1050="Paramedical")+($AP1050="Architecture")+($AP1050="Environmental Service")+($AP1050="Agriculture, Food Industry and Forestry"))&gt;0,"Science",IF((($AP1050="Banking and Finance")+($AP1050="Management and Administration")+($AP1050="Marketing")+($AP1050="Sales")+($AP1050="Entrepreneurship")+($AP1050="Hospitality and Tourism"))&gt;0,"Commerce",IF((($AP1050="Social Sciences and Humanities")+($AP1050="Law Studies")+($AP1050="Education and Training")+($AP1050="Art, Design")+($AP1050="Entertainment and Mass Media")+($AP1050="Community and Social Service")+($AP1050="Personal Care and Services")+($AP1050="Government and Public Administration")+($AP1050="Defence/ Protective Service")+($AP1050="Sports"))&gt;0,"Arts / Humanities",""))))</f>
        <v/>
      </c>
      <c r="BC1050" s="5" t="str">
        <f aca="false">IF($AL1050="","",IF((($AL1050="Engineering and Technology")+($AL1050="Science and Mathematics")+($AL1050="Computer Science, IT and Allied Fields")+($AL1050="Life Sciences /Medicine and Healthcare")+($AL1050="Paramedical")+($AL1050="Architecture")+($AL1050="Environmental Service")+($AL1050="Agriculture, Food Industry and Forestry"))&gt;0,"Science",IF((($AL1050="Banking and Finance")+($AL1050="Management and Administration")+($AL1050="Marketing")+($AL1050="Sales")+($AL1050="Entrepreneurship")+($AL1050="Hospitality and Tourism"))&gt;0,"Commerce",IF((($AL1050="Social Sciences and Humanities")+($AL1050="Law Studies")+($AL1050="Education and Training")+($AL1050="Art, Design")+($AL1050="Entertainment and Mass Media")+($AL1050="Community and Social Service")+($AL1050="Personal Care and Services")+($AL1050="Government and Public Administration")+($AL1050="Defence/ Protective Service")+($AL1050="Sports"))&gt;0,"Arts / Humanities",""))))</f>
        <v/>
      </c>
      <c r="BD1050" s="5" t="str">
        <f aca="false">IF($B1050="","",--(F1050&gt;=10)+--(G1050&gt;=10)+--(H1050&gt;=10)+--(I1050&gt;=10)+--(J1050&gt;=10)+--(K1050&gt;=10)+--(L1050&gt;=10)+--(M1050&gt;=10)+--(N1050&gt;=10)+--(O1050&gt;=10))</f>
        <v/>
      </c>
      <c r="BE1050" s="5" t="str">
        <f aca="false">IF($B1050="","",--(AND(F1050&lt;&gt;"",F1050&lt;=8))+--(AND(G1050&lt;&gt;"",G1050&lt;=8))+--(AND(H1050&lt;&gt;"",H1050&lt;=8))+--(AND(I1050&lt;&gt;"",I1050&lt;=8))+--(AND(J1050&lt;&gt;"",J1050&lt;=8))+--(AND(K1050&lt;&gt;"",K1050&lt;=8))+--(AND(L1050&lt;&gt;"",L1050&lt;=8))+--(AND(M1050&lt;&gt;"",M1050&lt;=8))+--(AND(N1050&lt;&gt;"",N1050&lt;=8))+--(AND(O1050&lt;&gt;"",O1050&lt;=8)))</f>
        <v/>
      </c>
    </row>
    <row r="1051" customFormat="false" ht="15" hidden="false" customHeight="false" outlineLevel="0" collapsed="false">
      <c r="AZ1051" s="5" t="str">
        <f aca="false">IF($B1051="","",SUMPRODUCT(($AL1051:$AO1051&lt;&gt;"")*(COUNTIF($AP1051:$AX1051,$AL1051:$AO1051)&gt;0)))</f>
        <v/>
      </c>
      <c r="BA1051" s="5" t="str">
        <f aca="false">IF($B1051="","",IF(AZ1051&gt;0,1,0))</f>
        <v/>
      </c>
      <c r="BB1051" s="5" t="str">
        <f aca="false">IF($AP1051="","",IF((($AP1051="Engineering and Technology")+($AP1051="Science and Mathematics")+($AP1051="Computer Science, IT and Allied Fields")+($AP1051="Life Sciences /Medicine and Healthcare")+($AP1051="Paramedical")+($AP1051="Architecture")+($AP1051="Environmental Service")+($AP1051="Agriculture, Food Industry and Forestry"))&gt;0,"Science",IF((($AP1051="Banking and Finance")+($AP1051="Management and Administration")+($AP1051="Marketing")+($AP1051="Sales")+($AP1051="Entrepreneurship")+($AP1051="Hospitality and Tourism"))&gt;0,"Commerce",IF((($AP1051="Social Sciences and Humanities")+($AP1051="Law Studies")+($AP1051="Education and Training")+($AP1051="Art, Design")+($AP1051="Entertainment and Mass Media")+($AP1051="Community and Social Service")+($AP1051="Personal Care and Services")+($AP1051="Government and Public Administration")+($AP1051="Defence/ Protective Service")+($AP1051="Sports"))&gt;0,"Arts / Humanities",""))))</f>
        <v/>
      </c>
      <c r="BC1051" s="5" t="str">
        <f aca="false">IF($AL1051="","",IF((($AL1051="Engineering and Technology")+($AL1051="Science and Mathematics")+($AL1051="Computer Science, IT and Allied Fields")+($AL1051="Life Sciences /Medicine and Healthcare")+($AL1051="Paramedical")+($AL1051="Architecture")+($AL1051="Environmental Service")+($AL1051="Agriculture, Food Industry and Forestry"))&gt;0,"Science",IF((($AL1051="Banking and Finance")+($AL1051="Management and Administration")+($AL1051="Marketing")+($AL1051="Sales")+($AL1051="Entrepreneurship")+($AL1051="Hospitality and Tourism"))&gt;0,"Commerce",IF((($AL1051="Social Sciences and Humanities")+($AL1051="Law Studies")+($AL1051="Education and Training")+($AL1051="Art, Design")+($AL1051="Entertainment and Mass Media")+($AL1051="Community and Social Service")+($AL1051="Personal Care and Services")+($AL1051="Government and Public Administration")+($AL1051="Defence/ Protective Service")+($AL1051="Sports"))&gt;0,"Arts / Humanities",""))))</f>
        <v/>
      </c>
      <c r="BD1051" s="5" t="str">
        <f aca="false">IF($B1051="","",--(F1051&gt;=10)+--(G1051&gt;=10)+--(H1051&gt;=10)+--(I1051&gt;=10)+--(J1051&gt;=10)+--(K1051&gt;=10)+--(L1051&gt;=10)+--(M1051&gt;=10)+--(N1051&gt;=10)+--(O1051&gt;=10))</f>
        <v/>
      </c>
      <c r="BE1051" s="5" t="str">
        <f aca="false">IF($B1051="","",--(AND(F1051&lt;&gt;"",F1051&lt;=8))+--(AND(G1051&lt;&gt;"",G1051&lt;=8))+--(AND(H1051&lt;&gt;"",H1051&lt;=8))+--(AND(I1051&lt;&gt;"",I1051&lt;=8))+--(AND(J1051&lt;&gt;"",J1051&lt;=8))+--(AND(K1051&lt;&gt;"",K1051&lt;=8))+--(AND(L1051&lt;&gt;"",L1051&lt;=8))+--(AND(M1051&lt;&gt;"",M1051&lt;=8))+--(AND(N1051&lt;&gt;"",N1051&lt;=8))+--(AND(O1051&lt;&gt;"",O1051&lt;=8)))</f>
        <v/>
      </c>
    </row>
    <row r="1052" customFormat="false" ht="15" hidden="false" customHeight="false" outlineLevel="0" collapsed="false">
      <c r="AZ1052" s="5" t="str">
        <f aca="false">IF($B1052="","",SUMPRODUCT(($AL1052:$AO1052&lt;&gt;"")*(COUNTIF($AP1052:$AX1052,$AL1052:$AO1052)&gt;0)))</f>
        <v/>
      </c>
      <c r="BA1052" s="5" t="str">
        <f aca="false">IF($B1052="","",IF(AZ1052&gt;0,1,0))</f>
        <v/>
      </c>
      <c r="BB1052" s="5" t="str">
        <f aca="false">IF($AP1052="","",IF((($AP1052="Engineering and Technology")+($AP1052="Science and Mathematics")+($AP1052="Computer Science, IT and Allied Fields")+($AP1052="Life Sciences /Medicine and Healthcare")+($AP1052="Paramedical")+($AP1052="Architecture")+($AP1052="Environmental Service")+($AP1052="Agriculture, Food Industry and Forestry"))&gt;0,"Science",IF((($AP1052="Banking and Finance")+($AP1052="Management and Administration")+($AP1052="Marketing")+($AP1052="Sales")+($AP1052="Entrepreneurship")+($AP1052="Hospitality and Tourism"))&gt;0,"Commerce",IF((($AP1052="Social Sciences and Humanities")+($AP1052="Law Studies")+($AP1052="Education and Training")+($AP1052="Art, Design")+($AP1052="Entertainment and Mass Media")+($AP1052="Community and Social Service")+($AP1052="Personal Care and Services")+($AP1052="Government and Public Administration")+($AP1052="Defence/ Protective Service")+($AP1052="Sports"))&gt;0,"Arts / Humanities",""))))</f>
        <v/>
      </c>
      <c r="BC1052" s="5" t="str">
        <f aca="false">IF($AL1052="","",IF((($AL1052="Engineering and Technology")+($AL1052="Science and Mathematics")+($AL1052="Computer Science, IT and Allied Fields")+($AL1052="Life Sciences /Medicine and Healthcare")+($AL1052="Paramedical")+($AL1052="Architecture")+($AL1052="Environmental Service")+($AL1052="Agriculture, Food Industry and Forestry"))&gt;0,"Science",IF((($AL1052="Banking and Finance")+($AL1052="Management and Administration")+($AL1052="Marketing")+($AL1052="Sales")+($AL1052="Entrepreneurship")+($AL1052="Hospitality and Tourism"))&gt;0,"Commerce",IF((($AL1052="Social Sciences and Humanities")+($AL1052="Law Studies")+($AL1052="Education and Training")+($AL1052="Art, Design")+($AL1052="Entertainment and Mass Media")+($AL1052="Community and Social Service")+($AL1052="Personal Care and Services")+($AL1052="Government and Public Administration")+($AL1052="Defence/ Protective Service")+($AL1052="Sports"))&gt;0,"Arts / Humanities",""))))</f>
        <v/>
      </c>
      <c r="BD1052" s="5" t="str">
        <f aca="false">IF($B1052="","",--(F1052&gt;=10)+--(G1052&gt;=10)+--(H1052&gt;=10)+--(I1052&gt;=10)+--(J1052&gt;=10)+--(K1052&gt;=10)+--(L1052&gt;=10)+--(M1052&gt;=10)+--(N1052&gt;=10)+--(O1052&gt;=10))</f>
        <v/>
      </c>
      <c r="BE1052" s="5" t="str">
        <f aca="false">IF($B1052="","",--(AND(F1052&lt;&gt;"",F1052&lt;=8))+--(AND(G1052&lt;&gt;"",G1052&lt;=8))+--(AND(H1052&lt;&gt;"",H1052&lt;=8))+--(AND(I1052&lt;&gt;"",I1052&lt;=8))+--(AND(J1052&lt;&gt;"",J1052&lt;=8))+--(AND(K1052&lt;&gt;"",K1052&lt;=8))+--(AND(L1052&lt;&gt;"",L1052&lt;=8))+--(AND(M1052&lt;&gt;"",M1052&lt;=8))+--(AND(N1052&lt;&gt;"",N1052&lt;=8))+--(AND(O1052&lt;&gt;"",O1052&lt;=8)))</f>
        <v/>
      </c>
    </row>
    <row r="1053" customFormat="false" ht="15" hidden="false" customHeight="false" outlineLevel="0" collapsed="false">
      <c r="AZ1053" s="5" t="str">
        <f aca="false">IF($B1053="","",SUMPRODUCT(($AL1053:$AO1053&lt;&gt;"")*(COUNTIF($AP1053:$AX1053,$AL1053:$AO1053)&gt;0)))</f>
        <v/>
      </c>
      <c r="BA1053" s="5" t="str">
        <f aca="false">IF($B1053="","",IF(AZ1053&gt;0,1,0))</f>
        <v/>
      </c>
      <c r="BB1053" s="5" t="str">
        <f aca="false">IF($AP1053="","",IF((($AP1053="Engineering and Technology")+($AP1053="Science and Mathematics")+($AP1053="Computer Science, IT and Allied Fields")+($AP1053="Life Sciences /Medicine and Healthcare")+($AP1053="Paramedical")+($AP1053="Architecture")+($AP1053="Environmental Service")+($AP1053="Agriculture, Food Industry and Forestry"))&gt;0,"Science",IF((($AP1053="Banking and Finance")+($AP1053="Management and Administration")+($AP1053="Marketing")+($AP1053="Sales")+($AP1053="Entrepreneurship")+($AP1053="Hospitality and Tourism"))&gt;0,"Commerce",IF((($AP1053="Social Sciences and Humanities")+($AP1053="Law Studies")+($AP1053="Education and Training")+($AP1053="Art, Design")+($AP1053="Entertainment and Mass Media")+($AP1053="Community and Social Service")+($AP1053="Personal Care and Services")+($AP1053="Government and Public Administration")+($AP1053="Defence/ Protective Service")+($AP1053="Sports"))&gt;0,"Arts / Humanities",""))))</f>
        <v/>
      </c>
      <c r="BC1053" s="5" t="str">
        <f aca="false">IF($AL1053="","",IF((($AL1053="Engineering and Technology")+($AL1053="Science and Mathematics")+($AL1053="Computer Science, IT and Allied Fields")+($AL1053="Life Sciences /Medicine and Healthcare")+($AL1053="Paramedical")+($AL1053="Architecture")+($AL1053="Environmental Service")+($AL1053="Agriculture, Food Industry and Forestry"))&gt;0,"Science",IF((($AL1053="Banking and Finance")+($AL1053="Management and Administration")+($AL1053="Marketing")+($AL1053="Sales")+($AL1053="Entrepreneurship")+($AL1053="Hospitality and Tourism"))&gt;0,"Commerce",IF((($AL1053="Social Sciences and Humanities")+($AL1053="Law Studies")+($AL1053="Education and Training")+($AL1053="Art, Design")+($AL1053="Entertainment and Mass Media")+($AL1053="Community and Social Service")+($AL1053="Personal Care and Services")+($AL1053="Government and Public Administration")+($AL1053="Defence/ Protective Service")+($AL1053="Sports"))&gt;0,"Arts / Humanities",""))))</f>
        <v/>
      </c>
      <c r="BD1053" s="5" t="str">
        <f aca="false">IF($B1053="","",--(F1053&gt;=10)+--(G1053&gt;=10)+--(H1053&gt;=10)+--(I1053&gt;=10)+--(J1053&gt;=10)+--(K1053&gt;=10)+--(L1053&gt;=10)+--(M1053&gt;=10)+--(N1053&gt;=10)+--(O1053&gt;=10))</f>
        <v/>
      </c>
      <c r="BE1053" s="5" t="str">
        <f aca="false">IF($B1053="","",--(AND(F1053&lt;&gt;"",F1053&lt;=8))+--(AND(G1053&lt;&gt;"",G1053&lt;=8))+--(AND(H1053&lt;&gt;"",H1053&lt;=8))+--(AND(I1053&lt;&gt;"",I1053&lt;=8))+--(AND(J1053&lt;&gt;"",J1053&lt;=8))+--(AND(K1053&lt;&gt;"",K1053&lt;=8))+--(AND(L1053&lt;&gt;"",L1053&lt;=8))+--(AND(M1053&lt;&gt;"",M1053&lt;=8))+--(AND(N1053&lt;&gt;"",N1053&lt;=8))+--(AND(O1053&lt;&gt;"",O1053&lt;=8)))</f>
        <v/>
      </c>
    </row>
    <row r="1054" customFormat="false" ht="15" hidden="false" customHeight="false" outlineLevel="0" collapsed="false">
      <c r="AZ1054" s="5" t="str">
        <f aca="false">IF($B1054="","",SUMPRODUCT(($AL1054:$AO1054&lt;&gt;"")*(COUNTIF($AP1054:$AX1054,$AL1054:$AO1054)&gt;0)))</f>
        <v/>
      </c>
      <c r="BA1054" s="5" t="str">
        <f aca="false">IF($B1054="","",IF(AZ1054&gt;0,1,0))</f>
        <v/>
      </c>
      <c r="BB1054" s="5" t="str">
        <f aca="false">IF($AP1054="","",IF((($AP1054="Engineering and Technology")+($AP1054="Science and Mathematics")+($AP1054="Computer Science, IT and Allied Fields")+($AP1054="Life Sciences /Medicine and Healthcare")+($AP1054="Paramedical")+($AP1054="Architecture")+($AP1054="Environmental Service")+($AP1054="Agriculture, Food Industry and Forestry"))&gt;0,"Science",IF((($AP1054="Banking and Finance")+($AP1054="Management and Administration")+($AP1054="Marketing")+($AP1054="Sales")+($AP1054="Entrepreneurship")+($AP1054="Hospitality and Tourism"))&gt;0,"Commerce",IF((($AP1054="Social Sciences and Humanities")+($AP1054="Law Studies")+($AP1054="Education and Training")+($AP1054="Art, Design")+($AP1054="Entertainment and Mass Media")+($AP1054="Community and Social Service")+($AP1054="Personal Care and Services")+($AP1054="Government and Public Administration")+($AP1054="Defence/ Protective Service")+($AP1054="Sports"))&gt;0,"Arts / Humanities",""))))</f>
        <v/>
      </c>
      <c r="BC1054" s="5" t="str">
        <f aca="false">IF($AL1054="","",IF((($AL1054="Engineering and Technology")+($AL1054="Science and Mathematics")+($AL1054="Computer Science, IT and Allied Fields")+($AL1054="Life Sciences /Medicine and Healthcare")+($AL1054="Paramedical")+($AL1054="Architecture")+($AL1054="Environmental Service")+($AL1054="Agriculture, Food Industry and Forestry"))&gt;0,"Science",IF((($AL1054="Banking and Finance")+($AL1054="Management and Administration")+($AL1054="Marketing")+($AL1054="Sales")+($AL1054="Entrepreneurship")+($AL1054="Hospitality and Tourism"))&gt;0,"Commerce",IF((($AL1054="Social Sciences and Humanities")+($AL1054="Law Studies")+($AL1054="Education and Training")+($AL1054="Art, Design")+($AL1054="Entertainment and Mass Media")+($AL1054="Community and Social Service")+($AL1054="Personal Care and Services")+($AL1054="Government and Public Administration")+($AL1054="Defence/ Protective Service")+($AL1054="Sports"))&gt;0,"Arts / Humanities",""))))</f>
        <v/>
      </c>
      <c r="BD1054" s="5" t="str">
        <f aca="false">IF($B1054="","",--(F1054&gt;=10)+--(G1054&gt;=10)+--(H1054&gt;=10)+--(I1054&gt;=10)+--(J1054&gt;=10)+--(K1054&gt;=10)+--(L1054&gt;=10)+--(M1054&gt;=10)+--(N1054&gt;=10)+--(O1054&gt;=10))</f>
        <v/>
      </c>
      <c r="BE1054" s="5" t="str">
        <f aca="false">IF($B1054="","",--(AND(F1054&lt;&gt;"",F1054&lt;=8))+--(AND(G1054&lt;&gt;"",G1054&lt;=8))+--(AND(H1054&lt;&gt;"",H1054&lt;=8))+--(AND(I1054&lt;&gt;"",I1054&lt;=8))+--(AND(J1054&lt;&gt;"",J1054&lt;=8))+--(AND(K1054&lt;&gt;"",K1054&lt;=8))+--(AND(L1054&lt;&gt;"",L1054&lt;=8))+--(AND(M1054&lt;&gt;"",M1054&lt;=8))+--(AND(N1054&lt;&gt;"",N1054&lt;=8))+--(AND(O1054&lt;&gt;"",O1054&lt;=8)))</f>
        <v/>
      </c>
    </row>
    <row r="1055" customFormat="false" ht="15" hidden="false" customHeight="false" outlineLevel="0" collapsed="false">
      <c r="AZ1055" s="5" t="str">
        <f aca="false">IF($B1055="","",SUMPRODUCT(($AL1055:$AO1055&lt;&gt;"")*(COUNTIF($AP1055:$AX1055,$AL1055:$AO1055)&gt;0)))</f>
        <v/>
      </c>
      <c r="BA1055" s="5" t="str">
        <f aca="false">IF($B1055="","",IF(AZ1055&gt;0,1,0))</f>
        <v/>
      </c>
      <c r="BB1055" s="5" t="str">
        <f aca="false">IF($AP1055="","",IF((($AP1055="Engineering and Technology")+($AP1055="Science and Mathematics")+($AP1055="Computer Science, IT and Allied Fields")+($AP1055="Life Sciences /Medicine and Healthcare")+($AP1055="Paramedical")+($AP1055="Architecture")+($AP1055="Environmental Service")+($AP1055="Agriculture, Food Industry and Forestry"))&gt;0,"Science",IF((($AP1055="Banking and Finance")+($AP1055="Management and Administration")+($AP1055="Marketing")+($AP1055="Sales")+($AP1055="Entrepreneurship")+($AP1055="Hospitality and Tourism"))&gt;0,"Commerce",IF((($AP1055="Social Sciences and Humanities")+($AP1055="Law Studies")+($AP1055="Education and Training")+($AP1055="Art, Design")+($AP1055="Entertainment and Mass Media")+($AP1055="Community and Social Service")+($AP1055="Personal Care and Services")+($AP1055="Government and Public Administration")+($AP1055="Defence/ Protective Service")+($AP1055="Sports"))&gt;0,"Arts / Humanities",""))))</f>
        <v/>
      </c>
      <c r="BC1055" s="5" t="str">
        <f aca="false">IF($AL1055="","",IF((($AL1055="Engineering and Technology")+($AL1055="Science and Mathematics")+($AL1055="Computer Science, IT and Allied Fields")+($AL1055="Life Sciences /Medicine and Healthcare")+($AL1055="Paramedical")+($AL1055="Architecture")+($AL1055="Environmental Service")+($AL1055="Agriculture, Food Industry and Forestry"))&gt;0,"Science",IF((($AL1055="Banking and Finance")+($AL1055="Management and Administration")+($AL1055="Marketing")+($AL1055="Sales")+($AL1055="Entrepreneurship")+($AL1055="Hospitality and Tourism"))&gt;0,"Commerce",IF((($AL1055="Social Sciences and Humanities")+($AL1055="Law Studies")+($AL1055="Education and Training")+($AL1055="Art, Design")+($AL1055="Entertainment and Mass Media")+($AL1055="Community and Social Service")+($AL1055="Personal Care and Services")+($AL1055="Government and Public Administration")+($AL1055="Defence/ Protective Service")+($AL1055="Sports"))&gt;0,"Arts / Humanities",""))))</f>
        <v/>
      </c>
      <c r="BD1055" s="5" t="str">
        <f aca="false">IF($B1055="","",--(F1055&gt;=10)+--(G1055&gt;=10)+--(H1055&gt;=10)+--(I1055&gt;=10)+--(J1055&gt;=10)+--(K1055&gt;=10)+--(L1055&gt;=10)+--(M1055&gt;=10)+--(N1055&gt;=10)+--(O1055&gt;=10))</f>
        <v/>
      </c>
      <c r="BE1055" s="5" t="str">
        <f aca="false">IF($B1055="","",--(AND(F1055&lt;&gt;"",F1055&lt;=8))+--(AND(G1055&lt;&gt;"",G1055&lt;=8))+--(AND(H1055&lt;&gt;"",H1055&lt;=8))+--(AND(I1055&lt;&gt;"",I1055&lt;=8))+--(AND(J1055&lt;&gt;"",J1055&lt;=8))+--(AND(K1055&lt;&gt;"",K1055&lt;=8))+--(AND(L1055&lt;&gt;"",L1055&lt;=8))+--(AND(M1055&lt;&gt;"",M1055&lt;=8))+--(AND(N1055&lt;&gt;"",N1055&lt;=8))+--(AND(O1055&lt;&gt;"",O1055&lt;=8)))</f>
        <v/>
      </c>
    </row>
    <row r="1056" customFormat="false" ht="15" hidden="false" customHeight="false" outlineLevel="0" collapsed="false">
      <c r="AZ1056" s="5" t="str">
        <f aca="false">IF($B1056="","",SUMPRODUCT(($AL1056:$AO1056&lt;&gt;"")*(COUNTIF($AP1056:$AX1056,$AL1056:$AO1056)&gt;0)))</f>
        <v/>
      </c>
      <c r="BA1056" s="5" t="str">
        <f aca="false">IF($B1056="","",IF(AZ1056&gt;0,1,0))</f>
        <v/>
      </c>
      <c r="BB1056" s="5" t="str">
        <f aca="false">IF($AP1056="","",IF((($AP1056="Engineering and Technology")+($AP1056="Science and Mathematics")+($AP1056="Computer Science, IT and Allied Fields")+($AP1056="Life Sciences /Medicine and Healthcare")+($AP1056="Paramedical")+($AP1056="Architecture")+($AP1056="Environmental Service")+($AP1056="Agriculture, Food Industry and Forestry"))&gt;0,"Science",IF((($AP1056="Banking and Finance")+($AP1056="Management and Administration")+($AP1056="Marketing")+($AP1056="Sales")+($AP1056="Entrepreneurship")+($AP1056="Hospitality and Tourism"))&gt;0,"Commerce",IF((($AP1056="Social Sciences and Humanities")+($AP1056="Law Studies")+($AP1056="Education and Training")+($AP1056="Art, Design")+($AP1056="Entertainment and Mass Media")+($AP1056="Community and Social Service")+($AP1056="Personal Care and Services")+($AP1056="Government and Public Administration")+($AP1056="Defence/ Protective Service")+($AP1056="Sports"))&gt;0,"Arts / Humanities",""))))</f>
        <v/>
      </c>
      <c r="BC1056" s="5" t="str">
        <f aca="false">IF($AL1056="","",IF((($AL1056="Engineering and Technology")+($AL1056="Science and Mathematics")+($AL1056="Computer Science, IT and Allied Fields")+($AL1056="Life Sciences /Medicine and Healthcare")+($AL1056="Paramedical")+($AL1056="Architecture")+($AL1056="Environmental Service")+($AL1056="Agriculture, Food Industry and Forestry"))&gt;0,"Science",IF((($AL1056="Banking and Finance")+($AL1056="Management and Administration")+($AL1056="Marketing")+($AL1056="Sales")+($AL1056="Entrepreneurship")+($AL1056="Hospitality and Tourism"))&gt;0,"Commerce",IF((($AL1056="Social Sciences and Humanities")+($AL1056="Law Studies")+($AL1056="Education and Training")+($AL1056="Art, Design")+($AL1056="Entertainment and Mass Media")+($AL1056="Community and Social Service")+($AL1056="Personal Care and Services")+($AL1056="Government and Public Administration")+($AL1056="Defence/ Protective Service")+($AL1056="Sports"))&gt;0,"Arts / Humanities",""))))</f>
        <v/>
      </c>
      <c r="BD1056" s="5" t="str">
        <f aca="false">IF($B1056="","",--(F1056&gt;=10)+--(G1056&gt;=10)+--(H1056&gt;=10)+--(I1056&gt;=10)+--(J1056&gt;=10)+--(K1056&gt;=10)+--(L1056&gt;=10)+--(M1056&gt;=10)+--(N1056&gt;=10)+--(O1056&gt;=10))</f>
        <v/>
      </c>
      <c r="BE1056" s="5" t="str">
        <f aca="false">IF($B1056="","",--(AND(F1056&lt;&gt;"",F1056&lt;=8))+--(AND(G1056&lt;&gt;"",G1056&lt;=8))+--(AND(H1056&lt;&gt;"",H1056&lt;=8))+--(AND(I1056&lt;&gt;"",I1056&lt;=8))+--(AND(J1056&lt;&gt;"",J1056&lt;=8))+--(AND(K1056&lt;&gt;"",K1056&lt;=8))+--(AND(L1056&lt;&gt;"",L1056&lt;=8))+--(AND(M1056&lt;&gt;"",M1056&lt;=8))+--(AND(N1056&lt;&gt;"",N1056&lt;=8))+--(AND(O1056&lt;&gt;"",O1056&lt;=8)))</f>
        <v/>
      </c>
    </row>
    <row r="1057" customFormat="false" ht="15" hidden="false" customHeight="false" outlineLevel="0" collapsed="false">
      <c r="AZ1057" s="5" t="str">
        <f aca="false">IF($B1057="","",SUMPRODUCT(($AL1057:$AO1057&lt;&gt;"")*(COUNTIF($AP1057:$AX1057,$AL1057:$AO1057)&gt;0)))</f>
        <v/>
      </c>
      <c r="BA1057" s="5" t="str">
        <f aca="false">IF($B1057="","",IF(AZ1057&gt;0,1,0))</f>
        <v/>
      </c>
      <c r="BB1057" s="5" t="str">
        <f aca="false">IF($AP1057="","",IF((($AP1057="Engineering and Technology")+($AP1057="Science and Mathematics")+($AP1057="Computer Science, IT and Allied Fields")+($AP1057="Life Sciences /Medicine and Healthcare")+($AP1057="Paramedical")+($AP1057="Architecture")+($AP1057="Environmental Service")+($AP1057="Agriculture, Food Industry and Forestry"))&gt;0,"Science",IF((($AP1057="Banking and Finance")+($AP1057="Management and Administration")+($AP1057="Marketing")+($AP1057="Sales")+($AP1057="Entrepreneurship")+($AP1057="Hospitality and Tourism"))&gt;0,"Commerce",IF((($AP1057="Social Sciences and Humanities")+($AP1057="Law Studies")+($AP1057="Education and Training")+($AP1057="Art, Design")+($AP1057="Entertainment and Mass Media")+($AP1057="Community and Social Service")+($AP1057="Personal Care and Services")+($AP1057="Government and Public Administration")+($AP1057="Defence/ Protective Service")+($AP1057="Sports"))&gt;0,"Arts / Humanities",""))))</f>
        <v/>
      </c>
      <c r="BC1057" s="5" t="str">
        <f aca="false">IF($AL1057="","",IF((($AL1057="Engineering and Technology")+($AL1057="Science and Mathematics")+($AL1057="Computer Science, IT and Allied Fields")+($AL1057="Life Sciences /Medicine and Healthcare")+($AL1057="Paramedical")+($AL1057="Architecture")+($AL1057="Environmental Service")+($AL1057="Agriculture, Food Industry and Forestry"))&gt;0,"Science",IF((($AL1057="Banking and Finance")+($AL1057="Management and Administration")+($AL1057="Marketing")+($AL1057="Sales")+($AL1057="Entrepreneurship")+($AL1057="Hospitality and Tourism"))&gt;0,"Commerce",IF((($AL1057="Social Sciences and Humanities")+($AL1057="Law Studies")+($AL1057="Education and Training")+($AL1057="Art, Design")+($AL1057="Entertainment and Mass Media")+($AL1057="Community and Social Service")+($AL1057="Personal Care and Services")+($AL1057="Government and Public Administration")+($AL1057="Defence/ Protective Service")+($AL1057="Sports"))&gt;0,"Arts / Humanities",""))))</f>
        <v/>
      </c>
      <c r="BD1057" s="5" t="str">
        <f aca="false">IF($B1057="","",--(F1057&gt;=10)+--(G1057&gt;=10)+--(H1057&gt;=10)+--(I1057&gt;=10)+--(J1057&gt;=10)+--(K1057&gt;=10)+--(L1057&gt;=10)+--(M1057&gt;=10)+--(N1057&gt;=10)+--(O1057&gt;=10))</f>
        <v/>
      </c>
      <c r="BE1057" s="5" t="str">
        <f aca="false">IF($B1057="","",--(AND(F1057&lt;&gt;"",F1057&lt;=8))+--(AND(G1057&lt;&gt;"",G1057&lt;=8))+--(AND(H1057&lt;&gt;"",H1057&lt;=8))+--(AND(I1057&lt;&gt;"",I1057&lt;=8))+--(AND(J1057&lt;&gt;"",J1057&lt;=8))+--(AND(K1057&lt;&gt;"",K1057&lt;=8))+--(AND(L1057&lt;&gt;"",L1057&lt;=8))+--(AND(M1057&lt;&gt;"",M1057&lt;=8))+--(AND(N1057&lt;&gt;"",N1057&lt;=8))+--(AND(O1057&lt;&gt;"",O1057&lt;=8)))</f>
        <v/>
      </c>
    </row>
    <row r="1058" customFormat="false" ht="15" hidden="false" customHeight="false" outlineLevel="0" collapsed="false">
      <c r="AZ1058" s="5" t="str">
        <f aca="false">IF($B1058="","",SUMPRODUCT(($AL1058:$AO1058&lt;&gt;"")*(COUNTIF($AP1058:$AX1058,$AL1058:$AO1058)&gt;0)))</f>
        <v/>
      </c>
      <c r="BA1058" s="5" t="str">
        <f aca="false">IF($B1058="","",IF(AZ1058&gt;0,1,0))</f>
        <v/>
      </c>
      <c r="BB1058" s="5" t="str">
        <f aca="false">IF($AP1058="","",IF((($AP1058="Engineering and Technology")+($AP1058="Science and Mathematics")+($AP1058="Computer Science, IT and Allied Fields")+($AP1058="Life Sciences /Medicine and Healthcare")+($AP1058="Paramedical")+($AP1058="Architecture")+($AP1058="Environmental Service")+($AP1058="Agriculture, Food Industry and Forestry"))&gt;0,"Science",IF((($AP1058="Banking and Finance")+($AP1058="Management and Administration")+($AP1058="Marketing")+($AP1058="Sales")+($AP1058="Entrepreneurship")+($AP1058="Hospitality and Tourism"))&gt;0,"Commerce",IF((($AP1058="Social Sciences and Humanities")+($AP1058="Law Studies")+($AP1058="Education and Training")+($AP1058="Art, Design")+($AP1058="Entertainment and Mass Media")+($AP1058="Community and Social Service")+($AP1058="Personal Care and Services")+($AP1058="Government and Public Administration")+($AP1058="Defence/ Protective Service")+($AP1058="Sports"))&gt;0,"Arts / Humanities",""))))</f>
        <v/>
      </c>
      <c r="BC1058" s="5" t="str">
        <f aca="false">IF($AL1058="","",IF((($AL1058="Engineering and Technology")+($AL1058="Science and Mathematics")+($AL1058="Computer Science, IT and Allied Fields")+($AL1058="Life Sciences /Medicine and Healthcare")+($AL1058="Paramedical")+($AL1058="Architecture")+($AL1058="Environmental Service")+($AL1058="Agriculture, Food Industry and Forestry"))&gt;0,"Science",IF((($AL1058="Banking and Finance")+($AL1058="Management and Administration")+($AL1058="Marketing")+($AL1058="Sales")+($AL1058="Entrepreneurship")+($AL1058="Hospitality and Tourism"))&gt;0,"Commerce",IF((($AL1058="Social Sciences and Humanities")+($AL1058="Law Studies")+($AL1058="Education and Training")+($AL1058="Art, Design")+($AL1058="Entertainment and Mass Media")+($AL1058="Community and Social Service")+($AL1058="Personal Care and Services")+($AL1058="Government and Public Administration")+($AL1058="Defence/ Protective Service")+($AL1058="Sports"))&gt;0,"Arts / Humanities",""))))</f>
        <v/>
      </c>
      <c r="BD1058" s="5" t="str">
        <f aca="false">IF($B1058="","",--(F1058&gt;=10)+--(G1058&gt;=10)+--(H1058&gt;=10)+--(I1058&gt;=10)+--(J1058&gt;=10)+--(K1058&gt;=10)+--(L1058&gt;=10)+--(M1058&gt;=10)+--(N1058&gt;=10)+--(O1058&gt;=10))</f>
        <v/>
      </c>
      <c r="BE1058" s="5" t="str">
        <f aca="false">IF($B1058="","",--(AND(F1058&lt;&gt;"",F1058&lt;=8))+--(AND(G1058&lt;&gt;"",G1058&lt;=8))+--(AND(H1058&lt;&gt;"",H1058&lt;=8))+--(AND(I1058&lt;&gt;"",I1058&lt;=8))+--(AND(J1058&lt;&gt;"",J1058&lt;=8))+--(AND(K1058&lt;&gt;"",K1058&lt;=8))+--(AND(L1058&lt;&gt;"",L1058&lt;=8))+--(AND(M1058&lt;&gt;"",M1058&lt;=8))+--(AND(N1058&lt;&gt;"",N1058&lt;=8))+--(AND(O1058&lt;&gt;"",O1058&lt;=8)))</f>
        <v/>
      </c>
    </row>
    <row r="1059" customFormat="false" ht="15" hidden="false" customHeight="false" outlineLevel="0" collapsed="false">
      <c r="AZ1059" s="5" t="str">
        <f aca="false">IF($B1059="","",SUMPRODUCT(($AL1059:$AO1059&lt;&gt;"")*(COUNTIF($AP1059:$AX1059,$AL1059:$AO1059)&gt;0)))</f>
        <v/>
      </c>
      <c r="BA1059" s="5" t="str">
        <f aca="false">IF($B1059="","",IF(AZ1059&gt;0,1,0))</f>
        <v/>
      </c>
      <c r="BB1059" s="5" t="str">
        <f aca="false">IF($AP1059="","",IF((($AP1059="Engineering and Technology")+($AP1059="Science and Mathematics")+($AP1059="Computer Science, IT and Allied Fields")+($AP1059="Life Sciences /Medicine and Healthcare")+($AP1059="Paramedical")+($AP1059="Architecture")+($AP1059="Environmental Service")+($AP1059="Agriculture, Food Industry and Forestry"))&gt;0,"Science",IF((($AP1059="Banking and Finance")+($AP1059="Management and Administration")+($AP1059="Marketing")+($AP1059="Sales")+($AP1059="Entrepreneurship")+($AP1059="Hospitality and Tourism"))&gt;0,"Commerce",IF((($AP1059="Social Sciences and Humanities")+($AP1059="Law Studies")+($AP1059="Education and Training")+($AP1059="Art, Design")+($AP1059="Entertainment and Mass Media")+($AP1059="Community and Social Service")+($AP1059="Personal Care and Services")+($AP1059="Government and Public Administration")+($AP1059="Defence/ Protective Service")+($AP1059="Sports"))&gt;0,"Arts / Humanities",""))))</f>
        <v/>
      </c>
      <c r="BC1059" s="5" t="str">
        <f aca="false">IF($AL1059="","",IF((($AL1059="Engineering and Technology")+($AL1059="Science and Mathematics")+($AL1059="Computer Science, IT and Allied Fields")+($AL1059="Life Sciences /Medicine and Healthcare")+($AL1059="Paramedical")+($AL1059="Architecture")+($AL1059="Environmental Service")+($AL1059="Agriculture, Food Industry and Forestry"))&gt;0,"Science",IF((($AL1059="Banking and Finance")+($AL1059="Management and Administration")+($AL1059="Marketing")+($AL1059="Sales")+($AL1059="Entrepreneurship")+($AL1059="Hospitality and Tourism"))&gt;0,"Commerce",IF((($AL1059="Social Sciences and Humanities")+($AL1059="Law Studies")+($AL1059="Education and Training")+($AL1059="Art, Design")+($AL1059="Entertainment and Mass Media")+($AL1059="Community and Social Service")+($AL1059="Personal Care and Services")+($AL1059="Government and Public Administration")+($AL1059="Defence/ Protective Service")+($AL1059="Sports"))&gt;0,"Arts / Humanities",""))))</f>
        <v/>
      </c>
      <c r="BD1059" s="5" t="str">
        <f aca="false">IF($B1059="","",--(F1059&gt;=10)+--(G1059&gt;=10)+--(H1059&gt;=10)+--(I1059&gt;=10)+--(J1059&gt;=10)+--(K1059&gt;=10)+--(L1059&gt;=10)+--(M1059&gt;=10)+--(N1059&gt;=10)+--(O1059&gt;=10))</f>
        <v/>
      </c>
      <c r="BE1059" s="5" t="str">
        <f aca="false">IF($B1059="","",--(AND(F1059&lt;&gt;"",F1059&lt;=8))+--(AND(G1059&lt;&gt;"",G1059&lt;=8))+--(AND(H1059&lt;&gt;"",H1059&lt;=8))+--(AND(I1059&lt;&gt;"",I1059&lt;=8))+--(AND(J1059&lt;&gt;"",J1059&lt;=8))+--(AND(K1059&lt;&gt;"",K1059&lt;=8))+--(AND(L1059&lt;&gt;"",L1059&lt;=8))+--(AND(M1059&lt;&gt;"",M1059&lt;=8))+--(AND(N1059&lt;&gt;"",N1059&lt;=8))+--(AND(O1059&lt;&gt;"",O1059&lt;=8)))</f>
        <v/>
      </c>
    </row>
    <row r="1060" customFormat="false" ht="15" hidden="false" customHeight="false" outlineLevel="0" collapsed="false">
      <c r="AZ1060" s="5" t="str">
        <f aca="false">IF($B1060="","",SUMPRODUCT(($AL1060:$AO1060&lt;&gt;"")*(COUNTIF($AP1060:$AX1060,$AL1060:$AO1060)&gt;0)))</f>
        <v/>
      </c>
      <c r="BA1060" s="5" t="str">
        <f aca="false">IF($B1060="","",IF(AZ1060&gt;0,1,0))</f>
        <v/>
      </c>
      <c r="BB1060" s="5" t="str">
        <f aca="false">IF($AP1060="","",IF((($AP1060="Engineering and Technology")+($AP1060="Science and Mathematics")+($AP1060="Computer Science, IT and Allied Fields")+($AP1060="Life Sciences /Medicine and Healthcare")+($AP1060="Paramedical")+($AP1060="Architecture")+($AP1060="Environmental Service")+($AP1060="Agriculture, Food Industry and Forestry"))&gt;0,"Science",IF((($AP1060="Banking and Finance")+($AP1060="Management and Administration")+($AP1060="Marketing")+($AP1060="Sales")+($AP1060="Entrepreneurship")+($AP1060="Hospitality and Tourism"))&gt;0,"Commerce",IF((($AP1060="Social Sciences and Humanities")+($AP1060="Law Studies")+($AP1060="Education and Training")+($AP1060="Art, Design")+($AP1060="Entertainment and Mass Media")+($AP1060="Community and Social Service")+($AP1060="Personal Care and Services")+($AP1060="Government and Public Administration")+($AP1060="Defence/ Protective Service")+($AP1060="Sports"))&gt;0,"Arts / Humanities",""))))</f>
        <v/>
      </c>
      <c r="BC1060" s="5" t="str">
        <f aca="false">IF($AL1060="","",IF((($AL1060="Engineering and Technology")+($AL1060="Science and Mathematics")+($AL1060="Computer Science, IT and Allied Fields")+($AL1060="Life Sciences /Medicine and Healthcare")+($AL1060="Paramedical")+($AL1060="Architecture")+($AL1060="Environmental Service")+($AL1060="Agriculture, Food Industry and Forestry"))&gt;0,"Science",IF((($AL1060="Banking and Finance")+($AL1060="Management and Administration")+($AL1060="Marketing")+($AL1060="Sales")+($AL1060="Entrepreneurship")+($AL1060="Hospitality and Tourism"))&gt;0,"Commerce",IF((($AL1060="Social Sciences and Humanities")+($AL1060="Law Studies")+($AL1060="Education and Training")+($AL1060="Art, Design")+($AL1060="Entertainment and Mass Media")+($AL1060="Community and Social Service")+($AL1060="Personal Care and Services")+($AL1060="Government and Public Administration")+($AL1060="Defence/ Protective Service")+($AL1060="Sports"))&gt;0,"Arts / Humanities",""))))</f>
        <v/>
      </c>
      <c r="BD1060" s="5" t="str">
        <f aca="false">IF($B1060="","",--(F1060&gt;=10)+--(G1060&gt;=10)+--(H1060&gt;=10)+--(I1060&gt;=10)+--(J1060&gt;=10)+--(K1060&gt;=10)+--(L1060&gt;=10)+--(M1060&gt;=10)+--(N1060&gt;=10)+--(O1060&gt;=10))</f>
        <v/>
      </c>
      <c r="BE1060" s="5" t="str">
        <f aca="false">IF($B1060="","",--(AND(F1060&lt;&gt;"",F1060&lt;=8))+--(AND(G1060&lt;&gt;"",G1060&lt;=8))+--(AND(H1060&lt;&gt;"",H1060&lt;=8))+--(AND(I1060&lt;&gt;"",I1060&lt;=8))+--(AND(J1060&lt;&gt;"",J1060&lt;=8))+--(AND(K1060&lt;&gt;"",K1060&lt;=8))+--(AND(L1060&lt;&gt;"",L1060&lt;=8))+--(AND(M1060&lt;&gt;"",M1060&lt;=8))+--(AND(N1060&lt;&gt;"",N1060&lt;=8))+--(AND(O1060&lt;&gt;"",O1060&lt;=8)))</f>
        <v/>
      </c>
    </row>
    <row r="1061" customFormat="false" ht="15" hidden="false" customHeight="false" outlineLevel="0" collapsed="false">
      <c r="AZ1061" s="5" t="str">
        <f aca="false">IF($B1061="","",SUMPRODUCT(($AL1061:$AO1061&lt;&gt;"")*(COUNTIF($AP1061:$AX1061,$AL1061:$AO1061)&gt;0)))</f>
        <v/>
      </c>
      <c r="BA1061" s="5" t="str">
        <f aca="false">IF($B1061="","",IF(AZ1061&gt;0,1,0))</f>
        <v/>
      </c>
      <c r="BB1061" s="5" t="str">
        <f aca="false">IF($AP1061="","",IF((($AP1061="Engineering and Technology")+($AP1061="Science and Mathematics")+($AP1061="Computer Science, IT and Allied Fields")+($AP1061="Life Sciences /Medicine and Healthcare")+($AP1061="Paramedical")+($AP1061="Architecture")+($AP1061="Environmental Service")+($AP1061="Agriculture, Food Industry and Forestry"))&gt;0,"Science",IF((($AP1061="Banking and Finance")+($AP1061="Management and Administration")+($AP1061="Marketing")+($AP1061="Sales")+($AP1061="Entrepreneurship")+($AP1061="Hospitality and Tourism"))&gt;0,"Commerce",IF((($AP1061="Social Sciences and Humanities")+($AP1061="Law Studies")+($AP1061="Education and Training")+($AP1061="Art, Design")+($AP1061="Entertainment and Mass Media")+($AP1061="Community and Social Service")+($AP1061="Personal Care and Services")+($AP1061="Government and Public Administration")+($AP1061="Defence/ Protective Service")+($AP1061="Sports"))&gt;0,"Arts / Humanities",""))))</f>
        <v/>
      </c>
      <c r="BC1061" s="5" t="str">
        <f aca="false">IF($AL1061="","",IF((($AL1061="Engineering and Technology")+($AL1061="Science and Mathematics")+($AL1061="Computer Science, IT and Allied Fields")+($AL1061="Life Sciences /Medicine and Healthcare")+($AL1061="Paramedical")+($AL1061="Architecture")+($AL1061="Environmental Service")+($AL1061="Agriculture, Food Industry and Forestry"))&gt;0,"Science",IF((($AL1061="Banking and Finance")+($AL1061="Management and Administration")+($AL1061="Marketing")+($AL1061="Sales")+($AL1061="Entrepreneurship")+($AL1061="Hospitality and Tourism"))&gt;0,"Commerce",IF((($AL1061="Social Sciences and Humanities")+($AL1061="Law Studies")+($AL1061="Education and Training")+($AL1061="Art, Design")+($AL1061="Entertainment and Mass Media")+($AL1061="Community and Social Service")+($AL1061="Personal Care and Services")+($AL1061="Government and Public Administration")+($AL1061="Defence/ Protective Service")+($AL1061="Sports"))&gt;0,"Arts / Humanities",""))))</f>
        <v/>
      </c>
      <c r="BD1061" s="5" t="str">
        <f aca="false">IF($B1061="","",--(F1061&gt;=10)+--(G1061&gt;=10)+--(H1061&gt;=10)+--(I1061&gt;=10)+--(J1061&gt;=10)+--(K1061&gt;=10)+--(L1061&gt;=10)+--(M1061&gt;=10)+--(N1061&gt;=10)+--(O1061&gt;=10))</f>
        <v/>
      </c>
      <c r="BE1061" s="5" t="str">
        <f aca="false">IF($B1061="","",--(AND(F1061&lt;&gt;"",F1061&lt;=8))+--(AND(G1061&lt;&gt;"",G1061&lt;=8))+--(AND(H1061&lt;&gt;"",H1061&lt;=8))+--(AND(I1061&lt;&gt;"",I1061&lt;=8))+--(AND(J1061&lt;&gt;"",J1061&lt;=8))+--(AND(K1061&lt;&gt;"",K1061&lt;=8))+--(AND(L1061&lt;&gt;"",L1061&lt;=8))+--(AND(M1061&lt;&gt;"",M1061&lt;=8))+--(AND(N1061&lt;&gt;"",N1061&lt;=8))+--(AND(O1061&lt;&gt;"",O1061&lt;=8)))</f>
        <v/>
      </c>
    </row>
    <row r="1062" customFormat="false" ht="15" hidden="false" customHeight="false" outlineLevel="0" collapsed="false">
      <c r="AZ1062" s="5" t="str">
        <f aca="false">IF($B1062="","",SUMPRODUCT(($AL1062:$AO1062&lt;&gt;"")*(COUNTIF($AP1062:$AX1062,$AL1062:$AO1062)&gt;0)))</f>
        <v/>
      </c>
      <c r="BA1062" s="5" t="str">
        <f aca="false">IF($B1062="","",IF(AZ1062&gt;0,1,0))</f>
        <v/>
      </c>
      <c r="BB1062" s="5" t="str">
        <f aca="false">IF($AP1062="","",IF((($AP1062="Engineering and Technology")+($AP1062="Science and Mathematics")+($AP1062="Computer Science, IT and Allied Fields")+($AP1062="Life Sciences /Medicine and Healthcare")+($AP1062="Paramedical")+($AP1062="Architecture")+($AP1062="Environmental Service")+($AP1062="Agriculture, Food Industry and Forestry"))&gt;0,"Science",IF((($AP1062="Banking and Finance")+($AP1062="Management and Administration")+($AP1062="Marketing")+($AP1062="Sales")+($AP1062="Entrepreneurship")+($AP1062="Hospitality and Tourism"))&gt;0,"Commerce",IF((($AP1062="Social Sciences and Humanities")+($AP1062="Law Studies")+($AP1062="Education and Training")+($AP1062="Art, Design")+($AP1062="Entertainment and Mass Media")+($AP1062="Community and Social Service")+($AP1062="Personal Care and Services")+($AP1062="Government and Public Administration")+($AP1062="Defence/ Protective Service")+($AP1062="Sports"))&gt;0,"Arts / Humanities",""))))</f>
        <v/>
      </c>
      <c r="BC1062" s="5" t="str">
        <f aca="false">IF($AL1062="","",IF((($AL1062="Engineering and Technology")+($AL1062="Science and Mathematics")+($AL1062="Computer Science, IT and Allied Fields")+($AL1062="Life Sciences /Medicine and Healthcare")+($AL1062="Paramedical")+($AL1062="Architecture")+($AL1062="Environmental Service")+($AL1062="Agriculture, Food Industry and Forestry"))&gt;0,"Science",IF((($AL1062="Banking and Finance")+($AL1062="Management and Administration")+($AL1062="Marketing")+($AL1062="Sales")+($AL1062="Entrepreneurship")+($AL1062="Hospitality and Tourism"))&gt;0,"Commerce",IF((($AL1062="Social Sciences and Humanities")+($AL1062="Law Studies")+($AL1062="Education and Training")+($AL1062="Art, Design")+($AL1062="Entertainment and Mass Media")+($AL1062="Community and Social Service")+($AL1062="Personal Care and Services")+($AL1062="Government and Public Administration")+($AL1062="Defence/ Protective Service")+($AL1062="Sports"))&gt;0,"Arts / Humanities",""))))</f>
        <v/>
      </c>
      <c r="BD1062" s="5" t="str">
        <f aca="false">IF($B1062="","",--(F1062&gt;=10)+--(G1062&gt;=10)+--(H1062&gt;=10)+--(I1062&gt;=10)+--(J1062&gt;=10)+--(K1062&gt;=10)+--(L1062&gt;=10)+--(M1062&gt;=10)+--(N1062&gt;=10)+--(O1062&gt;=10))</f>
        <v/>
      </c>
      <c r="BE1062" s="5" t="str">
        <f aca="false">IF($B1062="","",--(AND(F1062&lt;&gt;"",F1062&lt;=8))+--(AND(G1062&lt;&gt;"",G1062&lt;=8))+--(AND(H1062&lt;&gt;"",H1062&lt;=8))+--(AND(I1062&lt;&gt;"",I1062&lt;=8))+--(AND(J1062&lt;&gt;"",J1062&lt;=8))+--(AND(K1062&lt;&gt;"",K1062&lt;=8))+--(AND(L1062&lt;&gt;"",L1062&lt;=8))+--(AND(M1062&lt;&gt;"",M1062&lt;=8))+--(AND(N1062&lt;&gt;"",N1062&lt;=8))+--(AND(O1062&lt;&gt;"",O1062&lt;=8)))</f>
        <v/>
      </c>
    </row>
    <row r="1063" customFormat="false" ht="15" hidden="false" customHeight="false" outlineLevel="0" collapsed="false">
      <c r="AZ1063" s="5" t="str">
        <f aca="false">IF($B1063="","",SUMPRODUCT(($AL1063:$AO1063&lt;&gt;"")*(COUNTIF($AP1063:$AX1063,$AL1063:$AO1063)&gt;0)))</f>
        <v/>
      </c>
      <c r="BA1063" s="5" t="str">
        <f aca="false">IF($B1063="","",IF(AZ1063&gt;0,1,0))</f>
        <v/>
      </c>
      <c r="BB1063" s="5" t="str">
        <f aca="false">IF($AP1063="","",IF((($AP1063="Engineering and Technology")+($AP1063="Science and Mathematics")+($AP1063="Computer Science, IT and Allied Fields")+($AP1063="Life Sciences /Medicine and Healthcare")+($AP1063="Paramedical")+($AP1063="Architecture")+($AP1063="Environmental Service")+($AP1063="Agriculture, Food Industry and Forestry"))&gt;0,"Science",IF((($AP1063="Banking and Finance")+($AP1063="Management and Administration")+($AP1063="Marketing")+($AP1063="Sales")+($AP1063="Entrepreneurship")+($AP1063="Hospitality and Tourism"))&gt;0,"Commerce",IF((($AP1063="Social Sciences and Humanities")+($AP1063="Law Studies")+($AP1063="Education and Training")+($AP1063="Art, Design")+($AP1063="Entertainment and Mass Media")+($AP1063="Community and Social Service")+($AP1063="Personal Care and Services")+($AP1063="Government and Public Administration")+($AP1063="Defence/ Protective Service")+($AP1063="Sports"))&gt;0,"Arts / Humanities",""))))</f>
        <v/>
      </c>
      <c r="BC1063" s="5" t="str">
        <f aca="false">IF($AL1063="","",IF((($AL1063="Engineering and Technology")+($AL1063="Science and Mathematics")+($AL1063="Computer Science, IT and Allied Fields")+($AL1063="Life Sciences /Medicine and Healthcare")+($AL1063="Paramedical")+($AL1063="Architecture")+($AL1063="Environmental Service")+($AL1063="Agriculture, Food Industry and Forestry"))&gt;0,"Science",IF((($AL1063="Banking and Finance")+($AL1063="Management and Administration")+($AL1063="Marketing")+($AL1063="Sales")+($AL1063="Entrepreneurship")+($AL1063="Hospitality and Tourism"))&gt;0,"Commerce",IF((($AL1063="Social Sciences and Humanities")+($AL1063="Law Studies")+($AL1063="Education and Training")+($AL1063="Art, Design")+($AL1063="Entertainment and Mass Media")+($AL1063="Community and Social Service")+($AL1063="Personal Care and Services")+($AL1063="Government and Public Administration")+($AL1063="Defence/ Protective Service")+($AL1063="Sports"))&gt;0,"Arts / Humanities",""))))</f>
        <v/>
      </c>
      <c r="BD1063" s="5" t="str">
        <f aca="false">IF($B1063="","",--(F1063&gt;=10)+--(G1063&gt;=10)+--(H1063&gt;=10)+--(I1063&gt;=10)+--(J1063&gt;=10)+--(K1063&gt;=10)+--(L1063&gt;=10)+--(M1063&gt;=10)+--(N1063&gt;=10)+--(O1063&gt;=10))</f>
        <v/>
      </c>
      <c r="BE1063" s="5" t="str">
        <f aca="false">IF($B1063="","",--(AND(F1063&lt;&gt;"",F1063&lt;=8))+--(AND(G1063&lt;&gt;"",G1063&lt;=8))+--(AND(H1063&lt;&gt;"",H1063&lt;=8))+--(AND(I1063&lt;&gt;"",I1063&lt;=8))+--(AND(J1063&lt;&gt;"",J1063&lt;=8))+--(AND(K1063&lt;&gt;"",K1063&lt;=8))+--(AND(L1063&lt;&gt;"",L1063&lt;=8))+--(AND(M1063&lt;&gt;"",M1063&lt;=8))+--(AND(N1063&lt;&gt;"",N1063&lt;=8))+--(AND(O1063&lt;&gt;"",O1063&lt;=8)))</f>
        <v/>
      </c>
    </row>
    <row r="1064" customFormat="false" ht="15" hidden="false" customHeight="false" outlineLevel="0" collapsed="false">
      <c r="AZ1064" s="5" t="str">
        <f aca="false">IF($B1064="","",SUMPRODUCT(($AL1064:$AO1064&lt;&gt;"")*(COUNTIF($AP1064:$AX1064,$AL1064:$AO1064)&gt;0)))</f>
        <v/>
      </c>
      <c r="BA1064" s="5" t="str">
        <f aca="false">IF($B1064="","",IF(AZ1064&gt;0,1,0))</f>
        <v/>
      </c>
      <c r="BB1064" s="5" t="str">
        <f aca="false">IF($AP1064="","",IF((($AP1064="Engineering and Technology")+($AP1064="Science and Mathematics")+($AP1064="Computer Science, IT and Allied Fields")+($AP1064="Life Sciences /Medicine and Healthcare")+($AP1064="Paramedical")+($AP1064="Architecture")+($AP1064="Environmental Service")+($AP1064="Agriculture, Food Industry and Forestry"))&gt;0,"Science",IF((($AP1064="Banking and Finance")+($AP1064="Management and Administration")+($AP1064="Marketing")+($AP1064="Sales")+($AP1064="Entrepreneurship")+($AP1064="Hospitality and Tourism"))&gt;0,"Commerce",IF((($AP1064="Social Sciences and Humanities")+($AP1064="Law Studies")+($AP1064="Education and Training")+($AP1064="Art, Design")+($AP1064="Entertainment and Mass Media")+($AP1064="Community and Social Service")+($AP1064="Personal Care and Services")+($AP1064="Government and Public Administration")+($AP1064="Defence/ Protective Service")+($AP1064="Sports"))&gt;0,"Arts / Humanities",""))))</f>
        <v/>
      </c>
      <c r="BC1064" s="5" t="str">
        <f aca="false">IF($AL1064="","",IF((($AL1064="Engineering and Technology")+($AL1064="Science and Mathematics")+($AL1064="Computer Science, IT and Allied Fields")+($AL1064="Life Sciences /Medicine and Healthcare")+($AL1064="Paramedical")+($AL1064="Architecture")+($AL1064="Environmental Service")+($AL1064="Agriculture, Food Industry and Forestry"))&gt;0,"Science",IF((($AL1064="Banking and Finance")+($AL1064="Management and Administration")+($AL1064="Marketing")+($AL1064="Sales")+($AL1064="Entrepreneurship")+($AL1064="Hospitality and Tourism"))&gt;0,"Commerce",IF((($AL1064="Social Sciences and Humanities")+($AL1064="Law Studies")+($AL1064="Education and Training")+($AL1064="Art, Design")+($AL1064="Entertainment and Mass Media")+($AL1064="Community and Social Service")+($AL1064="Personal Care and Services")+($AL1064="Government and Public Administration")+($AL1064="Defence/ Protective Service")+($AL1064="Sports"))&gt;0,"Arts / Humanities",""))))</f>
        <v/>
      </c>
      <c r="BD1064" s="5" t="str">
        <f aca="false">IF($B1064="","",--(F1064&gt;=10)+--(G1064&gt;=10)+--(H1064&gt;=10)+--(I1064&gt;=10)+--(J1064&gt;=10)+--(K1064&gt;=10)+--(L1064&gt;=10)+--(M1064&gt;=10)+--(N1064&gt;=10)+--(O1064&gt;=10))</f>
        <v/>
      </c>
      <c r="BE1064" s="5" t="str">
        <f aca="false">IF($B1064="","",--(AND(F1064&lt;&gt;"",F1064&lt;=8))+--(AND(G1064&lt;&gt;"",G1064&lt;=8))+--(AND(H1064&lt;&gt;"",H1064&lt;=8))+--(AND(I1064&lt;&gt;"",I1064&lt;=8))+--(AND(J1064&lt;&gt;"",J1064&lt;=8))+--(AND(K1064&lt;&gt;"",K1064&lt;=8))+--(AND(L1064&lt;&gt;"",L1064&lt;=8))+--(AND(M1064&lt;&gt;"",M1064&lt;=8))+--(AND(N1064&lt;&gt;"",N1064&lt;=8))+--(AND(O1064&lt;&gt;"",O1064&lt;=8)))</f>
        <v/>
      </c>
    </row>
    <row r="1065" customFormat="false" ht="15" hidden="false" customHeight="false" outlineLevel="0" collapsed="false">
      <c r="AZ1065" s="5" t="str">
        <f aca="false">IF($B1065="","",SUMPRODUCT(($AL1065:$AO1065&lt;&gt;"")*(COUNTIF($AP1065:$AX1065,$AL1065:$AO1065)&gt;0)))</f>
        <v/>
      </c>
      <c r="BA1065" s="5" t="str">
        <f aca="false">IF($B1065="","",IF(AZ1065&gt;0,1,0))</f>
        <v/>
      </c>
      <c r="BB1065" s="5" t="str">
        <f aca="false">IF($AP1065="","",IF((($AP1065="Engineering and Technology")+($AP1065="Science and Mathematics")+($AP1065="Computer Science, IT and Allied Fields")+($AP1065="Life Sciences /Medicine and Healthcare")+($AP1065="Paramedical")+($AP1065="Architecture")+($AP1065="Environmental Service")+($AP1065="Agriculture, Food Industry and Forestry"))&gt;0,"Science",IF((($AP1065="Banking and Finance")+($AP1065="Management and Administration")+($AP1065="Marketing")+($AP1065="Sales")+($AP1065="Entrepreneurship")+($AP1065="Hospitality and Tourism"))&gt;0,"Commerce",IF((($AP1065="Social Sciences and Humanities")+($AP1065="Law Studies")+($AP1065="Education and Training")+($AP1065="Art, Design")+($AP1065="Entertainment and Mass Media")+($AP1065="Community and Social Service")+($AP1065="Personal Care and Services")+($AP1065="Government and Public Administration")+($AP1065="Defence/ Protective Service")+($AP1065="Sports"))&gt;0,"Arts / Humanities",""))))</f>
        <v/>
      </c>
      <c r="BC1065" s="5" t="str">
        <f aca="false">IF($AL1065="","",IF((($AL1065="Engineering and Technology")+($AL1065="Science and Mathematics")+($AL1065="Computer Science, IT and Allied Fields")+($AL1065="Life Sciences /Medicine and Healthcare")+($AL1065="Paramedical")+($AL1065="Architecture")+($AL1065="Environmental Service")+($AL1065="Agriculture, Food Industry and Forestry"))&gt;0,"Science",IF((($AL1065="Banking and Finance")+($AL1065="Management and Administration")+($AL1065="Marketing")+($AL1065="Sales")+($AL1065="Entrepreneurship")+($AL1065="Hospitality and Tourism"))&gt;0,"Commerce",IF((($AL1065="Social Sciences and Humanities")+($AL1065="Law Studies")+($AL1065="Education and Training")+($AL1065="Art, Design")+($AL1065="Entertainment and Mass Media")+($AL1065="Community and Social Service")+($AL1065="Personal Care and Services")+($AL1065="Government and Public Administration")+($AL1065="Defence/ Protective Service")+($AL1065="Sports"))&gt;0,"Arts / Humanities",""))))</f>
        <v/>
      </c>
      <c r="BD1065" s="5" t="str">
        <f aca="false">IF($B1065="","",--(F1065&gt;=10)+--(G1065&gt;=10)+--(H1065&gt;=10)+--(I1065&gt;=10)+--(J1065&gt;=10)+--(K1065&gt;=10)+--(L1065&gt;=10)+--(M1065&gt;=10)+--(N1065&gt;=10)+--(O1065&gt;=10))</f>
        <v/>
      </c>
      <c r="BE1065" s="5" t="str">
        <f aca="false">IF($B1065="","",--(AND(F1065&lt;&gt;"",F1065&lt;=8))+--(AND(G1065&lt;&gt;"",G1065&lt;=8))+--(AND(H1065&lt;&gt;"",H1065&lt;=8))+--(AND(I1065&lt;&gt;"",I1065&lt;=8))+--(AND(J1065&lt;&gt;"",J1065&lt;=8))+--(AND(K1065&lt;&gt;"",K1065&lt;=8))+--(AND(L1065&lt;&gt;"",L1065&lt;=8))+--(AND(M1065&lt;&gt;"",M1065&lt;=8))+--(AND(N1065&lt;&gt;"",N1065&lt;=8))+--(AND(O1065&lt;&gt;"",O1065&lt;=8)))</f>
        <v/>
      </c>
    </row>
    <row r="1066" customFormat="false" ht="15" hidden="false" customHeight="false" outlineLevel="0" collapsed="false">
      <c r="AZ1066" s="5" t="str">
        <f aca="false">IF($B1066="","",SUMPRODUCT(($AL1066:$AO1066&lt;&gt;"")*(COUNTIF($AP1066:$AX1066,$AL1066:$AO1066)&gt;0)))</f>
        <v/>
      </c>
      <c r="BA1066" s="5" t="str">
        <f aca="false">IF($B1066="","",IF(AZ1066&gt;0,1,0))</f>
        <v/>
      </c>
      <c r="BB1066" s="5" t="str">
        <f aca="false">IF($AP1066="","",IF((($AP1066="Engineering and Technology")+($AP1066="Science and Mathematics")+($AP1066="Computer Science, IT and Allied Fields")+($AP1066="Life Sciences /Medicine and Healthcare")+($AP1066="Paramedical")+($AP1066="Architecture")+($AP1066="Environmental Service")+($AP1066="Agriculture, Food Industry and Forestry"))&gt;0,"Science",IF((($AP1066="Banking and Finance")+($AP1066="Management and Administration")+($AP1066="Marketing")+($AP1066="Sales")+($AP1066="Entrepreneurship")+($AP1066="Hospitality and Tourism"))&gt;0,"Commerce",IF((($AP1066="Social Sciences and Humanities")+($AP1066="Law Studies")+($AP1066="Education and Training")+($AP1066="Art, Design")+($AP1066="Entertainment and Mass Media")+($AP1066="Community and Social Service")+($AP1066="Personal Care and Services")+($AP1066="Government and Public Administration")+($AP1066="Defence/ Protective Service")+($AP1066="Sports"))&gt;0,"Arts / Humanities",""))))</f>
        <v/>
      </c>
      <c r="BC1066" s="5" t="str">
        <f aca="false">IF($AL1066="","",IF((($AL1066="Engineering and Technology")+($AL1066="Science and Mathematics")+($AL1066="Computer Science, IT and Allied Fields")+($AL1066="Life Sciences /Medicine and Healthcare")+($AL1066="Paramedical")+($AL1066="Architecture")+($AL1066="Environmental Service")+($AL1066="Agriculture, Food Industry and Forestry"))&gt;0,"Science",IF((($AL1066="Banking and Finance")+($AL1066="Management and Administration")+($AL1066="Marketing")+($AL1066="Sales")+($AL1066="Entrepreneurship")+($AL1066="Hospitality and Tourism"))&gt;0,"Commerce",IF((($AL1066="Social Sciences and Humanities")+($AL1066="Law Studies")+($AL1066="Education and Training")+($AL1066="Art, Design")+($AL1066="Entertainment and Mass Media")+($AL1066="Community and Social Service")+($AL1066="Personal Care and Services")+($AL1066="Government and Public Administration")+($AL1066="Defence/ Protective Service")+($AL1066="Sports"))&gt;0,"Arts / Humanities",""))))</f>
        <v/>
      </c>
      <c r="BD1066" s="5" t="str">
        <f aca="false">IF($B1066="","",--(F1066&gt;=10)+--(G1066&gt;=10)+--(H1066&gt;=10)+--(I1066&gt;=10)+--(J1066&gt;=10)+--(K1066&gt;=10)+--(L1066&gt;=10)+--(M1066&gt;=10)+--(N1066&gt;=10)+--(O1066&gt;=10))</f>
        <v/>
      </c>
      <c r="BE1066" s="5" t="str">
        <f aca="false">IF($B1066="","",--(AND(F1066&lt;&gt;"",F1066&lt;=8))+--(AND(G1066&lt;&gt;"",G1066&lt;=8))+--(AND(H1066&lt;&gt;"",H1066&lt;=8))+--(AND(I1066&lt;&gt;"",I1066&lt;=8))+--(AND(J1066&lt;&gt;"",J1066&lt;=8))+--(AND(K1066&lt;&gt;"",K1066&lt;=8))+--(AND(L1066&lt;&gt;"",L1066&lt;=8))+--(AND(M1066&lt;&gt;"",M1066&lt;=8))+--(AND(N1066&lt;&gt;"",N1066&lt;=8))+--(AND(O1066&lt;&gt;"",O1066&lt;=8)))</f>
        <v/>
      </c>
    </row>
    <row r="1067" customFormat="false" ht="15" hidden="false" customHeight="false" outlineLevel="0" collapsed="false">
      <c r="AZ1067" s="5" t="str">
        <f aca="false">IF($B1067="","",SUMPRODUCT(($AL1067:$AO1067&lt;&gt;"")*(COUNTIF($AP1067:$AX1067,$AL1067:$AO1067)&gt;0)))</f>
        <v/>
      </c>
      <c r="BA1067" s="5" t="str">
        <f aca="false">IF($B1067="","",IF(AZ1067&gt;0,1,0))</f>
        <v/>
      </c>
      <c r="BB1067" s="5" t="str">
        <f aca="false">IF($AP1067="","",IF((($AP1067="Engineering and Technology")+($AP1067="Science and Mathematics")+($AP1067="Computer Science, IT and Allied Fields")+($AP1067="Life Sciences /Medicine and Healthcare")+($AP1067="Paramedical")+($AP1067="Architecture")+($AP1067="Environmental Service")+($AP1067="Agriculture, Food Industry and Forestry"))&gt;0,"Science",IF((($AP1067="Banking and Finance")+($AP1067="Management and Administration")+($AP1067="Marketing")+($AP1067="Sales")+($AP1067="Entrepreneurship")+($AP1067="Hospitality and Tourism"))&gt;0,"Commerce",IF((($AP1067="Social Sciences and Humanities")+($AP1067="Law Studies")+($AP1067="Education and Training")+($AP1067="Art, Design")+($AP1067="Entertainment and Mass Media")+($AP1067="Community and Social Service")+($AP1067="Personal Care and Services")+($AP1067="Government and Public Administration")+($AP1067="Defence/ Protective Service")+($AP1067="Sports"))&gt;0,"Arts / Humanities",""))))</f>
        <v/>
      </c>
      <c r="BC1067" s="5" t="str">
        <f aca="false">IF($AL1067="","",IF((($AL1067="Engineering and Technology")+($AL1067="Science and Mathematics")+($AL1067="Computer Science, IT and Allied Fields")+($AL1067="Life Sciences /Medicine and Healthcare")+($AL1067="Paramedical")+($AL1067="Architecture")+($AL1067="Environmental Service")+($AL1067="Agriculture, Food Industry and Forestry"))&gt;0,"Science",IF((($AL1067="Banking and Finance")+($AL1067="Management and Administration")+($AL1067="Marketing")+($AL1067="Sales")+($AL1067="Entrepreneurship")+($AL1067="Hospitality and Tourism"))&gt;0,"Commerce",IF((($AL1067="Social Sciences and Humanities")+($AL1067="Law Studies")+($AL1067="Education and Training")+($AL1067="Art, Design")+($AL1067="Entertainment and Mass Media")+($AL1067="Community and Social Service")+($AL1067="Personal Care and Services")+($AL1067="Government and Public Administration")+($AL1067="Defence/ Protective Service")+($AL1067="Sports"))&gt;0,"Arts / Humanities",""))))</f>
        <v/>
      </c>
      <c r="BD1067" s="5" t="str">
        <f aca="false">IF($B1067="","",--(F1067&gt;=10)+--(G1067&gt;=10)+--(H1067&gt;=10)+--(I1067&gt;=10)+--(J1067&gt;=10)+--(K1067&gt;=10)+--(L1067&gt;=10)+--(M1067&gt;=10)+--(N1067&gt;=10)+--(O1067&gt;=10))</f>
        <v/>
      </c>
      <c r="BE1067" s="5" t="str">
        <f aca="false">IF($B1067="","",--(AND(F1067&lt;&gt;"",F1067&lt;=8))+--(AND(G1067&lt;&gt;"",G1067&lt;=8))+--(AND(H1067&lt;&gt;"",H1067&lt;=8))+--(AND(I1067&lt;&gt;"",I1067&lt;=8))+--(AND(J1067&lt;&gt;"",J1067&lt;=8))+--(AND(K1067&lt;&gt;"",K1067&lt;=8))+--(AND(L1067&lt;&gt;"",L1067&lt;=8))+--(AND(M1067&lt;&gt;"",M1067&lt;=8))+--(AND(N1067&lt;&gt;"",N1067&lt;=8))+--(AND(O1067&lt;&gt;"",O1067&lt;=8)))</f>
        <v/>
      </c>
    </row>
    <row r="1068" customFormat="false" ht="15" hidden="false" customHeight="false" outlineLevel="0" collapsed="false">
      <c r="AZ1068" s="5" t="str">
        <f aca="false">IF($B1068="","",SUMPRODUCT(($AL1068:$AO1068&lt;&gt;"")*(COUNTIF($AP1068:$AX1068,$AL1068:$AO1068)&gt;0)))</f>
        <v/>
      </c>
      <c r="BA1068" s="5" t="str">
        <f aca="false">IF($B1068="","",IF(AZ1068&gt;0,1,0))</f>
        <v/>
      </c>
      <c r="BB1068" s="5" t="str">
        <f aca="false">IF($AP1068="","",IF((($AP1068="Engineering and Technology")+($AP1068="Science and Mathematics")+($AP1068="Computer Science, IT and Allied Fields")+($AP1068="Life Sciences /Medicine and Healthcare")+($AP1068="Paramedical")+($AP1068="Architecture")+($AP1068="Environmental Service")+($AP1068="Agriculture, Food Industry and Forestry"))&gt;0,"Science",IF((($AP1068="Banking and Finance")+($AP1068="Management and Administration")+($AP1068="Marketing")+($AP1068="Sales")+($AP1068="Entrepreneurship")+($AP1068="Hospitality and Tourism"))&gt;0,"Commerce",IF((($AP1068="Social Sciences and Humanities")+($AP1068="Law Studies")+($AP1068="Education and Training")+($AP1068="Art, Design")+($AP1068="Entertainment and Mass Media")+($AP1068="Community and Social Service")+($AP1068="Personal Care and Services")+($AP1068="Government and Public Administration")+($AP1068="Defence/ Protective Service")+($AP1068="Sports"))&gt;0,"Arts / Humanities",""))))</f>
        <v/>
      </c>
      <c r="BC1068" s="5" t="str">
        <f aca="false">IF($AL1068="","",IF((($AL1068="Engineering and Technology")+($AL1068="Science and Mathematics")+($AL1068="Computer Science, IT and Allied Fields")+($AL1068="Life Sciences /Medicine and Healthcare")+($AL1068="Paramedical")+($AL1068="Architecture")+($AL1068="Environmental Service")+($AL1068="Agriculture, Food Industry and Forestry"))&gt;0,"Science",IF((($AL1068="Banking and Finance")+($AL1068="Management and Administration")+($AL1068="Marketing")+($AL1068="Sales")+($AL1068="Entrepreneurship")+($AL1068="Hospitality and Tourism"))&gt;0,"Commerce",IF((($AL1068="Social Sciences and Humanities")+($AL1068="Law Studies")+($AL1068="Education and Training")+($AL1068="Art, Design")+($AL1068="Entertainment and Mass Media")+($AL1068="Community and Social Service")+($AL1068="Personal Care and Services")+($AL1068="Government and Public Administration")+($AL1068="Defence/ Protective Service")+($AL1068="Sports"))&gt;0,"Arts / Humanities",""))))</f>
        <v/>
      </c>
      <c r="BD1068" s="5" t="str">
        <f aca="false">IF($B1068="","",--(F1068&gt;=10)+--(G1068&gt;=10)+--(H1068&gt;=10)+--(I1068&gt;=10)+--(J1068&gt;=10)+--(K1068&gt;=10)+--(L1068&gt;=10)+--(M1068&gt;=10)+--(N1068&gt;=10)+--(O1068&gt;=10))</f>
        <v/>
      </c>
      <c r="BE1068" s="5" t="str">
        <f aca="false">IF($B1068="","",--(AND(F1068&lt;&gt;"",F1068&lt;=8))+--(AND(G1068&lt;&gt;"",G1068&lt;=8))+--(AND(H1068&lt;&gt;"",H1068&lt;=8))+--(AND(I1068&lt;&gt;"",I1068&lt;=8))+--(AND(J1068&lt;&gt;"",J1068&lt;=8))+--(AND(K1068&lt;&gt;"",K1068&lt;=8))+--(AND(L1068&lt;&gt;"",L1068&lt;=8))+--(AND(M1068&lt;&gt;"",M1068&lt;=8))+--(AND(N1068&lt;&gt;"",N1068&lt;=8))+--(AND(O1068&lt;&gt;"",O1068&lt;=8)))</f>
        <v/>
      </c>
    </row>
    <row r="1069" customFormat="false" ht="15" hidden="false" customHeight="false" outlineLevel="0" collapsed="false">
      <c r="AZ1069" s="5" t="str">
        <f aca="false">IF($B1069="","",SUMPRODUCT(($AL1069:$AO1069&lt;&gt;"")*(COUNTIF($AP1069:$AX1069,$AL1069:$AO1069)&gt;0)))</f>
        <v/>
      </c>
      <c r="BA1069" s="5" t="str">
        <f aca="false">IF($B1069="","",IF(AZ1069&gt;0,1,0))</f>
        <v/>
      </c>
      <c r="BB1069" s="5" t="str">
        <f aca="false">IF($AP1069="","",IF((($AP1069="Engineering and Technology")+($AP1069="Science and Mathematics")+($AP1069="Computer Science, IT and Allied Fields")+($AP1069="Life Sciences /Medicine and Healthcare")+($AP1069="Paramedical")+($AP1069="Architecture")+($AP1069="Environmental Service")+($AP1069="Agriculture, Food Industry and Forestry"))&gt;0,"Science",IF((($AP1069="Banking and Finance")+($AP1069="Management and Administration")+($AP1069="Marketing")+($AP1069="Sales")+($AP1069="Entrepreneurship")+($AP1069="Hospitality and Tourism"))&gt;0,"Commerce",IF((($AP1069="Social Sciences and Humanities")+($AP1069="Law Studies")+($AP1069="Education and Training")+($AP1069="Art, Design")+($AP1069="Entertainment and Mass Media")+($AP1069="Community and Social Service")+($AP1069="Personal Care and Services")+($AP1069="Government and Public Administration")+($AP1069="Defence/ Protective Service")+($AP1069="Sports"))&gt;0,"Arts / Humanities",""))))</f>
        <v/>
      </c>
      <c r="BC1069" s="5" t="str">
        <f aca="false">IF($AL1069="","",IF((($AL1069="Engineering and Technology")+($AL1069="Science and Mathematics")+($AL1069="Computer Science, IT and Allied Fields")+($AL1069="Life Sciences /Medicine and Healthcare")+($AL1069="Paramedical")+($AL1069="Architecture")+($AL1069="Environmental Service")+($AL1069="Agriculture, Food Industry and Forestry"))&gt;0,"Science",IF((($AL1069="Banking and Finance")+($AL1069="Management and Administration")+($AL1069="Marketing")+($AL1069="Sales")+($AL1069="Entrepreneurship")+($AL1069="Hospitality and Tourism"))&gt;0,"Commerce",IF((($AL1069="Social Sciences and Humanities")+($AL1069="Law Studies")+($AL1069="Education and Training")+($AL1069="Art, Design")+($AL1069="Entertainment and Mass Media")+($AL1069="Community and Social Service")+($AL1069="Personal Care and Services")+($AL1069="Government and Public Administration")+($AL1069="Defence/ Protective Service")+($AL1069="Sports"))&gt;0,"Arts / Humanities",""))))</f>
        <v/>
      </c>
      <c r="BD1069" s="5" t="str">
        <f aca="false">IF($B1069="","",--(F1069&gt;=10)+--(G1069&gt;=10)+--(H1069&gt;=10)+--(I1069&gt;=10)+--(J1069&gt;=10)+--(K1069&gt;=10)+--(L1069&gt;=10)+--(M1069&gt;=10)+--(N1069&gt;=10)+--(O1069&gt;=10))</f>
        <v/>
      </c>
      <c r="BE1069" s="5" t="str">
        <f aca="false">IF($B1069="","",--(AND(F1069&lt;&gt;"",F1069&lt;=8))+--(AND(G1069&lt;&gt;"",G1069&lt;=8))+--(AND(H1069&lt;&gt;"",H1069&lt;=8))+--(AND(I1069&lt;&gt;"",I1069&lt;=8))+--(AND(J1069&lt;&gt;"",J1069&lt;=8))+--(AND(K1069&lt;&gt;"",K1069&lt;=8))+--(AND(L1069&lt;&gt;"",L1069&lt;=8))+--(AND(M1069&lt;&gt;"",M1069&lt;=8))+--(AND(N1069&lt;&gt;"",N1069&lt;=8))+--(AND(O1069&lt;&gt;"",O1069&lt;=8)))</f>
        <v/>
      </c>
    </row>
    <row r="1070" customFormat="false" ht="15" hidden="false" customHeight="false" outlineLevel="0" collapsed="false">
      <c r="AZ1070" s="5" t="str">
        <f aca="false">IF($B1070="","",SUMPRODUCT(($AL1070:$AO1070&lt;&gt;"")*(COUNTIF($AP1070:$AX1070,$AL1070:$AO1070)&gt;0)))</f>
        <v/>
      </c>
      <c r="BA1070" s="5" t="str">
        <f aca="false">IF($B1070="","",IF(AZ1070&gt;0,1,0))</f>
        <v/>
      </c>
      <c r="BB1070" s="5" t="str">
        <f aca="false">IF($AP1070="","",IF((($AP1070="Engineering and Technology")+($AP1070="Science and Mathematics")+($AP1070="Computer Science, IT and Allied Fields")+($AP1070="Life Sciences /Medicine and Healthcare")+($AP1070="Paramedical")+($AP1070="Architecture")+($AP1070="Environmental Service")+($AP1070="Agriculture, Food Industry and Forestry"))&gt;0,"Science",IF((($AP1070="Banking and Finance")+($AP1070="Management and Administration")+($AP1070="Marketing")+($AP1070="Sales")+($AP1070="Entrepreneurship")+($AP1070="Hospitality and Tourism"))&gt;0,"Commerce",IF((($AP1070="Social Sciences and Humanities")+($AP1070="Law Studies")+($AP1070="Education and Training")+($AP1070="Art, Design")+($AP1070="Entertainment and Mass Media")+($AP1070="Community and Social Service")+($AP1070="Personal Care and Services")+($AP1070="Government and Public Administration")+($AP1070="Defence/ Protective Service")+($AP1070="Sports"))&gt;0,"Arts / Humanities",""))))</f>
        <v/>
      </c>
      <c r="BC1070" s="5" t="str">
        <f aca="false">IF($AL1070="","",IF((($AL1070="Engineering and Technology")+($AL1070="Science and Mathematics")+($AL1070="Computer Science, IT and Allied Fields")+($AL1070="Life Sciences /Medicine and Healthcare")+($AL1070="Paramedical")+($AL1070="Architecture")+($AL1070="Environmental Service")+($AL1070="Agriculture, Food Industry and Forestry"))&gt;0,"Science",IF((($AL1070="Banking and Finance")+($AL1070="Management and Administration")+($AL1070="Marketing")+($AL1070="Sales")+($AL1070="Entrepreneurship")+($AL1070="Hospitality and Tourism"))&gt;0,"Commerce",IF((($AL1070="Social Sciences and Humanities")+($AL1070="Law Studies")+($AL1070="Education and Training")+($AL1070="Art, Design")+($AL1070="Entertainment and Mass Media")+($AL1070="Community and Social Service")+($AL1070="Personal Care and Services")+($AL1070="Government and Public Administration")+($AL1070="Defence/ Protective Service")+($AL1070="Sports"))&gt;0,"Arts / Humanities",""))))</f>
        <v/>
      </c>
      <c r="BD1070" s="5" t="str">
        <f aca="false">IF($B1070="","",--(F1070&gt;=10)+--(G1070&gt;=10)+--(H1070&gt;=10)+--(I1070&gt;=10)+--(J1070&gt;=10)+--(K1070&gt;=10)+--(L1070&gt;=10)+--(M1070&gt;=10)+--(N1070&gt;=10)+--(O1070&gt;=10))</f>
        <v/>
      </c>
      <c r="BE1070" s="5" t="str">
        <f aca="false">IF($B1070="","",--(AND(F1070&lt;&gt;"",F1070&lt;=8))+--(AND(G1070&lt;&gt;"",G1070&lt;=8))+--(AND(H1070&lt;&gt;"",H1070&lt;=8))+--(AND(I1070&lt;&gt;"",I1070&lt;=8))+--(AND(J1070&lt;&gt;"",J1070&lt;=8))+--(AND(K1070&lt;&gt;"",K1070&lt;=8))+--(AND(L1070&lt;&gt;"",L1070&lt;=8))+--(AND(M1070&lt;&gt;"",M1070&lt;=8))+--(AND(N1070&lt;&gt;"",N1070&lt;=8))+--(AND(O1070&lt;&gt;"",O1070&lt;=8)))</f>
        <v/>
      </c>
    </row>
    <row r="1071" customFormat="false" ht="15" hidden="false" customHeight="false" outlineLevel="0" collapsed="false">
      <c r="AZ1071" s="5" t="str">
        <f aca="false">IF($B1071="","",SUMPRODUCT(($AL1071:$AO1071&lt;&gt;"")*(COUNTIF($AP1071:$AX1071,$AL1071:$AO1071)&gt;0)))</f>
        <v/>
      </c>
      <c r="BA1071" s="5" t="str">
        <f aca="false">IF($B1071="","",IF(AZ1071&gt;0,1,0))</f>
        <v/>
      </c>
      <c r="BB1071" s="5" t="str">
        <f aca="false">IF($AP1071="","",IF((($AP1071="Engineering and Technology")+($AP1071="Science and Mathematics")+($AP1071="Computer Science, IT and Allied Fields")+($AP1071="Life Sciences /Medicine and Healthcare")+($AP1071="Paramedical")+($AP1071="Architecture")+($AP1071="Environmental Service")+($AP1071="Agriculture, Food Industry and Forestry"))&gt;0,"Science",IF((($AP1071="Banking and Finance")+($AP1071="Management and Administration")+($AP1071="Marketing")+($AP1071="Sales")+($AP1071="Entrepreneurship")+($AP1071="Hospitality and Tourism"))&gt;0,"Commerce",IF((($AP1071="Social Sciences and Humanities")+($AP1071="Law Studies")+($AP1071="Education and Training")+($AP1071="Art, Design")+($AP1071="Entertainment and Mass Media")+($AP1071="Community and Social Service")+($AP1071="Personal Care and Services")+($AP1071="Government and Public Administration")+($AP1071="Defence/ Protective Service")+($AP1071="Sports"))&gt;0,"Arts / Humanities",""))))</f>
        <v/>
      </c>
      <c r="BC1071" s="5" t="str">
        <f aca="false">IF($AL1071="","",IF((($AL1071="Engineering and Technology")+($AL1071="Science and Mathematics")+($AL1071="Computer Science, IT and Allied Fields")+($AL1071="Life Sciences /Medicine and Healthcare")+($AL1071="Paramedical")+($AL1071="Architecture")+($AL1071="Environmental Service")+($AL1071="Agriculture, Food Industry and Forestry"))&gt;0,"Science",IF((($AL1071="Banking and Finance")+($AL1071="Management and Administration")+($AL1071="Marketing")+($AL1071="Sales")+($AL1071="Entrepreneurship")+($AL1071="Hospitality and Tourism"))&gt;0,"Commerce",IF((($AL1071="Social Sciences and Humanities")+($AL1071="Law Studies")+($AL1071="Education and Training")+($AL1071="Art, Design")+($AL1071="Entertainment and Mass Media")+($AL1071="Community and Social Service")+($AL1071="Personal Care and Services")+($AL1071="Government and Public Administration")+($AL1071="Defence/ Protective Service")+($AL1071="Sports"))&gt;0,"Arts / Humanities",""))))</f>
        <v/>
      </c>
      <c r="BD1071" s="5" t="str">
        <f aca="false">IF($B1071="","",--(F1071&gt;=10)+--(G1071&gt;=10)+--(H1071&gt;=10)+--(I1071&gt;=10)+--(J1071&gt;=10)+--(K1071&gt;=10)+--(L1071&gt;=10)+--(M1071&gt;=10)+--(N1071&gt;=10)+--(O1071&gt;=10))</f>
        <v/>
      </c>
      <c r="BE1071" s="5" t="str">
        <f aca="false">IF($B1071="","",--(AND(F1071&lt;&gt;"",F1071&lt;=8))+--(AND(G1071&lt;&gt;"",G1071&lt;=8))+--(AND(H1071&lt;&gt;"",H1071&lt;=8))+--(AND(I1071&lt;&gt;"",I1071&lt;=8))+--(AND(J1071&lt;&gt;"",J1071&lt;=8))+--(AND(K1071&lt;&gt;"",K1071&lt;=8))+--(AND(L1071&lt;&gt;"",L1071&lt;=8))+--(AND(M1071&lt;&gt;"",M1071&lt;=8))+--(AND(N1071&lt;&gt;"",N1071&lt;=8))+--(AND(O1071&lt;&gt;"",O1071&lt;=8)))</f>
        <v/>
      </c>
    </row>
    <row r="1072" customFormat="false" ht="15" hidden="false" customHeight="false" outlineLevel="0" collapsed="false">
      <c r="AZ1072" s="5" t="str">
        <f aca="false">IF($B1072="","",SUMPRODUCT(($AL1072:$AO1072&lt;&gt;"")*(COUNTIF($AP1072:$AX1072,$AL1072:$AO1072)&gt;0)))</f>
        <v/>
      </c>
      <c r="BA1072" s="5" t="str">
        <f aca="false">IF($B1072="","",IF(AZ1072&gt;0,1,0))</f>
        <v/>
      </c>
      <c r="BB1072" s="5" t="str">
        <f aca="false">IF($AP1072="","",IF((($AP1072="Engineering and Technology")+($AP1072="Science and Mathematics")+($AP1072="Computer Science, IT and Allied Fields")+($AP1072="Life Sciences /Medicine and Healthcare")+($AP1072="Paramedical")+($AP1072="Architecture")+($AP1072="Environmental Service")+($AP1072="Agriculture, Food Industry and Forestry"))&gt;0,"Science",IF((($AP1072="Banking and Finance")+($AP1072="Management and Administration")+($AP1072="Marketing")+($AP1072="Sales")+($AP1072="Entrepreneurship")+($AP1072="Hospitality and Tourism"))&gt;0,"Commerce",IF((($AP1072="Social Sciences and Humanities")+($AP1072="Law Studies")+($AP1072="Education and Training")+($AP1072="Art, Design")+($AP1072="Entertainment and Mass Media")+($AP1072="Community and Social Service")+($AP1072="Personal Care and Services")+($AP1072="Government and Public Administration")+($AP1072="Defence/ Protective Service")+($AP1072="Sports"))&gt;0,"Arts / Humanities",""))))</f>
        <v/>
      </c>
      <c r="BC1072" s="5" t="str">
        <f aca="false">IF($AL1072="","",IF((($AL1072="Engineering and Technology")+($AL1072="Science and Mathematics")+($AL1072="Computer Science, IT and Allied Fields")+($AL1072="Life Sciences /Medicine and Healthcare")+($AL1072="Paramedical")+($AL1072="Architecture")+($AL1072="Environmental Service")+($AL1072="Agriculture, Food Industry and Forestry"))&gt;0,"Science",IF((($AL1072="Banking and Finance")+($AL1072="Management and Administration")+($AL1072="Marketing")+($AL1072="Sales")+($AL1072="Entrepreneurship")+($AL1072="Hospitality and Tourism"))&gt;0,"Commerce",IF((($AL1072="Social Sciences and Humanities")+($AL1072="Law Studies")+($AL1072="Education and Training")+($AL1072="Art, Design")+($AL1072="Entertainment and Mass Media")+($AL1072="Community and Social Service")+($AL1072="Personal Care and Services")+($AL1072="Government and Public Administration")+($AL1072="Defence/ Protective Service")+($AL1072="Sports"))&gt;0,"Arts / Humanities",""))))</f>
        <v/>
      </c>
      <c r="BD1072" s="5" t="str">
        <f aca="false">IF($B1072="","",--(F1072&gt;=10)+--(G1072&gt;=10)+--(H1072&gt;=10)+--(I1072&gt;=10)+--(J1072&gt;=10)+--(K1072&gt;=10)+--(L1072&gt;=10)+--(M1072&gt;=10)+--(N1072&gt;=10)+--(O1072&gt;=10))</f>
        <v/>
      </c>
      <c r="BE1072" s="5" t="str">
        <f aca="false">IF($B1072="","",--(AND(F1072&lt;&gt;"",F1072&lt;=8))+--(AND(G1072&lt;&gt;"",G1072&lt;=8))+--(AND(H1072&lt;&gt;"",H1072&lt;=8))+--(AND(I1072&lt;&gt;"",I1072&lt;=8))+--(AND(J1072&lt;&gt;"",J1072&lt;=8))+--(AND(K1072&lt;&gt;"",K1072&lt;=8))+--(AND(L1072&lt;&gt;"",L1072&lt;=8))+--(AND(M1072&lt;&gt;"",M1072&lt;=8))+--(AND(N1072&lt;&gt;"",N1072&lt;=8))+--(AND(O1072&lt;&gt;"",O1072&lt;=8)))</f>
        <v/>
      </c>
    </row>
    <row r="1073" customFormat="false" ht="15" hidden="false" customHeight="false" outlineLevel="0" collapsed="false">
      <c r="AZ1073" s="5" t="str">
        <f aca="false">IF($B1073="","",SUMPRODUCT(($AL1073:$AO1073&lt;&gt;"")*(COUNTIF($AP1073:$AX1073,$AL1073:$AO1073)&gt;0)))</f>
        <v/>
      </c>
      <c r="BA1073" s="5" t="str">
        <f aca="false">IF($B1073="","",IF(AZ1073&gt;0,1,0))</f>
        <v/>
      </c>
      <c r="BB1073" s="5" t="str">
        <f aca="false">IF($AP1073="","",IF((($AP1073="Engineering and Technology")+($AP1073="Science and Mathematics")+($AP1073="Computer Science, IT and Allied Fields")+($AP1073="Life Sciences /Medicine and Healthcare")+($AP1073="Paramedical")+($AP1073="Architecture")+($AP1073="Environmental Service")+($AP1073="Agriculture, Food Industry and Forestry"))&gt;0,"Science",IF((($AP1073="Banking and Finance")+($AP1073="Management and Administration")+($AP1073="Marketing")+($AP1073="Sales")+($AP1073="Entrepreneurship")+($AP1073="Hospitality and Tourism"))&gt;0,"Commerce",IF((($AP1073="Social Sciences and Humanities")+($AP1073="Law Studies")+($AP1073="Education and Training")+($AP1073="Art, Design")+($AP1073="Entertainment and Mass Media")+($AP1073="Community and Social Service")+($AP1073="Personal Care and Services")+($AP1073="Government and Public Administration")+($AP1073="Defence/ Protective Service")+($AP1073="Sports"))&gt;0,"Arts / Humanities",""))))</f>
        <v/>
      </c>
      <c r="BC1073" s="5" t="str">
        <f aca="false">IF($AL1073="","",IF((($AL1073="Engineering and Technology")+($AL1073="Science and Mathematics")+($AL1073="Computer Science, IT and Allied Fields")+($AL1073="Life Sciences /Medicine and Healthcare")+($AL1073="Paramedical")+($AL1073="Architecture")+($AL1073="Environmental Service")+($AL1073="Agriculture, Food Industry and Forestry"))&gt;0,"Science",IF((($AL1073="Banking and Finance")+($AL1073="Management and Administration")+($AL1073="Marketing")+($AL1073="Sales")+($AL1073="Entrepreneurship")+($AL1073="Hospitality and Tourism"))&gt;0,"Commerce",IF((($AL1073="Social Sciences and Humanities")+($AL1073="Law Studies")+($AL1073="Education and Training")+($AL1073="Art, Design")+($AL1073="Entertainment and Mass Media")+($AL1073="Community and Social Service")+($AL1073="Personal Care and Services")+($AL1073="Government and Public Administration")+($AL1073="Defence/ Protective Service")+($AL1073="Sports"))&gt;0,"Arts / Humanities",""))))</f>
        <v/>
      </c>
      <c r="BD1073" s="5" t="str">
        <f aca="false">IF($B1073="","",--(F1073&gt;=10)+--(G1073&gt;=10)+--(H1073&gt;=10)+--(I1073&gt;=10)+--(J1073&gt;=10)+--(K1073&gt;=10)+--(L1073&gt;=10)+--(M1073&gt;=10)+--(N1073&gt;=10)+--(O1073&gt;=10))</f>
        <v/>
      </c>
      <c r="BE1073" s="5" t="str">
        <f aca="false">IF($B1073="","",--(AND(F1073&lt;&gt;"",F1073&lt;=8))+--(AND(G1073&lt;&gt;"",G1073&lt;=8))+--(AND(H1073&lt;&gt;"",H1073&lt;=8))+--(AND(I1073&lt;&gt;"",I1073&lt;=8))+--(AND(J1073&lt;&gt;"",J1073&lt;=8))+--(AND(K1073&lt;&gt;"",K1073&lt;=8))+--(AND(L1073&lt;&gt;"",L1073&lt;=8))+--(AND(M1073&lt;&gt;"",M1073&lt;=8))+--(AND(N1073&lt;&gt;"",N1073&lt;=8))+--(AND(O1073&lt;&gt;"",O1073&lt;=8)))</f>
        <v/>
      </c>
    </row>
    <row r="1074" customFormat="false" ht="15" hidden="false" customHeight="false" outlineLevel="0" collapsed="false">
      <c r="AZ1074" s="5" t="str">
        <f aca="false">IF($B1074="","",SUMPRODUCT(($AL1074:$AO1074&lt;&gt;"")*(COUNTIF($AP1074:$AX1074,$AL1074:$AO1074)&gt;0)))</f>
        <v/>
      </c>
      <c r="BA1074" s="5" t="str">
        <f aca="false">IF($B1074="","",IF(AZ1074&gt;0,1,0))</f>
        <v/>
      </c>
      <c r="BB1074" s="5" t="str">
        <f aca="false">IF($AP1074="","",IF((($AP1074="Engineering and Technology")+($AP1074="Science and Mathematics")+($AP1074="Computer Science, IT and Allied Fields")+($AP1074="Life Sciences /Medicine and Healthcare")+($AP1074="Paramedical")+($AP1074="Architecture")+($AP1074="Environmental Service")+($AP1074="Agriculture, Food Industry and Forestry"))&gt;0,"Science",IF((($AP1074="Banking and Finance")+($AP1074="Management and Administration")+($AP1074="Marketing")+($AP1074="Sales")+($AP1074="Entrepreneurship")+($AP1074="Hospitality and Tourism"))&gt;0,"Commerce",IF((($AP1074="Social Sciences and Humanities")+($AP1074="Law Studies")+($AP1074="Education and Training")+($AP1074="Art, Design")+($AP1074="Entertainment and Mass Media")+($AP1074="Community and Social Service")+($AP1074="Personal Care and Services")+($AP1074="Government and Public Administration")+($AP1074="Defence/ Protective Service")+($AP1074="Sports"))&gt;0,"Arts / Humanities",""))))</f>
        <v/>
      </c>
      <c r="BC1074" s="5" t="str">
        <f aca="false">IF($AL1074="","",IF((($AL1074="Engineering and Technology")+($AL1074="Science and Mathematics")+($AL1074="Computer Science, IT and Allied Fields")+($AL1074="Life Sciences /Medicine and Healthcare")+($AL1074="Paramedical")+($AL1074="Architecture")+($AL1074="Environmental Service")+($AL1074="Agriculture, Food Industry and Forestry"))&gt;0,"Science",IF((($AL1074="Banking and Finance")+($AL1074="Management and Administration")+($AL1074="Marketing")+($AL1074="Sales")+($AL1074="Entrepreneurship")+($AL1074="Hospitality and Tourism"))&gt;0,"Commerce",IF((($AL1074="Social Sciences and Humanities")+($AL1074="Law Studies")+($AL1074="Education and Training")+($AL1074="Art, Design")+($AL1074="Entertainment and Mass Media")+($AL1074="Community and Social Service")+($AL1074="Personal Care and Services")+($AL1074="Government and Public Administration")+($AL1074="Defence/ Protective Service")+($AL1074="Sports"))&gt;0,"Arts / Humanities",""))))</f>
        <v/>
      </c>
      <c r="BD1074" s="5" t="str">
        <f aca="false">IF($B1074="","",--(F1074&gt;=10)+--(G1074&gt;=10)+--(H1074&gt;=10)+--(I1074&gt;=10)+--(J1074&gt;=10)+--(K1074&gt;=10)+--(L1074&gt;=10)+--(M1074&gt;=10)+--(N1074&gt;=10)+--(O1074&gt;=10))</f>
        <v/>
      </c>
      <c r="BE1074" s="5" t="str">
        <f aca="false">IF($B1074="","",--(AND(F1074&lt;&gt;"",F1074&lt;=8))+--(AND(G1074&lt;&gt;"",G1074&lt;=8))+--(AND(H1074&lt;&gt;"",H1074&lt;=8))+--(AND(I1074&lt;&gt;"",I1074&lt;=8))+--(AND(J1074&lt;&gt;"",J1074&lt;=8))+--(AND(K1074&lt;&gt;"",K1074&lt;=8))+--(AND(L1074&lt;&gt;"",L1074&lt;=8))+--(AND(M1074&lt;&gt;"",M1074&lt;=8))+--(AND(N1074&lt;&gt;"",N1074&lt;=8))+--(AND(O1074&lt;&gt;"",O1074&lt;=8)))</f>
        <v/>
      </c>
    </row>
    <row r="1075" customFormat="false" ht="15" hidden="false" customHeight="false" outlineLevel="0" collapsed="false">
      <c r="AZ1075" s="5" t="str">
        <f aca="false">IF($B1075="","",SUMPRODUCT(($AL1075:$AO1075&lt;&gt;"")*(COUNTIF($AP1075:$AX1075,$AL1075:$AO1075)&gt;0)))</f>
        <v/>
      </c>
      <c r="BA1075" s="5" t="str">
        <f aca="false">IF($B1075="","",IF(AZ1075&gt;0,1,0))</f>
        <v/>
      </c>
      <c r="BB1075" s="5" t="str">
        <f aca="false">IF($AP1075="","",IF((($AP1075="Engineering and Technology")+($AP1075="Science and Mathematics")+($AP1075="Computer Science, IT and Allied Fields")+($AP1075="Life Sciences /Medicine and Healthcare")+($AP1075="Paramedical")+($AP1075="Architecture")+($AP1075="Environmental Service")+($AP1075="Agriculture, Food Industry and Forestry"))&gt;0,"Science",IF((($AP1075="Banking and Finance")+($AP1075="Management and Administration")+($AP1075="Marketing")+($AP1075="Sales")+($AP1075="Entrepreneurship")+($AP1075="Hospitality and Tourism"))&gt;0,"Commerce",IF((($AP1075="Social Sciences and Humanities")+($AP1075="Law Studies")+($AP1075="Education and Training")+($AP1075="Art, Design")+($AP1075="Entertainment and Mass Media")+($AP1075="Community and Social Service")+($AP1075="Personal Care and Services")+($AP1075="Government and Public Administration")+($AP1075="Defence/ Protective Service")+($AP1075="Sports"))&gt;0,"Arts / Humanities",""))))</f>
        <v/>
      </c>
      <c r="BC1075" s="5" t="str">
        <f aca="false">IF($AL1075="","",IF((($AL1075="Engineering and Technology")+($AL1075="Science and Mathematics")+($AL1075="Computer Science, IT and Allied Fields")+($AL1075="Life Sciences /Medicine and Healthcare")+($AL1075="Paramedical")+($AL1075="Architecture")+($AL1075="Environmental Service")+($AL1075="Agriculture, Food Industry and Forestry"))&gt;0,"Science",IF((($AL1075="Banking and Finance")+($AL1075="Management and Administration")+($AL1075="Marketing")+($AL1075="Sales")+($AL1075="Entrepreneurship")+($AL1075="Hospitality and Tourism"))&gt;0,"Commerce",IF((($AL1075="Social Sciences and Humanities")+($AL1075="Law Studies")+($AL1075="Education and Training")+($AL1075="Art, Design")+($AL1075="Entertainment and Mass Media")+($AL1075="Community and Social Service")+($AL1075="Personal Care and Services")+($AL1075="Government and Public Administration")+($AL1075="Defence/ Protective Service")+($AL1075="Sports"))&gt;0,"Arts / Humanities",""))))</f>
        <v/>
      </c>
      <c r="BD1075" s="5" t="str">
        <f aca="false">IF($B1075="","",--(F1075&gt;=10)+--(G1075&gt;=10)+--(H1075&gt;=10)+--(I1075&gt;=10)+--(J1075&gt;=10)+--(K1075&gt;=10)+--(L1075&gt;=10)+--(M1075&gt;=10)+--(N1075&gt;=10)+--(O1075&gt;=10))</f>
        <v/>
      </c>
      <c r="BE1075" s="5" t="str">
        <f aca="false">IF($B1075="","",--(AND(F1075&lt;&gt;"",F1075&lt;=8))+--(AND(G1075&lt;&gt;"",G1075&lt;=8))+--(AND(H1075&lt;&gt;"",H1075&lt;=8))+--(AND(I1075&lt;&gt;"",I1075&lt;=8))+--(AND(J1075&lt;&gt;"",J1075&lt;=8))+--(AND(K1075&lt;&gt;"",K1075&lt;=8))+--(AND(L1075&lt;&gt;"",L1075&lt;=8))+--(AND(M1075&lt;&gt;"",M1075&lt;=8))+--(AND(N1075&lt;&gt;"",N1075&lt;=8))+--(AND(O1075&lt;&gt;"",O1075&lt;=8)))</f>
        <v/>
      </c>
    </row>
    <row r="1076" customFormat="false" ht="15" hidden="false" customHeight="false" outlineLevel="0" collapsed="false">
      <c r="AZ1076" s="5" t="str">
        <f aca="false">IF($B1076="","",SUMPRODUCT(($AL1076:$AO1076&lt;&gt;"")*(COUNTIF($AP1076:$AX1076,$AL1076:$AO1076)&gt;0)))</f>
        <v/>
      </c>
      <c r="BA1076" s="5" t="str">
        <f aca="false">IF($B1076="","",IF(AZ1076&gt;0,1,0))</f>
        <v/>
      </c>
      <c r="BB1076" s="5" t="str">
        <f aca="false">IF($AP1076="","",IF((($AP1076="Engineering and Technology")+($AP1076="Science and Mathematics")+($AP1076="Computer Science, IT and Allied Fields")+($AP1076="Life Sciences /Medicine and Healthcare")+($AP1076="Paramedical")+($AP1076="Architecture")+($AP1076="Environmental Service")+($AP1076="Agriculture, Food Industry and Forestry"))&gt;0,"Science",IF((($AP1076="Banking and Finance")+($AP1076="Management and Administration")+($AP1076="Marketing")+($AP1076="Sales")+($AP1076="Entrepreneurship")+($AP1076="Hospitality and Tourism"))&gt;0,"Commerce",IF((($AP1076="Social Sciences and Humanities")+($AP1076="Law Studies")+($AP1076="Education and Training")+($AP1076="Art, Design")+($AP1076="Entertainment and Mass Media")+($AP1076="Community and Social Service")+($AP1076="Personal Care and Services")+($AP1076="Government and Public Administration")+($AP1076="Defence/ Protective Service")+($AP1076="Sports"))&gt;0,"Arts / Humanities",""))))</f>
        <v/>
      </c>
      <c r="BC1076" s="5" t="str">
        <f aca="false">IF($AL1076="","",IF((($AL1076="Engineering and Technology")+($AL1076="Science and Mathematics")+($AL1076="Computer Science, IT and Allied Fields")+($AL1076="Life Sciences /Medicine and Healthcare")+($AL1076="Paramedical")+($AL1076="Architecture")+($AL1076="Environmental Service")+($AL1076="Agriculture, Food Industry and Forestry"))&gt;0,"Science",IF((($AL1076="Banking and Finance")+($AL1076="Management and Administration")+($AL1076="Marketing")+($AL1076="Sales")+($AL1076="Entrepreneurship")+($AL1076="Hospitality and Tourism"))&gt;0,"Commerce",IF((($AL1076="Social Sciences and Humanities")+($AL1076="Law Studies")+($AL1076="Education and Training")+($AL1076="Art, Design")+($AL1076="Entertainment and Mass Media")+($AL1076="Community and Social Service")+($AL1076="Personal Care and Services")+($AL1076="Government and Public Administration")+($AL1076="Defence/ Protective Service")+($AL1076="Sports"))&gt;0,"Arts / Humanities",""))))</f>
        <v/>
      </c>
      <c r="BD1076" s="5" t="str">
        <f aca="false">IF($B1076="","",--(F1076&gt;=10)+--(G1076&gt;=10)+--(H1076&gt;=10)+--(I1076&gt;=10)+--(J1076&gt;=10)+--(K1076&gt;=10)+--(L1076&gt;=10)+--(M1076&gt;=10)+--(N1076&gt;=10)+--(O1076&gt;=10))</f>
        <v/>
      </c>
      <c r="BE1076" s="5" t="str">
        <f aca="false">IF($B1076="","",--(AND(F1076&lt;&gt;"",F1076&lt;=8))+--(AND(G1076&lt;&gt;"",G1076&lt;=8))+--(AND(H1076&lt;&gt;"",H1076&lt;=8))+--(AND(I1076&lt;&gt;"",I1076&lt;=8))+--(AND(J1076&lt;&gt;"",J1076&lt;=8))+--(AND(K1076&lt;&gt;"",K1076&lt;=8))+--(AND(L1076&lt;&gt;"",L1076&lt;=8))+--(AND(M1076&lt;&gt;"",M1076&lt;=8))+--(AND(N1076&lt;&gt;"",N1076&lt;=8))+--(AND(O1076&lt;&gt;"",O1076&lt;=8)))</f>
        <v/>
      </c>
    </row>
    <row r="1077" customFormat="false" ht="15" hidden="false" customHeight="false" outlineLevel="0" collapsed="false">
      <c r="AZ1077" s="5" t="str">
        <f aca="false">IF($B1077="","",SUMPRODUCT(($AL1077:$AO1077&lt;&gt;"")*(COUNTIF($AP1077:$AX1077,$AL1077:$AO1077)&gt;0)))</f>
        <v/>
      </c>
      <c r="BA1077" s="5" t="str">
        <f aca="false">IF($B1077="","",IF(AZ1077&gt;0,1,0))</f>
        <v/>
      </c>
      <c r="BB1077" s="5" t="str">
        <f aca="false">IF($AP1077="","",IF((($AP1077="Engineering and Technology")+($AP1077="Science and Mathematics")+($AP1077="Computer Science, IT and Allied Fields")+($AP1077="Life Sciences /Medicine and Healthcare")+($AP1077="Paramedical")+($AP1077="Architecture")+($AP1077="Environmental Service")+($AP1077="Agriculture, Food Industry and Forestry"))&gt;0,"Science",IF((($AP1077="Banking and Finance")+($AP1077="Management and Administration")+($AP1077="Marketing")+($AP1077="Sales")+($AP1077="Entrepreneurship")+($AP1077="Hospitality and Tourism"))&gt;0,"Commerce",IF((($AP1077="Social Sciences and Humanities")+($AP1077="Law Studies")+($AP1077="Education and Training")+($AP1077="Art, Design")+($AP1077="Entertainment and Mass Media")+($AP1077="Community and Social Service")+($AP1077="Personal Care and Services")+($AP1077="Government and Public Administration")+($AP1077="Defence/ Protective Service")+($AP1077="Sports"))&gt;0,"Arts / Humanities",""))))</f>
        <v/>
      </c>
      <c r="BC1077" s="5" t="str">
        <f aca="false">IF($AL1077="","",IF((($AL1077="Engineering and Technology")+($AL1077="Science and Mathematics")+($AL1077="Computer Science, IT and Allied Fields")+($AL1077="Life Sciences /Medicine and Healthcare")+($AL1077="Paramedical")+($AL1077="Architecture")+($AL1077="Environmental Service")+($AL1077="Agriculture, Food Industry and Forestry"))&gt;0,"Science",IF((($AL1077="Banking and Finance")+($AL1077="Management and Administration")+($AL1077="Marketing")+($AL1077="Sales")+($AL1077="Entrepreneurship")+($AL1077="Hospitality and Tourism"))&gt;0,"Commerce",IF((($AL1077="Social Sciences and Humanities")+($AL1077="Law Studies")+($AL1077="Education and Training")+($AL1077="Art, Design")+($AL1077="Entertainment and Mass Media")+($AL1077="Community and Social Service")+($AL1077="Personal Care and Services")+($AL1077="Government and Public Administration")+($AL1077="Defence/ Protective Service")+($AL1077="Sports"))&gt;0,"Arts / Humanities",""))))</f>
        <v/>
      </c>
      <c r="BD1077" s="5" t="str">
        <f aca="false">IF($B1077="","",--(F1077&gt;=10)+--(G1077&gt;=10)+--(H1077&gt;=10)+--(I1077&gt;=10)+--(J1077&gt;=10)+--(K1077&gt;=10)+--(L1077&gt;=10)+--(M1077&gt;=10)+--(N1077&gt;=10)+--(O1077&gt;=10))</f>
        <v/>
      </c>
      <c r="BE1077" s="5" t="str">
        <f aca="false">IF($B1077="","",--(AND(F1077&lt;&gt;"",F1077&lt;=8))+--(AND(G1077&lt;&gt;"",G1077&lt;=8))+--(AND(H1077&lt;&gt;"",H1077&lt;=8))+--(AND(I1077&lt;&gt;"",I1077&lt;=8))+--(AND(J1077&lt;&gt;"",J1077&lt;=8))+--(AND(K1077&lt;&gt;"",K1077&lt;=8))+--(AND(L1077&lt;&gt;"",L1077&lt;=8))+--(AND(M1077&lt;&gt;"",M1077&lt;=8))+--(AND(N1077&lt;&gt;"",N1077&lt;=8))+--(AND(O1077&lt;&gt;"",O1077&lt;=8)))</f>
        <v/>
      </c>
    </row>
    <row r="1078" customFormat="false" ht="15" hidden="false" customHeight="false" outlineLevel="0" collapsed="false">
      <c r="AZ1078" s="5" t="str">
        <f aca="false">IF($B1078="","",SUMPRODUCT(($AL1078:$AO1078&lt;&gt;"")*(COUNTIF($AP1078:$AX1078,$AL1078:$AO1078)&gt;0)))</f>
        <v/>
      </c>
      <c r="BA1078" s="5" t="str">
        <f aca="false">IF($B1078="","",IF(AZ1078&gt;0,1,0))</f>
        <v/>
      </c>
      <c r="BB1078" s="5" t="str">
        <f aca="false">IF($AP1078="","",IF((($AP1078="Engineering and Technology")+($AP1078="Science and Mathematics")+($AP1078="Computer Science, IT and Allied Fields")+($AP1078="Life Sciences /Medicine and Healthcare")+($AP1078="Paramedical")+($AP1078="Architecture")+($AP1078="Environmental Service")+($AP1078="Agriculture, Food Industry and Forestry"))&gt;0,"Science",IF((($AP1078="Banking and Finance")+($AP1078="Management and Administration")+($AP1078="Marketing")+($AP1078="Sales")+($AP1078="Entrepreneurship")+($AP1078="Hospitality and Tourism"))&gt;0,"Commerce",IF((($AP1078="Social Sciences and Humanities")+($AP1078="Law Studies")+($AP1078="Education and Training")+($AP1078="Art, Design")+($AP1078="Entertainment and Mass Media")+($AP1078="Community and Social Service")+($AP1078="Personal Care and Services")+($AP1078="Government and Public Administration")+($AP1078="Defence/ Protective Service")+($AP1078="Sports"))&gt;0,"Arts / Humanities",""))))</f>
        <v/>
      </c>
      <c r="BC1078" s="5" t="str">
        <f aca="false">IF($AL1078="","",IF((($AL1078="Engineering and Technology")+($AL1078="Science and Mathematics")+($AL1078="Computer Science, IT and Allied Fields")+($AL1078="Life Sciences /Medicine and Healthcare")+($AL1078="Paramedical")+($AL1078="Architecture")+($AL1078="Environmental Service")+($AL1078="Agriculture, Food Industry and Forestry"))&gt;0,"Science",IF((($AL1078="Banking and Finance")+($AL1078="Management and Administration")+($AL1078="Marketing")+($AL1078="Sales")+($AL1078="Entrepreneurship")+($AL1078="Hospitality and Tourism"))&gt;0,"Commerce",IF((($AL1078="Social Sciences and Humanities")+($AL1078="Law Studies")+($AL1078="Education and Training")+($AL1078="Art, Design")+($AL1078="Entertainment and Mass Media")+($AL1078="Community and Social Service")+($AL1078="Personal Care and Services")+($AL1078="Government and Public Administration")+($AL1078="Defence/ Protective Service")+($AL1078="Sports"))&gt;0,"Arts / Humanities",""))))</f>
        <v/>
      </c>
      <c r="BD1078" s="5" t="str">
        <f aca="false">IF($B1078="","",--(F1078&gt;=10)+--(G1078&gt;=10)+--(H1078&gt;=10)+--(I1078&gt;=10)+--(J1078&gt;=10)+--(K1078&gt;=10)+--(L1078&gt;=10)+--(M1078&gt;=10)+--(N1078&gt;=10)+--(O1078&gt;=10))</f>
        <v/>
      </c>
      <c r="BE1078" s="5" t="str">
        <f aca="false">IF($B1078="","",--(AND(F1078&lt;&gt;"",F1078&lt;=8))+--(AND(G1078&lt;&gt;"",G1078&lt;=8))+--(AND(H1078&lt;&gt;"",H1078&lt;=8))+--(AND(I1078&lt;&gt;"",I1078&lt;=8))+--(AND(J1078&lt;&gt;"",J1078&lt;=8))+--(AND(K1078&lt;&gt;"",K1078&lt;=8))+--(AND(L1078&lt;&gt;"",L1078&lt;=8))+--(AND(M1078&lt;&gt;"",M1078&lt;=8))+--(AND(N1078&lt;&gt;"",N1078&lt;=8))+--(AND(O1078&lt;&gt;"",O1078&lt;=8)))</f>
        <v/>
      </c>
    </row>
    <row r="1079" customFormat="false" ht="15" hidden="false" customHeight="false" outlineLevel="0" collapsed="false">
      <c r="AZ1079" s="5" t="str">
        <f aca="false">IF($B1079="","",SUMPRODUCT(($AL1079:$AO1079&lt;&gt;"")*(COUNTIF($AP1079:$AX1079,$AL1079:$AO1079)&gt;0)))</f>
        <v/>
      </c>
      <c r="BA1079" s="5" t="str">
        <f aca="false">IF($B1079="","",IF(AZ1079&gt;0,1,0))</f>
        <v/>
      </c>
      <c r="BB1079" s="5" t="str">
        <f aca="false">IF($AP1079="","",IF((($AP1079="Engineering and Technology")+($AP1079="Science and Mathematics")+($AP1079="Computer Science, IT and Allied Fields")+($AP1079="Life Sciences /Medicine and Healthcare")+($AP1079="Paramedical")+($AP1079="Architecture")+($AP1079="Environmental Service")+($AP1079="Agriculture, Food Industry and Forestry"))&gt;0,"Science",IF((($AP1079="Banking and Finance")+($AP1079="Management and Administration")+($AP1079="Marketing")+($AP1079="Sales")+($AP1079="Entrepreneurship")+($AP1079="Hospitality and Tourism"))&gt;0,"Commerce",IF((($AP1079="Social Sciences and Humanities")+($AP1079="Law Studies")+($AP1079="Education and Training")+($AP1079="Art, Design")+($AP1079="Entertainment and Mass Media")+($AP1079="Community and Social Service")+($AP1079="Personal Care and Services")+($AP1079="Government and Public Administration")+($AP1079="Defence/ Protective Service")+($AP1079="Sports"))&gt;0,"Arts / Humanities",""))))</f>
        <v/>
      </c>
      <c r="BC1079" s="5" t="str">
        <f aca="false">IF($AL1079="","",IF((($AL1079="Engineering and Technology")+($AL1079="Science and Mathematics")+($AL1079="Computer Science, IT and Allied Fields")+($AL1079="Life Sciences /Medicine and Healthcare")+($AL1079="Paramedical")+($AL1079="Architecture")+($AL1079="Environmental Service")+($AL1079="Agriculture, Food Industry and Forestry"))&gt;0,"Science",IF((($AL1079="Banking and Finance")+($AL1079="Management and Administration")+($AL1079="Marketing")+($AL1079="Sales")+($AL1079="Entrepreneurship")+($AL1079="Hospitality and Tourism"))&gt;0,"Commerce",IF((($AL1079="Social Sciences and Humanities")+($AL1079="Law Studies")+($AL1079="Education and Training")+($AL1079="Art, Design")+($AL1079="Entertainment and Mass Media")+($AL1079="Community and Social Service")+($AL1079="Personal Care and Services")+($AL1079="Government and Public Administration")+($AL1079="Defence/ Protective Service")+($AL1079="Sports"))&gt;0,"Arts / Humanities",""))))</f>
        <v/>
      </c>
      <c r="BD1079" s="5" t="str">
        <f aca="false">IF($B1079="","",--(F1079&gt;=10)+--(G1079&gt;=10)+--(H1079&gt;=10)+--(I1079&gt;=10)+--(J1079&gt;=10)+--(K1079&gt;=10)+--(L1079&gt;=10)+--(M1079&gt;=10)+--(N1079&gt;=10)+--(O1079&gt;=10))</f>
        <v/>
      </c>
      <c r="BE1079" s="5" t="str">
        <f aca="false">IF($B1079="","",--(AND(F1079&lt;&gt;"",F1079&lt;=8))+--(AND(G1079&lt;&gt;"",G1079&lt;=8))+--(AND(H1079&lt;&gt;"",H1079&lt;=8))+--(AND(I1079&lt;&gt;"",I1079&lt;=8))+--(AND(J1079&lt;&gt;"",J1079&lt;=8))+--(AND(K1079&lt;&gt;"",K1079&lt;=8))+--(AND(L1079&lt;&gt;"",L1079&lt;=8))+--(AND(M1079&lt;&gt;"",M1079&lt;=8))+--(AND(N1079&lt;&gt;"",N1079&lt;=8))+--(AND(O1079&lt;&gt;"",O1079&lt;=8)))</f>
        <v/>
      </c>
    </row>
    <row r="1080" customFormat="false" ht="15" hidden="false" customHeight="false" outlineLevel="0" collapsed="false">
      <c r="AZ1080" s="5" t="str">
        <f aca="false">IF($B1080="","",SUMPRODUCT(($AL1080:$AO1080&lt;&gt;"")*(COUNTIF($AP1080:$AX1080,$AL1080:$AO1080)&gt;0)))</f>
        <v/>
      </c>
      <c r="BA1080" s="5" t="str">
        <f aca="false">IF($B1080="","",IF(AZ1080&gt;0,1,0))</f>
        <v/>
      </c>
      <c r="BB1080" s="5" t="str">
        <f aca="false">IF($AP1080="","",IF((($AP1080="Engineering and Technology")+($AP1080="Science and Mathematics")+($AP1080="Computer Science, IT and Allied Fields")+($AP1080="Life Sciences /Medicine and Healthcare")+($AP1080="Paramedical")+($AP1080="Architecture")+($AP1080="Environmental Service")+($AP1080="Agriculture, Food Industry and Forestry"))&gt;0,"Science",IF((($AP1080="Banking and Finance")+($AP1080="Management and Administration")+($AP1080="Marketing")+($AP1080="Sales")+($AP1080="Entrepreneurship")+($AP1080="Hospitality and Tourism"))&gt;0,"Commerce",IF((($AP1080="Social Sciences and Humanities")+($AP1080="Law Studies")+($AP1080="Education and Training")+($AP1080="Art, Design")+($AP1080="Entertainment and Mass Media")+($AP1080="Community and Social Service")+($AP1080="Personal Care and Services")+($AP1080="Government and Public Administration")+($AP1080="Defence/ Protective Service")+($AP1080="Sports"))&gt;0,"Arts / Humanities",""))))</f>
        <v/>
      </c>
      <c r="BC1080" s="5" t="str">
        <f aca="false">IF($AL1080="","",IF((($AL1080="Engineering and Technology")+($AL1080="Science and Mathematics")+($AL1080="Computer Science, IT and Allied Fields")+($AL1080="Life Sciences /Medicine and Healthcare")+($AL1080="Paramedical")+($AL1080="Architecture")+($AL1080="Environmental Service")+($AL1080="Agriculture, Food Industry and Forestry"))&gt;0,"Science",IF((($AL1080="Banking and Finance")+($AL1080="Management and Administration")+($AL1080="Marketing")+($AL1080="Sales")+($AL1080="Entrepreneurship")+($AL1080="Hospitality and Tourism"))&gt;0,"Commerce",IF((($AL1080="Social Sciences and Humanities")+($AL1080="Law Studies")+($AL1080="Education and Training")+($AL1080="Art, Design")+($AL1080="Entertainment and Mass Media")+($AL1080="Community and Social Service")+($AL1080="Personal Care and Services")+($AL1080="Government and Public Administration")+($AL1080="Defence/ Protective Service")+($AL1080="Sports"))&gt;0,"Arts / Humanities",""))))</f>
        <v/>
      </c>
      <c r="BD1080" s="5" t="str">
        <f aca="false">IF($B1080="","",--(F1080&gt;=10)+--(G1080&gt;=10)+--(H1080&gt;=10)+--(I1080&gt;=10)+--(J1080&gt;=10)+--(K1080&gt;=10)+--(L1080&gt;=10)+--(M1080&gt;=10)+--(N1080&gt;=10)+--(O1080&gt;=10))</f>
        <v/>
      </c>
      <c r="BE1080" s="5" t="str">
        <f aca="false">IF($B1080="","",--(AND(F1080&lt;&gt;"",F1080&lt;=8))+--(AND(G1080&lt;&gt;"",G1080&lt;=8))+--(AND(H1080&lt;&gt;"",H1080&lt;=8))+--(AND(I1080&lt;&gt;"",I1080&lt;=8))+--(AND(J1080&lt;&gt;"",J1080&lt;=8))+--(AND(K1080&lt;&gt;"",K1080&lt;=8))+--(AND(L1080&lt;&gt;"",L1080&lt;=8))+--(AND(M1080&lt;&gt;"",M1080&lt;=8))+--(AND(N1080&lt;&gt;"",N1080&lt;=8))+--(AND(O1080&lt;&gt;"",O1080&lt;=8)))</f>
        <v/>
      </c>
    </row>
    <row r="1081" customFormat="false" ht="15" hidden="false" customHeight="false" outlineLevel="0" collapsed="false">
      <c r="AZ1081" s="5" t="str">
        <f aca="false">IF($B1081="","",SUMPRODUCT(($AL1081:$AO1081&lt;&gt;"")*(COUNTIF($AP1081:$AX1081,$AL1081:$AO1081)&gt;0)))</f>
        <v/>
      </c>
      <c r="BA1081" s="5" t="str">
        <f aca="false">IF($B1081="","",IF(AZ1081&gt;0,1,0))</f>
        <v/>
      </c>
      <c r="BB1081" s="5" t="str">
        <f aca="false">IF($AP1081="","",IF((($AP1081="Engineering and Technology")+($AP1081="Science and Mathematics")+($AP1081="Computer Science, IT and Allied Fields")+($AP1081="Life Sciences /Medicine and Healthcare")+($AP1081="Paramedical")+($AP1081="Architecture")+($AP1081="Environmental Service")+($AP1081="Agriculture, Food Industry and Forestry"))&gt;0,"Science",IF((($AP1081="Banking and Finance")+($AP1081="Management and Administration")+($AP1081="Marketing")+($AP1081="Sales")+($AP1081="Entrepreneurship")+($AP1081="Hospitality and Tourism"))&gt;0,"Commerce",IF((($AP1081="Social Sciences and Humanities")+($AP1081="Law Studies")+($AP1081="Education and Training")+($AP1081="Art, Design")+($AP1081="Entertainment and Mass Media")+($AP1081="Community and Social Service")+($AP1081="Personal Care and Services")+($AP1081="Government and Public Administration")+($AP1081="Defence/ Protective Service")+($AP1081="Sports"))&gt;0,"Arts / Humanities",""))))</f>
        <v/>
      </c>
      <c r="BC1081" s="5" t="str">
        <f aca="false">IF($AL1081="","",IF((($AL1081="Engineering and Technology")+($AL1081="Science and Mathematics")+($AL1081="Computer Science, IT and Allied Fields")+($AL1081="Life Sciences /Medicine and Healthcare")+($AL1081="Paramedical")+($AL1081="Architecture")+($AL1081="Environmental Service")+($AL1081="Agriculture, Food Industry and Forestry"))&gt;0,"Science",IF((($AL1081="Banking and Finance")+($AL1081="Management and Administration")+($AL1081="Marketing")+($AL1081="Sales")+($AL1081="Entrepreneurship")+($AL1081="Hospitality and Tourism"))&gt;0,"Commerce",IF((($AL1081="Social Sciences and Humanities")+($AL1081="Law Studies")+($AL1081="Education and Training")+($AL1081="Art, Design")+($AL1081="Entertainment and Mass Media")+($AL1081="Community and Social Service")+($AL1081="Personal Care and Services")+($AL1081="Government and Public Administration")+($AL1081="Defence/ Protective Service")+($AL1081="Sports"))&gt;0,"Arts / Humanities",""))))</f>
        <v/>
      </c>
      <c r="BD1081" s="5" t="str">
        <f aca="false">IF($B1081="","",--(F1081&gt;=10)+--(G1081&gt;=10)+--(H1081&gt;=10)+--(I1081&gt;=10)+--(J1081&gt;=10)+--(K1081&gt;=10)+--(L1081&gt;=10)+--(M1081&gt;=10)+--(N1081&gt;=10)+--(O1081&gt;=10))</f>
        <v/>
      </c>
      <c r="BE1081" s="5" t="str">
        <f aca="false">IF($B1081="","",--(AND(F1081&lt;&gt;"",F1081&lt;=8))+--(AND(G1081&lt;&gt;"",G1081&lt;=8))+--(AND(H1081&lt;&gt;"",H1081&lt;=8))+--(AND(I1081&lt;&gt;"",I1081&lt;=8))+--(AND(J1081&lt;&gt;"",J1081&lt;=8))+--(AND(K1081&lt;&gt;"",K1081&lt;=8))+--(AND(L1081&lt;&gt;"",L1081&lt;=8))+--(AND(M1081&lt;&gt;"",M1081&lt;=8))+--(AND(N1081&lt;&gt;"",N1081&lt;=8))+--(AND(O1081&lt;&gt;"",O1081&lt;=8)))</f>
        <v/>
      </c>
    </row>
    <row r="1082" customFormat="false" ht="15" hidden="false" customHeight="false" outlineLevel="0" collapsed="false">
      <c r="AZ1082" s="5" t="str">
        <f aca="false">IF($B1082="","",SUMPRODUCT(($AL1082:$AO1082&lt;&gt;"")*(COUNTIF($AP1082:$AX1082,$AL1082:$AO1082)&gt;0)))</f>
        <v/>
      </c>
      <c r="BA1082" s="5" t="str">
        <f aca="false">IF($B1082="","",IF(AZ1082&gt;0,1,0))</f>
        <v/>
      </c>
      <c r="BB1082" s="5" t="str">
        <f aca="false">IF($AP1082="","",IF((($AP1082="Engineering and Technology")+($AP1082="Science and Mathematics")+($AP1082="Computer Science, IT and Allied Fields")+($AP1082="Life Sciences /Medicine and Healthcare")+($AP1082="Paramedical")+($AP1082="Architecture")+($AP1082="Environmental Service")+($AP1082="Agriculture, Food Industry and Forestry"))&gt;0,"Science",IF((($AP1082="Banking and Finance")+($AP1082="Management and Administration")+($AP1082="Marketing")+($AP1082="Sales")+($AP1082="Entrepreneurship")+($AP1082="Hospitality and Tourism"))&gt;0,"Commerce",IF((($AP1082="Social Sciences and Humanities")+($AP1082="Law Studies")+($AP1082="Education and Training")+($AP1082="Art, Design")+($AP1082="Entertainment and Mass Media")+($AP1082="Community and Social Service")+($AP1082="Personal Care and Services")+($AP1082="Government and Public Administration")+($AP1082="Defence/ Protective Service")+($AP1082="Sports"))&gt;0,"Arts / Humanities",""))))</f>
        <v/>
      </c>
      <c r="BC1082" s="5" t="str">
        <f aca="false">IF($AL1082="","",IF((($AL1082="Engineering and Technology")+($AL1082="Science and Mathematics")+($AL1082="Computer Science, IT and Allied Fields")+($AL1082="Life Sciences /Medicine and Healthcare")+($AL1082="Paramedical")+($AL1082="Architecture")+($AL1082="Environmental Service")+($AL1082="Agriculture, Food Industry and Forestry"))&gt;0,"Science",IF((($AL1082="Banking and Finance")+($AL1082="Management and Administration")+($AL1082="Marketing")+($AL1082="Sales")+($AL1082="Entrepreneurship")+($AL1082="Hospitality and Tourism"))&gt;0,"Commerce",IF((($AL1082="Social Sciences and Humanities")+($AL1082="Law Studies")+($AL1082="Education and Training")+($AL1082="Art, Design")+($AL1082="Entertainment and Mass Media")+($AL1082="Community and Social Service")+($AL1082="Personal Care and Services")+($AL1082="Government and Public Administration")+($AL1082="Defence/ Protective Service")+($AL1082="Sports"))&gt;0,"Arts / Humanities",""))))</f>
        <v/>
      </c>
      <c r="BD1082" s="5" t="str">
        <f aca="false">IF($B1082="","",--(F1082&gt;=10)+--(G1082&gt;=10)+--(H1082&gt;=10)+--(I1082&gt;=10)+--(J1082&gt;=10)+--(K1082&gt;=10)+--(L1082&gt;=10)+--(M1082&gt;=10)+--(N1082&gt;=10)+--(O1082&gt;=10))</f>
        <v/>
      </c>
      <c r="BE1082" s="5" t="str">
        <f aca="false">IF($B1082="","",--(AND(F1082&lt;&gt;"",F1082&lt;=8))+--(AND(G1082&lt;&gt;"",G1082&lt;=8))+--(AND(H1082&lt;&gt;"",H1082&lt;=8))+--(AND(I1082&lt;&gt;"",I1082&lt;=8))+--(AND(J1082&lt;&gt;"",J1082&lt;=8))+--(AND(K1082&lt;&gt;"",K1082&lt;=8))+--(AND(L1082&lt;&gt;"",L1082&lt;=8))+--(AND(M1082&lt;&gt;"",M1082&lt;=8))+--(AND(N1082&lt;&gt;"",N1082&lt;=8))+--(AND(O1082&lt;&gt;"",O1082&lt;=8)))</f>
        <v/>
      </c>
    </row>
    <row r="1083" customFormat="false" ht="15" hidden="false" customHeight="false" outlineLevel="0" collapsed="false">
      <c r="AZ1083" s="5" t="str">
        <f aca="false">IF($B1083="","",SUMPRODUCT(($AL1083:$AO1083&lt;&gt;"")*(COUNTIF($AP1083:$AX1083,$AL1083:$AO1083)&gt;0)))</f>
        <v/>
      </c>
      <c r="BA1083" s="5" t="str">
        <f aca="false">IF($B1083="","",IF(AZ1083&gt;0,1,0))</f>
        <v/>
      </c>
      <c r="BB1083" s="5" t="str">
        <f aca="false">IF($AP1083="","",IF((($AP1083="Engineering and Technology")+($AP1083="Science and Mathematics")+($AP1083="Computer Science, IT and Allied Fields")+($AP1083="Life Sciences /Medicine and Healthcare")+($AP1083="Paramedical")+($AP1083="Architecture")+($AP1083="Environmental Service")+($AP1083="Agriculture, Food Industry and Forestry"))&gt;0,"Science",IF((($AP1083="Banking and Finance")+($AP1083="Management and Administration")+($AP1083="Marketing")+($AP1083="Sales")+($AP1083="Entrepreneurship")+($AP1083="Hospitality and Tourism"))&gt;0,"Commerce",IF((($AP1083="Social Sciences and Humanities")+($AP1083="Law Studies")+($AP1083="Education and Training")+($AP1083="Art, Design")+($AP1083="Entertainment and Mass Media")+($AP1083="Community and Social Service")+($AP1083="Personal Care and Services")+($AP1083="Government and Public Administration")+($AP1083="Defence/ Protective Service")+($AP1083="Sports"))&gt;0,"Arts / Humanities",""))))</f>
        <v/>
      </c>
      <c r="BC1083" s="5" t="str">
        <f aca="false">IF($AL1083="","",IF((($AL1083="Engineering and Technology")+($AL1083="Science and Mathematics")+($AL1083="Computer Science, IT and Allied Fields")+($AL1083="Life Sciences /Medicine and Healthcare")+($AL1083="Paramedical")+($AL1083="Architecture")+($AL1083="Environmental Service")+($AL1083="Agriculture, Food Industry and Forestry"))&gt;0,"Science",IF((($AL1083="Banking and Finance")+($AL1083="Management and Administration")+($AL1083="Marketing")+($AL1083="Sales")+($AL1083="Entrepreneurship")+($AL1083="Hospitality and Tourism"))&gt;0,"Commerce",IF((($AL1083="Social Sciences and Humanities")+($AL1083="Law Studies")+($AL1083="Education and Training")+($AL1083="Art, Design")+($AL1083="Entertainment and Mass Media")+($AL1083="Community and Social Service")+($AL1083="Personal Care and Services")+($AL1083="Government and Public Administration")+($AL1083="Defence/ Protective Service")+($AL1083="Sports"))&gt;0,"Arts / Humanities",""))))</f>
        <v/>
      </c>
      <c r="BD1083" s="5" t="str">
        <f aca="false">IF($B1083="","",--(F1083&gt;=10)+--(G1083&gt;=10)+--(H1083&gt;=10)+--(I1083&gt;=10)+--(J1083&gt;=10)+--(K1083&gt;=10)+--(L1083&gt;=10)+--(M1083&gt;=10)+--(N1083&gt;=10)+--(O1083&gt;=10))</f>
        <v/>
      </c>
      <c r="BE1083" s="5" t="str">
        <f aca="false">IF($B1083="","",--(AND(F1083&lt;&gt;"",F1083&lt;=8))+--(AND(G1083&lt;&gt;"",G1083&lt;=8))+--(AND(H1083&lt;&gt;"",H1083&lt;=8))+--(AND(I1083&lt;&gt;"",I1083&lt;=8))+--(AND(J1083&lt;&gt;"",J1083&lt;=8))+--(AND(K1083&lt;&gt;"",K1083&lt;=8))+--(AND(L1083&lt;&gt;"",L1083&lt;=8))+--(AND(M1083&lt;&gt;"",M1083&lt;=8))+--(AND(N1083&lt;&gt;"",N1083&lt;=8))+--(AND(O1083&lt;&gt;"",O1083&lt;=8)))</f>
        <v/>
      </c>
    </row>
    <row r="1084" customFormat="false" ht="15" hidden="false" customHeight="false" outlineLevel="0" collapsed="false">
      <c r="AZ1084" s="5" t="str">
        <f aca="false">IF($B1084="","",SUMPRODUCT(($AL1084:$AO1084&lt;&gt;"")*(COUNTIF($AP1084:$AX1084,$AL1084:$AO1084)&gt;0)))</f>
        <v/>
      </c>
      <c r="BA1084" s="5" t="str">
        <f aca="false">IF($B1084="","",IF(AZ1084&gt;0,1,0))</f>
        <v/>
      </c>
      <c r="BB1084" s="5" t="str">
        <f aca="false">IF($AP1084="","",IF((($AP1084="Engineering and Technology")+($AP1084="Science and Mathematics")+($AP1084="Computer Science, IT and Allied Fields")+($AP1084="Life Sciences /Medicine and Healthcare")+($AP1084="Paramedical")+($AP1084="Architecture")+($AP1084="Environmental Service")+($AP1084="Agriculture, Food Industry and Forestry"))&gt;0,"Science",IF((($AP1084="Banking and Finance")+($AP1084="Management and Administration")+($AP1084="Marketing")+($AP1084="Sales")+($AP1084="Entrepreneurship")+($AP1084="Hospitality and Tourism"))&gt;0,"Commerce",IF((($AP1084="Social Sciences and Humanities")+($AP1084="Law Studies")+($AP1084="Education and Training")+($AP1084="Art, Design")+($AP1084="Entertainment and Mass Media")+($AP1084="Community and Social Service")+($AP1084="Personal Care and Services")+($AP1084="Government and Public Administration")+($AP1084="Defence/ Protective Service")+($AP1084="Sports"))&gt;0,"Arts / Humanities",""))))</f>
        <v/>
      </c>
      <c r="BC1084" s="5" t="str">
        <f aca="false">IF($AL1084="","",IF((($AL1084="Engineering and Technology")+($AL1084="Science and Mathematics")+($AL1084="Computer Science, IT and Allied Fields")+($AL1084="Life Sciences /Medicine and Healthcare")+($AL1084="Paramedical")+($AL1084="Architecture")+($AL1084="Environmental Service")+($AL1084="Agriculture, Food Industry and Forestry"))&gt;0,"Science",IF((($AL1084="Banking and Finance")+($AL1084="Management and Administration")+($AL1084="Marketing")+($AL1084="Sales")+($AL1084="Entrepreneurship")+($AL1084="Hospitality and Tourism"))&gt;0,"Commerce",IF((($AL1084="Social Sciences and Humanities")+($AL1084="Law Studies")+($AL1084="Education and Training")+($AL1084="Art, Design")+($AL1084="Entertainment and Mass Media")+($AL1084="Community and Social Service")+($AL1084="Personal Care and Services")+($AL1084="Government and Public Administration")+($AL1084="Defence/ Protective Service")+($AL1084="Sports"))&gt;0,"Arts / Humanities",""))))</f>
        <v/>
      </c>
      <c r="BD1084" s="5" t="str">
        <f aca="false">IF($B1084="","",--(F1084&gt;=10)+--(G1084&gt;=10)+--(H1084&gt;=10)+--(I1084&gt;=10)+--(J1084&gt;=10)+--(K1084&gt;=10)+--(L1084&gt;=10)+--(M1084&gt;=10)+--(N1084&gt;=10)+--(O1084&gt;=10))</f>
        <v/>
      </c>
      <c r="BE1084" s="5" t="str">
        <f aca="false">IF($B1084="","",--(AND(F1084&lt;&gt;"",F1084&lt;=8))+--(AND(G1084&lt;&gt;"",G1084&lt;=8))+--(AND(H1084&lt;&gt;"",H1084&lt;=8))+--(AND(I1084&lt;&gt;"",I1084&lt;=8))+--(AND(J1084&lt;&gt;"",J1084&lt;=8))+--(AND(K1084&lt;&gt;"",K1084&lt;=8))+--(AND(L1084&lt;&gt;"",L1084&lt;=8))+--(AND(M1084&lt;&gt;"",M1084&lt;=8))+--(AND(N1084&lt;&gt;"",N1084&lt;=8))+--(AND(O1084&lt;&gt;"",O1084&lt;=8)))</f>
        <v/>
      </c>
    </row>
    <row r="1085" customFormat="false" ht="15" hidden="false" customHeight="false" outlineLevel="0" collapsed="false">
      <c r="AZ1085" s="5" t="str">
        <f aca="false">IF($B1085="","",SUMPRODUCT(($AL1085:$AO1085&lt;&gt;"")*(COUNTIF($AP1085:$AX1085,$AL1085:$AO1085)&gt;0)))</f>
        <v/>
      </c>
      <c r="BA1085" s="5" t="str">
        <f aca="false">IF($B1085="","",IF(AZ1085&gt;0,1,0))</f>
        <v/>
      </c>
      <c r="BB1085" s="5" t="str">
        <f aca="false">IF($AP1085="","",IF((($AP1085="Engineering and Technology")+($AP1085="Science and Mathematics")+($AP1085="Computer Science, IT and Allied Fields")+($AP1085="Life Sciences /Medicine and Healthcare")+($AP1085="Paramedical")+($AP1085="Architecture")+($AP1085="Environmental Service")+($AP1085="Agriculture, Food Industry and Forestry"))&gt;0,"Science",IF((($AP1085="Banking and Finance")+($AP1085="Management and Administration")+($AP1085="Marketing")+($AP1085="Sales")+($AP1085="Entrepreneurship")+($AP1085="Hospitality and Tourism"))&gt;0,"Commerce",IF((($AP1085="Social Sciences and Humanities")+($AP1085="Law Studies")+($AP1085="Education and Training")+($AP1085="Art, Design")+($AP1085="Entertainment and Mass Media")+($AP1085="Community and Social Service")+($AP1085="Personal Care and Services")+($AP1085="Government and Public Administration")+($AP1085="Defence/ Protective Service")+($AP1085="Sports"))&gt;0,"Arts / Humanities",""))))</f>
        <v/>
      </c>
      <c r="BC1085" s="5" t="str">
        <f aca="false">IF($AL1085="","",IF((($AL1085="Engineering and Technology")+($AL1085="Science and Mathematics")+($AL1085="Computer Science, IT and Allied Fields")+($AL1085="Life Sciences /Medicine and Healthcare")+($AL1085="Paramedical")+($AL1085="Architecture")+($AL1085="Environmental Service")+($AL1085="Agriculture, Food Industry and Forestry"))&gt;0,"Science",IF((($AL1085="Banking and Finance")+($AL1085="Management and Administration")+($AL1085="Marketing")+($AL1085="Sales")+($AL1085="Entrepreneurship")+($AL1085="Hospitality and Tourism"))&gt;0,"Commerce",IF((($AL1085="Social Sciences and Humanities")+($AL1085="Law Studies")+($AL1085="Education and Training")+($AL1085="Art, Design")+($AL1085="Entertainment and Mass Media")+($AL1085="Community and Social Service")+($AL1085="Personal Care and Services")+($AL1085="Government and Public Administration")+($AL1085="Defence/ Protective Service")+($AL1085="Sports"))&gt;0,"Arts / Humanities",""))))</f>
        <v/>
      </c>
      <c r="BD1085" s="5" t="str">
        <f aca="false">IF($B1085="","",--(F1085&gt;=10)+--(G1085&gt;=10)+--(H1085&gt;=10)+--(I1085&gt;=10)+--(J1085&gt;=10)+--(K1085&gt;=10)+--(L1085&gt;=10)+--(M1085&gt;=10)+--(N1085&gt;=10)+--(O1085&gt;=10))</f>
        <v/>
      </c>
      <c r="BE1085" s="5" t="str">
        <f aca="false">IF($B1085="","",--(AND(F1085&lt;&gt;"",F1085&lt;=8))+--(AND(G1085&lt;&gt;"",G1085&lt;=8))+--(AND(H1085&lt;&gt;"",H1085&lt;=8))+--(AND(I1085&lt;&gt;"",I1085&lt;=8))+--(AND(J1085&lt;&gt;"",J1085&lt;=8))+--(AND(K1085&lt;&gt;"",K1085&lt;=8))+--(AND(L1085&lt;&gt;"",L1085&lt;=8))+--(AND(M1085&lt;&gt;"",M1085&lt;=8))+--(AND(N1085&lt;&gt;"",N1085&lt;=8))+--(AND(O1085&lt;&gt;"",O1085&lt;=8)))</f>
        <v/>
      </c>
    </row>
    <row r="1086" customFormat="false" ht="15" hidden="false" customHeight="false" outlineLevel="0" collapsed="false">
      <c r="AZ1086" s="5" t="str">
        <f aca="false">IF($B1086="","",SUMPRODUCT(($AL1086:$AO1086&lt;&gt;"")*(COUNTIF($AP1086:$AX1086,$AL1086:$AO1086)&gt;0)))</f>
        <v/>
      </c>
      <c r="BA1086" s="5" t="str">
        <f aca="false">IF($B1086="","",IF(AZ1086&gt;0,1,0))</f>
        <v/>
      </c>
      <c r="BB1086" s="5" t="str">
        <f aca="false">IF($AP1086="","",IF((($AP1086="Engineering and Technology")+($AP1086="Science and Mathematics")+($AP1086="Computer Science, IT and Allied Fields")+($AP1086="Life Sciences /Medicine and Healthcare")+($AP1086="Paramedical")+($AP1086="Architecture")+($AP1086="Environmental Service")+($AP1086="Agriculture, Food Industry and Forestry"))&gt;0,"Science",IF((($AP1086="Banking and Finance")+($AP1086="Management and Administration")+($AP1086="Marketing")+($AP1086="Sales")+($AP1086="Entrepreneurship")+($AP1086="Hospitality and Tourism"))&gt;0,"Commerce",IF((($AP1086="Social Sciences and Humanities")+($AP1086="Law Studies")+($AP1086="Education and Training")+($AP1086="Art, Design")+($AP1086="Entertainment and Mass Media")+($AP1086="Community and Social Service")+($AP1086="Personal Care and Services")+($AP1086="Government and Public Administration")+($AP1086="Defence/ Protective Service")+($AP1086="Sports"))&gt;0,"Arts / Humanities",""))))</f>
        <v/>
      </c>
      <c r="BC1086" s="5" t="str">
        <f aca="false">IF($AL1086="","",IF((($AL1086="Engineering and Technology")+($AL1086="Science and Mathematics")+($AL1086="Computer Science, IT and Allied Fields")+($AL1086="Life Sciences /Medicine and Healthcare")+($AL1086="Paramedical")+($AL1086="Architecture")+($AL1086="Environmental Service")+($AL1086="Agriculture, Food Industry and Forestry"))&gt;0,"Science",IF((($AL1086="Banking and Finance")+($AL1086="Management and Administration")+($AL1086="Marketing")+($AL1086="Sales")+($AL1086="Entrepreneurship")+($AL1086="Hospitality and Tourism"))&gt;0,"Commerce",IF((($AL1086="Social Sciences and Humanities")+($AL1086="Law Studies")+($AL1086="Education and Training")+($AL1086="Art, Design")+($AL1086="Entertainment and Mass Media")+($AL1086="Community and Social Service")+($AL1086="Personal Care and Services")+($AL1086="Government and Public Administration")+($AL1086="Defence/ Protective Service")+($AL1086="Sports"))&gt;0,"Arts / Humanities",""))))</f>
        <v/>
      </c>
      <c r="BD1086" s="5" t="str">
        <f aca="false">IF($B1086="","",--(F1086&gt;=10)+--(G1086&gt;=10)+--(H1086&gt;=10)+--(I1086&gt;=10)+--(J1086&gt;=10)+--(K1086&gt;=10)+--(L1086&gt;=10)+--(M1086&gt;=10)+--(N1086&gt;=10)+--(O1086&gt;=10))</f>
        <v/>
      </c>
      <c r="BE1086" s="5" t="str">
        <f aca="false">IF($B1086="","",--(AND(F1086&lt;&gt;"",F1086&lt;=8))+--(AND(G1086&lt;&gt;"",G1086&lt;=8))+--(AND(H1086&lt;&gt;"",H1086&lt;=8))+--(AND(I1086&lt;&gt;"",I1086&lt;=8))+--(AND(J1086&lt;&gt;"",J1086&lt;=8))+--(AND(K1086&lt;&gt;"",K1086&lt;=8))+--(AND(L1086&lt;&gt;"",L1086&lt;=8))+--(AND(M1086&lt;&gt;"",M1086&lt;=8))+--(AND(N1086&lt;&gt;"",N1086&lt;=8))+--(AND(O1086&lt;&gt;"",O1086&lt;=8)))</f>
        <v/>
      </c>
    </row>
    <row r="1087" customFormat="false" ht="15" hidden="false" customHeight="false" outlineLevel="0" collapsed="false">
      <c r="AZ1087" s="5" t="str">
        <f aca="false">IF($B1087="","",SUMPRODUCT(($AL1087:$AO1087&lt;&gt;"")*(COUNTIF($AP1087:$AX1087,$AL1087:$AO1087)&gt;0)))</f>
        <v/>
      </c>
      <c r="BA1087" s="5" t="str">
        <f aca="false">IF($B1087="","",IF(AZ1087&gt;0,1,0))</f>
        <v/>
      </c>
      <c r="BB1087" s="5" t="str">
        <f aca="false">IF($AP1087="","",IF((($AP1087="Engineering and Technology")+($AP1087="Science and Mathematics")+($AP1087="Computer Science, IT and Allied Fields")+($AP1087="Life Sciences /Medicine and Healthcare")+($AP1087="Paramedical")+($AP1087="Architecture")+($AP1087="Environmental Service")+($AP1087="Agriculture, Food Industry and Forestry"))&gt;0,"Science",IF((($AP1087="Banking and Finance")+($AP1087="Management and Administration")+($AP1087="Marketing")+($AP1087="Sales")+($AP1087="Entrepreneurship")+($AP1087="Hospitality and Tourism"))&gt;0,"Commerce",IF((($AP1087="Social Sciences and Humanities")+($AP1087="Law Studies")+($AP1087="Education and Training")+($AP1087="Art, Design")+($AP1087="Entertainment and Mass Media")+($AP1087="Community and Social Service")+($AP1087="Personal Care and Services")+($AP1087="Government and Public Administration")+($AP1087="Defence/ Protective Service")+($AP1087="Sports"))&gt;0,"Arts / Humanities",""))))</f>
        <v/>
      </c>
      <c r="BC1087" s="5" t="str">
        <f aca="false">IF($AL1087="","",IF((($AL1087="Engineering and Technology")+($AL1087="Science and Mathematics")+($AL1087="Computer Science, IT and Allied Fields")+($AL1087="Life Sciences /Medicine and Healthcare")+($AL1087="Paramedical")+($AL1087="Architecture")+($AL1087="Environmental Service")+($AL1087="Agriculture, Food Industry and Forestry"))&gt;0,"Science",IF((($AL1087="Banking and Finance")+($AL1087="Management and Administration")+($AL1087="Marketing")+($AL1087="Sales")+($AL1087="Entrepreneurship")+($AL1087="Hospitality and Tourism"))&gt;0,"Commerce",IF((($AL1087="Social Sciences and Humanities")+($AL1087="Law Studies")+($AL1087="Education and Training")+($AL1087="Art, Design")+($AL1087="Entertainment and Mass Media")+($AL1087="Community and Social Service")+($AL1087="Personal Care and Services")+($AL1087="Government and Public Administration")+($AL1087="Defence/ Protective Service")+($AL1087="Sports"))&gt;0,"Arts / Humanities",""))))</f>
        <v/>
      </c>
      <c r="BD1087" s="5" t="str">
        <f aca="false">IF($B1087="","",--(F1087&gt;=10)+--(G1087&gt;=10)+--(H1087&gt;=10)+--(I1087&gt;=10)+--(J1087&gt;=10)+--(K1087&gt;=10)+--(L1087&gt;=10)+--(M1087&gt;=10)+--(N1087&gt;=10)+--(O1087&gt;=10))</f>
        <v/>
      </c>
      <c r="BE1087" s="5" t="str">
        <f aca="false">IF($B1087="","",--(AND(F1087&lt;&gt;"",F1087&lt;=8))+--(AND(G1087&lt;&gt;"",G1087&lt;=8))+--(AND(H1087&lt;&gt;"",H1087&lt;=8))+--(AND(I1087&lt;&gt;"",I1087&lt;=8))+--(AND(J1087&lt;&gt;"",J1087&lt;=8))+--(AND(K1087&lt;&gt;"",K1087&lt;=8))+--(AND(L1087&lt;&gt;"",L1087&lt;=8))+--(AND(M1087&lt;&gt;"",M1087&lt;=8))+--(AND(N1087&lt;&gt;"",N1087&lt;=8))+--(AND(O1087&lt;&gt;"",O1087&lt;=8)))</f>
        <v/>
      </c>
    </row>
    <row r="1088" customFormat="false" ht="15" hidden="false" customHeight="false" outlineLevel="0" collapsed="false">
      <c r="AZ1088" s="5" t="str">
        <f aca="false">IF($B1088="","",SUMPRODUCT(($AL1088:$AO1088&lt;&gt;"")*(COUNTIF($AP1088:$AX1088,$AL1088:$AO1088)&gt;0)))</f>
        <v/>
      </c>
      <c r="BA1088" s="5" t="str">
        <f aca="false">IF($B1088="","",IF(AZ1088&gt;0,1,0))</f>
        <v/>
      </c>
      <c r="BB1088" s="5" t="str">
        <f aca="false">IF($AP1088="","",IF((($AP1088="Engineering and Technology")+($AP1088="Science and Mathematics")+($AP1088="Computer Science, IT and Allied Fields")+($AP1088="Life Sciences /Medicine and Healthcare")+($AP1088="Paramedical")+($AP1088="Architecture")+($AP1088="Environmental Service")+($AP1088="Agriculture, Food Industry and Forestry"))&gt;0,"Science",IF((($AP1088="Banking and Finance")+($AP1088="Management and Administration")+($AP1088="Marketing")+($AP1088="Sales")+($AP1088="Entrepreneurship")+($AP1088="Hospitality and Tourism"))&gt;0,"Commerce",IF((($AP1088="Social Sciences and Humanities")+($AP1088="Law Studies")+($AP1088="Education and Training")+($AP1088="Art, Design")+($AP1088="Entertainment and Mass Media")+($AP1088="Community and Social Service")+($AP1088="Personal Care and Services")+($AP1088="Government and Public Administration")+($AP1088="Defence/ Protective Service")+($AP1088="Sports"))&gt;0,"Arts / Humanities",""))))</f>
        <v/>
      </c>
      <c r="BC1088" s="5" t="str">
        <f aca="false">IF($AL1088="","",IF((($AL1088="Engineering and Technology")+($AL1088="Science and Mathematics")+($AL1088="Computer Science, IT and Allied Fields")+($AL1088="Life Sciences /Medicine and Healthcare")+($AL1088="Paramedical")+($AL1088="Architecture")+($AL1088="Environmental Service")+($AL1088="Agriculture, Food Industry and Forestry"))&gt;0,"Science",IF((($AL1088="Banking and Finance")+($AL1088="Management and Administration")+($AL1088="Marketing")+($AL1088="Sales")+($AL1088="Entrepreneurship")+($AL1088="Hospitality and Tourism"))&gt;0,"Commerce",IF((($AL1088="Social Sciences and Humanities")+($AL1088="Law Studies")+($AL1088="Education and Training")+($AL1088="Art, Design")+($AL1088="Entertainment and Mass Media")+($AL1088="Community and Social Service")+($AL1088="Personal Care and Services")+($AL1088="Government and Public Administration")+($AL1088="Defence/ Protective Service")+($AL1088="Sports"))&gt;0,"Arts / Humanities",""))))</f>
        <v/>
      </c>
      <c r="BD1088" s="5" t="str">
        <f aca="false">IF($B1088="","",--(F1088&gt;=10)+--(G1088&gt;=10)+--(H1088&gt;=10)+--(I1088&gt;=10)+--(J1088&gt;=10)+--(K1088&gt;=10)+--(L1088&gt;=10)+--(M1088&gt;=10)+--(N1088&gt;=10)+--(O1088&gt;=10))</f>
        <v/>
      </c>
      <c r="BE1088" s="5" t="str">
        <f aca="false">IF($B1088="","",--(AND(F1088&lt;&gt;"",F1088&lt;=8))+--(AND(G1088&lt;&gt;"",G1088&lt;=8))+--(AND(H1088&lt;&gt;"",H1088&lt;=8))+--(AND(I1088&lt;&gt;"",I1088&lt;=8))+--(AND(J1088&lt;&gt;"",J1088&lt;=8))+--(AND(K1088&lt;&gt;"",K1088&lt;=8))+--(AND(L1088&lt;&gt;"",L1088&lt;=8))+--(AND(M1088&lt;&gt;"",M1088&lt;=8))+--(AND(N1088&lt;&gt;"",N1088&lt;=8))+--(AND(O1088&lt;&gt;"",O1088&lt;=8)))</f>
        <v/>
      </c>
    </row>
    <row r="1089" customFormat="false" ht="15" hidden="false" customHeight="false" outlineLevel="0" collapsed="false">
      <c r="AZ1089" s="5" t="str">
        <f aca="false">IF($B1089="","",SUMPRODUCT(($AL1089:$AO1089&lt;&gt;"")*(COUNTIF($AP1089:$AX1089,$AL1089:$AO1089)&gt;0)))</f>
        <v/>
      </c>
      <c r="BA1089" s="5" t="str">
        <f aca="false">IF($B1089="","",IF(AZ1089&gt;0,1,0))</f>
        <v/>
      </c>
      <c r="BB1089" s="5" t="str">
        <f aca="false">IF($AP1089="","",IF((($AP1089="Engineering and Technology")+($AP1089="Science and Mathematics")+($AP1089="Computer Science, IT and Allied Fields")+($AP1089="Life Sciences /Medicine and Healthcare")+($AP1089="Paramedical")+($AP1089="Architecture")+($AP1089="Environmental Service")+($AP1089="Agriculture, Food Industry and Forestry"))&gt;0,"Science",IF((($AP1089="Banking and Finance")+($AP1089="Management and Administration")+($AP1089="Marketing")+($AP1089="Sales")+($AP1089="Entrepreneurship")+($AP1089="Hospitality and Tourism"))&gt;0,"Commerce",IF((($AP1089="Social Sciences and Humanities")+($AP1089="Law Studies")+($AP1089="Education and Training")+($AP1089="Art, Design")+($AP1089="Entertainment and Mass Media")+($AP1089="Community and Social Service")+($AP1089="Personal Care and Services")+($AP1089="Government and Public Administration")+($AP1089="Defence/ Protective Service")+($AP1089="Sports"))&gt;0,"Arts / Humanities",""))))</f>
        <v/>
      </c>
      <c r="BC1089" s="5" t="str">
        <f aca="false">IF($AL1089="","",IF((($AL1089="Engineering and Technology")+($AL1089="Science and Mathematics")+($AL1089="Computer Science, IT and Allied Fields")+($AL1089="Life Sciences /Medicine and Healthcare")+($AL1089="Paramedical")+($AL1089="Architecture")+($AL1089="Environmental Service")+($AL1089="Agriculture, Food Industry and Forestry"))&gt;0,"Science",IF((($AL1089="Banking and Finance")+($AL1089="Management and Administration")+($AL1089="Marketing")+($AL1089="Sales")+($AL1089="Entrepreneurship")+($AL1089="Hospitality and Tourism"))&gt;0,"Commerce",IF((($AL1089="Social Sciences and Humanities")+($AL1089="Law Studies")+($AL1089="Education and Training")+($AL1089="Art, Design")+($AL1089="Entertainment and Mass Media")+($AL1089="Community and Social Service")+($AL1089="Personal Care and Services")+($AL1089="Government and Public Administration")+($AL1089="Defence/ Protective Service")+($AL1089="Sports"))&gt;0,"Arts / Humanities",""))))</f>
        <v/>
      </c>
      <c r="BD1089" s="5" t="str">
        <f aca="false">IF($B1089="","",--(F1089&gt;=10)+--(G1089&gt;=10)+--(H1089&gt;=10)+--(I1089&gt;=10)+--(J1089&gt;=10)+--(K1089&gt;=10)+--(L1089&gt;=10)+--(M1089&gt;=10)+--(N1089&gt;=10)+--(O1089&gt;=10))</f>
        <v/>
      </c>
      <c r="BE1089" s="5" t="str">
        <f aca="false">IF($B1089="","",--(AND(F1089&lt;&gt;"",F1089&lt;=8))+--(AND(G1089&lt;&gt;"",G1089&lt;=8))+--(AND(H1089&lt;&gt;"",H1089&lt;=8))+--(AND(I1089&lt;&gt;"",I1089&lt;=8))+--(AND(J1089&lt;&gt;"",J1089&lt;=8))+--(AND(K1089&lt;&gt;"",K1089&lt;=8))+--(AND(L1089&lt;&gt;"",L1089&lt;=8))+--(AND(M1089&lt;&gt;"",M1089&lt;=8))+--(AND(N1089&lt;&gt;"",N1089&lt;=8))+--(AND(O1089&lt;&gt;"",O1089&lt;=8)))</f>
        <v/>
      </c>
    </row>
    <row r="1090" customFormat="false" ht="15" hidden="false" customHeight="false" outlineLevel="0" collapsed="false">
      <c r="AZ1090" s="5" t="str">
        <f aca="false">IF($B1090="","",SUMPRODUCT(($AL1090:$AO1090&lt;&gt;"")*(COUNTIF($AP1090:$AX1090,$AL1090:$AO1090)&gt;0)))</f>
        <v/>
      </c>
      <c r="BA1090" s="5" t="str">
        <f aca="false">IF($B1090="","",IF(AZ1090&gt;0,1,0))</f>
        <v/>
      </c>
      <c r="BB1090" s="5" t="str">
        <f aca="false">IF($AP1090="","",IF((($AP1090="Engineering and Technology")+($AP1090="Science and Mathematics")+($AP1090="Computer Science, IT and Allied Fields")+($AP1090="Life Sciences /Medicine and Healthcare")+($AP1090="Paramedical")+($AP1090="Architecture")+($AP1090="Environmental Service")+($AP1090="Agriculture, Food Industry and Forestry"))&gt;0,"Science",IF((($AP1090="Banking and Finance")+($AP1090="Management and Administration")+($AP1090="Marketing")+($AP1090="Sales")+($AP1090="Entrepreneurship")+($AP1090="Hospitality and Tourism"))&gt;0,"Commerce",IF((($AP1090="Social Sciences and Humanities")+($AP1090="Law Studies")+($AP1090="Education and Training")+($AP1090="Art, Design")+($AP1090="Entertainment and Mass Media")+($AP1090="Community and Social Service")+($AP1090="Personal Care and Services")+($AP1090="Government and Public Administration")+($AP1090="Defence/ Protective Service")+($AP1090="Sports"))&gt;0,"Arts / Humanities",""))))</f>
        <v/>
      </c>
      <c r="BC1090" s="5" t="str">
        <f aca="false">IF($AL1090="","",IF((($AL1090="Engineering and Technology")+($AL1090="Science and Mathematics")+($AL1090="Computer Science, IT and Allied Fields")+($AL1090="Life Sciences /Medicine and Healthcare")+($AL1090="Paramedical")+($AL1090="Architecture")+($AL1090="Environmental Service")+($AL1090="Agriculture, Food Industry and Forestry"))&gt;0,"Science",IF((($AL1090="Banking and Finance")+($AL1090="Management and Administration")+($AL1090="Marketing")+($AL1090="Sales")+($AL1090="Entrepreneurship")+($AL1090="Hospitality and Tourism"))&gt;0,"Commerce",IF((($AL1090="Social Sciences and Humanities")+($AL1090="Law Studies")+($AL1090="Education and Training")+($AL1090="Art, Design")+($AL1090="Entertainment and Mass Media")+($AL1090="Community and Social Service")+($AL1090="Personal Care and Services")+($AL1090="Government and Public Administration")+($AL1090="Defence/ Protective Service")+($AL1090="Sports"))&gt;0,"Arts / Humanities",""))))</f>
        <v/>
      </c>
      <c r="BD1090" s="5" t="str">
        <f aca="false">IF($B1090="","",--(F1090&gt;=10)+--(G1090&gt;=10)+--(H1090&gt;=10)+--(I1090&gt;=10)+--(J1090&gt;=10)+--(K1090&gt;=10)+--(L1090&gt;=10)+--(M1090&gt;=10)+--(N1090&gt;=10)+--(O1090&gt;=10))</f>
        <v/>
      </c>
      <c r="BE1090" s="5" t="str">
        <f aca="false">IF($B1090="","",--(AND(F1090&lt;&gt;"",F1090&lt;=8))+--(AND(G1090&lt;&gt;"",G1090&lt;=8))+--(AND(H1090&lt;&gt;"",H1090&lt;=8))+--(AND(I1090&lt;&gt;"",I1090&lt;=8))+--(AND(J1090&lt;&gt;"",J1090&lt;=8))+--(AND(K1090&lt;&gt;"",K1090&lt;=8))+--(AND(L1090&lt;&gt;"",L1090&lt;=8))+--(AND(M1090&lt;&gt;"",M1090&lt;=8))+--(AND(N1090&lt;&gt;"",N1090&lt;=8))+--(AND(O1090&lt;&gt;"",O1090&lt;=8)))</f>
        <v/>
      </c>
    </row>
    <row r="1091" customFormat="false" ht="15" hidden="false" customHeight="false" outlineLevel="0" collapsed="false">
      <c r="AZ1091" s="5" t="str">
        <f aca="false">IF($B1091="","",SUMPRODUCT(($AL1091:$AO1091&lt;&gt;"")*(COUNTIF($AP1091:$AX1091,$AL1091:$AO1091)&gt;0)))</f>
        <v/>
      </c>
      <c r="BA1091" s="5" t="str">
        <f aca="false">IF($B1091="","",IF(AZ1091&gt;0,1,0))</f>
        <v/>
      </c>
      <c r="BB1091" s="5" t="str">
        <f aca="false">IF($AP1091="","",IF((($AP1091="Engineering and Technology")+($AP1091="Science and Mathematics")+($AP1091="Computer Science, IT and Allied Fields")+($AP1091="Life Sciences /Medicine and Healthcare")+($AP1091="Paramedical")+($AP1091="Architecture")+($AP1091="Environmental Service")+($AP1091="Agriculture, Food Industry and Forestry"))&gt;0,"Science",IF((($AP1091="Banking and Finance")+($AP1091="Management and Administration")+($AP1091="Marketing")+($AP1091="Sales")+($AP1091="Entrepreneurship")+($AP1091="Hospitality and Tourism"))&gt;0,"Commerce",IF((($AP1091="Social Sciences and Humanities")+($AP1091="Law Studies")+($AP1091="Education and Training")+($AP1091="Art, Design")+($AP1091="Entertainment and Mass Media")+($AP1091="Community and Social Service")+($AP1091="Personal Care and Services")+($AP1091="Government and Public Administration")+($AP1091="Defence/ Protective Service")+($AP1091="Sports"))&gt;0,"Arts / Humanities",""))))</f>
        <v/>
      </c>
      <c r="BC1091" s="5" t="str">
        <f aca="false">IF($AL1091="","",IF((($AL1091="Engineering and Technology")+($AL1091="Science and Mathematics")+($AL1091="Computer Science, IT and Allied Fields")+($AL1091="Life Sciences /Medicine and Healthcare")+($AL1091="Paramedical")+($AL1091="Architecture")+($AL1091="Environmental Service")+($AL1091="Agriculture, Food Industry and Forestry"))&gt;0,"Science",IF((($AL1091="Banking and Finance")+($AL1091="Management and Administration")+($AL1091="Marketing")+($AL1091="Sales")+($AL1091="Entrepreneurship")+($AL1091="Hospitality and Tourism"))&gt;0,"Commerce",IF((($AL1091="Social Sciences and Humanities")+($AL1091="Law Studies")+($AL1091="Education and Training")+($AL1091="Art, Design")+($AL1091="Entertainment and Mass Media")+($AL1091="Community and Social Service")+($AL1091="Personal Care and Services")+($AL1091="Government and Public Administration")+($AL1091="Defence/ Protective Service")+($AL1091="Sports"))&gt;0,"Arts / Humanities",""))))</f>
        <v/>
      </c>
      <c r="BD1091" s="5" t="str">
        <f aca="false">IF($B1091="","",--(F1091&gt;=10)+--(G1091&gt;=10)+--(H1091&gt;=10)+--(I1091&gt;=10)+--(J1091&gt;=10)+--(K1091&gt;=10)+--(L1091&gt;=10)+--(M1091&gt;=10)+--(N1091&gt;=10)+--(O1091&gt;=10))</f>
        <v/>
      </c>
      <c r="BE1091" s="5" t="str">
        <f aca="false">IF($B1091="","",--(AND(F1091&lt;&gt;"",F1091&lt;=8))+--(AND(G1091&lt;&gt;"",G1091&lt;=8))+--(AND(H1091&lt;&gt;"",H1091&lt;=8))+--(AND(I1091&lt;&gt;"",I1091&lt;=8))+--(AND(J1091&lt;&gt;"",J1091&lt;=8))+--(AND(K1091&lt;&gt;"",K1091&lt;=8))+--(AND(L1091&lt;&gt;"",L1091&lt;=8))+--(AND(M1091&lt;&gt;"",M1091&lt;=8))+--(AND(N1091&lt;&gt;"",N1091&lt;=8))+--(AND(O1091&lt;&gt;"",O1091&lt;=8)))</f>
        <v/>
      </c>
    </row>
    <row r="1092" customFormat="false" ht="15" hidden="false" customHeight="false" outlineLevel="0" collapsed="false">
      <c r="AZ1092" s="5" t="str">
        <f aca="false">IF($B1092="","",SUMPRODUCT(($AL1092:$AO1092&lt;&gt;"")*(COUNTIF($AP1092:$AX1092,$AL1092:$AO1092)&gt;0)))</f>
        <v/>
      </c>
      <c r="BA1092" s="5" t="str">
        <f aca="false">IF($B1092="","",IF(AZ1092&gt;0,1,0))</f>
        <v/>
      </c>
      <c r="BB1092" s="5" t="str">
        <f aca="false">IF($AP1092="","",IF((($AP1092="Engineering and Technology")+($AP1092="Science and Mathematics")+($AP1092="Computer Science, IT and Allied Fields")+($AP1092="Life Sciences /Medicine and Healthcare")+($AP1092="Paramedical")+($AP1092="Architecture")+($AP1092="Environmental Service")+($AP1092="Agriculture, Food Industry and Forestry"))&gt;0,"Science",IF((($AP1092="Banking and Finance")+($AP1092="Management and Administration")+($AP1092="Marketing")+($AP1092="Sales")+($AP1092="Entrepreneurship")+($AP1092="Hospitality and Tourism"))&gt;0,"Commerce",IF((($AP1092="Social Sciences and Humanities")+($AP1092="Law Studies")+($AP1092="Education and Training")+($AP1092="Art, Design")+($AP1092="Entertainment and Mass Media")+($AP1092="Community and Social Service")+($AP1092="Personal Care and Services")+($AP1092="Government and Public Administration")+($AP1092="Defence/ Protective Service")+($AP1092="Sports"))&gt;0,"Arts / Humanities",""))))</f>
        <v/>
      </c>
      <c r="BC1092" s="5" t="str">
        <f aca="false">IF($AL1092="","",IF((($AL1092="Engineering and Technology")+($AL1092="Science and Mathematics")+($AL1092="Computer Science, IT and Allied Fields")+($AL1092="Life Sciences /Medicine and Healthcare")+($AL1092="Paramedical")+($AL1092="Architecture")+($AL1092="Environmental Service")+($AL1092="Agriculture, Food Industry and Forestry"))&gt;0,"Science",IF((($AL1092="Banking and Finance")+($AL1092="Management and Administration")+($AL1092="Marketing")+($AL1092="Sales")+($AL1092="Entrepreneurship")+($AL1092="Hospitality and Tourism"))&gt;0,"Commerce",IF((($AL1092="Social Sciences and Humanities")+($AL1092="Law Studies")+($AL1092="Education and Training")+($AL1092="Art, Design")+($AL1092="Entertainment and Mass Media")+($AL1092="Community and Social Service")+($AL1092="Personal Care and Services")+($AL1092="Government and Public Administration")+($AL1092="Defence/ Protective Service")+($AL1092="Sports"))&gt;0,"Arts / Humanities",""))))</f>
        <v/>
      </c>
      <c r="BD1092" s="5" t="str">
        <f aca="false">IF($B1092="","",--(F1092&gt;=10)+--(G1092&gt;=10)+--(H1092&gt;=10)+--(I1092&gt;=10)+--(J1092&gt;=10)+--(K1092&gt;=10)+--(L1092&gt;=10)+--(M1092&gt;=10)+--(N1092&gt;=10)+--(O1092&gt;=10))</f>
        <v/>
      </c>
      <c r="BE1092" s="5" t="str">
        <f aca="false">IF($B1092="","",--(AND(F1092&lt;&gt;"",F1092&lt;=8))+--(AND(G1092&lt;&gt;"",G1092&lt;=8))+--(AND(H1092&lt;&gt;"",H1092&lt;=8))+--(AND(I1092&lt;&gt;"",I1092&lt;=8))+--(AND(J1092&lt;&gt;"",J1092&lt;=8))+--(AND(K1092&lt;&gt;"",K1092&lt;=8))+--(AND(L1092&lt;&gt;"",L1092&lt;=8))+--(AND(M1092&lt;&gt;"",M1092&lt;=8))+--(AND(N1092&lt;&gt;"",N1092&lt;=8))+--(AND(O1092&lt;&gt;"",O1092&lt;=8)))</f>
        <v/>
      </c>
    </row>
    <row r="1093" customFormat="false" ht="15" hidden="false" customHeight="false" outlineLevel="0" collapsed="false">
      <c r="AZ1093" s="5" t="str">
        <f aca="false">IF($B1093="","",SUMPRODUCT(($AL1093:$AO1093&lt;&gt;"")*(COUNTIF($AP1093:$AX1093,$AL1093:$AO1093)&gt;0)))</f>
        <v/>
      </c>
      <c r="BA1093" s="5" t="str">
        <f aca="false">IF($B1093="","",IF(AZ1093&gt;0,1,0))</f>
        <v/>
      </c>
      <c r="BB1093" s="5" t="str">
        <f aca="false">IF($AP1093="","",IF((($AP1093="Engineering and Technology")+($AP1093="Science and Mathematics")+($AP1093="Computer Science, IT and Allied Fields")+($AP1093="Life Sciences /Medicine and Healthcare")+($AP1093="Paramedical")+($AP1093="Architecture")+($AP1093="Environmental Service")+($AP1093="Agriculture, Food Industry and Forestry"))&gt;0,"Science",IF((($AP1093="Banking and Finance")+($AP1093="Management and Administration")+($AP1093="Marketing")+($AP1093="Sales")+($AP1093="Entrepreneurship")+($AP1093="Hospitality and Tourism"))&gt;0,"Commerce",IF((($AP1093="Social Sciences and Humanities")+($AP1093="Law Studies")+($AP1093="Education and Training")+($AP1093="Art, Design")+($AP1093="Entertainment and Mass Media")+($AP1093="Community and Social Service")+($AP1093="Personal Care and Services")+($AP1093="Government and Public Administration")+($AP1093="Defence/ Protective Service")+($AP1093="Sports"))&gt;0,"Arts / Humanities",""))))</f>
        <v/>
      </c>
      <c r="BC1093" s="5" t="str">
        <f aca="false">IF($AL1093="","",IF((($AL1093="Engineering and Technology")+($AL1093="Science and Mathematics")+($AL1093="Computer Science, IT and Allied Fields")+($AL1093="Life Sciences /Medicine and Healthcare")+($AL1093="Paramedical")+($AL1093="Architecture")+($AL1093="Environmental Service")+($AL1093="Agriculture, Food Industry and Forestry"))&gt;0,"Science",IF((($AL1093="Banking and Finance")+($AL1093="Management and Administration")+($AL1093="Marketing")+($AL1093="Sales")+($AL1093="Entrepreneurship")+($AL1093="Hospitality and Tourism"))&gt;0,"Commerce",IF((($AL1093="Social Sciences and Humanities")+($AL1093="Law Studies")+($AL1093="Education and Training")+($AL1093="Art, Design")+($AL1093="Entertainment and Mass Media")+($AL1093="Community and Social Service")+($AL1093="Personal Care and Services")+($AL1093="Government and Public Administration")+($AL1093="Defence/ Protective Service")+($AL1093="Sports"))&gt;0,"Arts / Humanities",""))))</f>
        <v/>
      </c>
      <c r="BD1093" s="5" t="str">
        <f aca="false">IF($B1093="","",--(F1093&gt;=10)+--(G1093&gt;=10)+--(H1093&gt;=10)+--(I1093&gt;=10)+--(J1093&gt;=10)+--(K1093&gt;=10)+--(L1093&gt;=10)+--(M1093&gt;=10)+--(N1093&gt;=10)+--(O1093&gt;=10))</f>
        <v/>
      </c>
      <c r="BE1093" s="5" t="str">
        <f aca="false">IF($B1093="","",--(AND(F1093&lt;&gt;"",F1093&lt;=8))+--(AND(G1093&lt;&gt;"",G1093&lt;=8))+--(AND(H1093&lt;&gt;"",H1093&lt;=8))+--(AND(I1093&lt;&gt;"",I1093&lt;=8))+--(AND(J1093&lt;&gt;"",J1093&lt;=8))+--(AND(K1093&lt;&gt;"",K1093&lt;=8))+--(AND(L1093&lt;&gt;"",L1093&lt;=8))+--(AND(M1093&lt;&gt;"",M1093&lt;=8))+--(AND(N1093&lt;&gt;"",N1093&lt;=8))+--(AND(O1093&lt;&gt;"",O1093&lt;=8)))</f>
        <v/>
      </c>
    </row>
    <row r="1094" customFormat="false" ht="15" hidden="false" customHeight="false" outlineLevel="0" collapsed="false">
      <c r="AZ1094" s="5" t="str">
        <f aca="false">IF($B1094="","",SUMPRODUCT(($AL1094:$AO1094&lt;&gt;"")*(COUNTIF($AP1094:$AX1094,$AL1094:$AO1094)&gt;0)))</f>
        <v/>
      </c>
      <c r="BA1094" s="5" t="str">
        <f aca="false">IF($B1094="","",IF(AZ1094&gt;0,1,0))</f>
        <v/>
      </c>
      <c r="BB1094" s="5" t="str">
        <f aca="false">IF($AP1094="","",IF((($AP1094="Engineering and Technology")+($AP1094="Science and Mathematics")+($AP1094="Computer Science, IT and Allied Fields")+($AP1094="Life Sciences /Medicine and Healthcare")+($AP1094="Paramedical")+($AP1094="Architecture")+($AP1094="Environmental Service")+($AP1094="Agriculture, Food Industry and Forestry"))&gt;0,"Science",IF((($AP1094="Banking and Finance")+($AP1094="Management and Administration")+($AP1094="Marketing")+($AP1094="Sales")+($AP1094="Entrepreneurship")+($AP1094="Hospitality and Tourism"))&gt;0,"Commerce",IF((($AP1094="Social Sciences and Humanities")+($AP1094="Law Studies")+($AP1094="Education and Training")+($AP1094="Art, Design")+($AP1094="Entertainment and Mass Media")+($AP1094="Community and Social Service")+($AP1094="Personal Care and Services")+($AP1094="Government and Public Administration")+($AP1094="Defence/ Protective Service")+($AP1094="Sports"))&gt;0,"Arts / Humanities",""))))</f>
        <v/>
      </c>
      <c r="BC1094" s="5" t="str">
        <f aca="false">IF($AL1094="","",IF((($AL1094="Engineering and Technology")+($AL1094="Science and Mathematics")+($AL1094="Computer Science, IT and Allied Fields")+($AL1094="Life Sciences /Medicine and Healthcare")+($AL1094="Paramedical")+($AL1094="Architecture")+($AL1094="Environmental Service")+($AL1094="Agriculture, Food Industry and Forestry"))&gt;0,"Science",IF((($AL1094="Banking and Finance")+($AL1094="Management and Administration")+($AL1094="Marketing")+($AL1094="Sales")+($AL1094="Entrepreneurship")+($AL1094="Hospitality and Tourism"))&gt;0,"Commerce",IF((($AL1094="Social Sciences and Humanities")+($AL1094="Law Studies")+($AL1094="Education and Training")+($AL1094="Art, Design")+($AL1094="Entertainment and Mass Media")+($AL1094="Community and Social Service")+($AL1094="Personal Care and Services")+($AL1094="Government and Public Administration")+($AL1094="Defence/ Protective Service")+($AL1094="Sports"))&gt;0,"Arts / Humanities",""))))</f>
        <v/>
      </c>
      <c r="BD1094" s="5" t="str">
        <f aca="false">IF($B1094="","",--(F1094&gt;=10)+--(G1094&gt;=10)+--(H1094&gt;=10)+--(I1094&gt;=10)+--(J1094&gt;=10)+--(K1094&gt;=10)+--(L1094&gt;=10)+--(M1094&gt;=10)+--(N1094&gt;=10)+--(O1094&gt;=10))</f>
        <v/>
      </c>
      <c r="BE1094" s="5" t="str">
        <f aca="false">IF($B1094="","",--(AND(F1094&lt;&gt;"",F1094&lt;=8))+--(AND(G1094&lt;&gt;"",G1094&lt;=8))+--(AND(H1094&lt;&gt;"",H1094&lt;=8))+--(AND(I1094&lt;&gt;"",I1094&lt;=8))+--(AND(J1094&lt;&gt;"",J1094&lt;=8))+--(AND(K1094&lt;&gt;"",K1094&lt;=8))+--(AND(L1094&lt;&gt;"",L1094&lt;=8))+--(AND(M1094&lt;&gt;"",M1094&lt;=8))+--(AND(N1094&lt;&gt;"",N1094&lt;=8))+--(AND(O1094&lt;&gt;"",O1094&lt;=8)))</f>
        <v/>
      </c>
    </row>
    <row r="1095" customFormat="false" ht="15" hidden="false" customHeight="false" outlineLevel="0" collapsed="false">
      <c r="AZ1095" s="5" t="str">
        <f aca="false">IF($B1095="","",SUMPRODUCT(($AL1095:$AO1095&lt;&gt;"")*(COUNTIF($AP1095:$AX1095,$AL1095:$AO1095)&gt;0)))</f>
        <v/>
      </c>
      <c r="BA1095" s="5" t="str">
        <f aca="false">IF($B1095="","",IF(AZ1095&gt;0,1,0))</f>
        <v/>
      </c>
      <c r="BB1095" s="5" t="str">
        <f aca="false">IF($AP1095="","",IF((($AP1095="Engineering and Technology")+($AP1095="Science and Mathematics")+($AP1095="Computer Science, IT and Allied Fields")+($AP1095="Life Sciences /Medicine and Healthcare")+($AP1095="Paramedical")+($AP1095="Architecture")+($AP1095="Environmental Service")+($AP1095="Agriculture, Food Industry and Forestry"))&gt;0,"Science",IF((($AP1095="Banking and Finance")+($AP1095="Management and Administration")+($AP1095="Marketing")+($AP1095="Sales")+($AP1095="Entrepreneurship")+($AP1095="Hospitality and Tourism"))&gt;0,"Commerce",IF((($AP1095="Social Sciences and Humanities")+($AP1095="Law Studies")+($AP1095="Education and Training")+($AP1095="Art, Design")+($AP1095="Entertainment and Mass Media")+($AP1095="Community and Social Service")+($AP1095="Personal Care and Services")+($AP1095="Government and Public Administration")+($AP1095="Defence/ Protective Service")+($AP1095="Sports"))&gt;0,"Arts / Humanities",""))))</f>
        <v/>
      </c>
      <c r="BC1095" s="5" t="str">
        <f aca="false">IF($AL1095="","",IF((($AL1095="Engineering and Technology")+($AL1095="Science and Mathematics")+($AL1095="Computer Science, IT and Allied Fields")+($AL1095="Life Sciences /Medicine and Healthcare")+($AL1095="Paramedical")+($AL1095="Architecture")+($AL1095="Environmental Service")+($AL1095="Agriculture, Food Industry and Forestry"))&gt;0,"Science",IF((($AL1095="Banking and Finance")+($AL1095="Management and Administration")+($AL1095="Marketing")+($AL1095="Sales")+($AL1095="Entrepreneurship")+($AL1095="Hospitality and Tourism"))&gt;0,"Commerce",IF((($AL1095="Social Sciences and Humanities")+($AL1095="Law Studies")+($AL1095="Education and Training")+($AL1095="Art, Design")+($AL1095="Entertainment and Mass Media")+($AL1095="Community and Social Service")+($AL1095="Personal Care and Services")+($AL1095="Government and Public Administration")+($AL1095="Defence/ Protective Service")+($AL1095="Sports"))&gt;0,"Arts / Humanities",""))))</f>
        <v/>
      </c>
      <c r="BD1095" s="5" t="str">
        <f aca="false">IF($B1095="","",--(F1095&gt;=10)+--(G1095&gt;=10)+--(H1095&gt;=10)+--(I1095&gt;=10)+--(J1095&gt;=10)+--(K1095&gt;=10)+--(L1095&gt;=10)+--(M1095&gt;=10)+--(N1095&gt;=10)+--(O1095&gt;=10))</f>
        <v/>
      </c>
      <c r="BE1095" s="5" t="str">
        <f aca="false">IF($B1095="","",--(AND(F1095&lt;&gt;"",F1095&lt;=8))+--(AND(G1095&lt;&gt;"",G1095&lt;=8))+--(AND(H1095&lt;&gt;"",H1095&lt;=8))+--(AND(I1095&lt;&gt;"",I1095&lt;=8))+--(AND(J1095&lt;&gt;"",J1095&lt;=8))+--(AND(K1095&lt;&gt;"",K1095&lt;=8))+--(AND(L1095&lt;&gt;"",L1095&lt;=8))+--(AND(M1095&lt;&gt;"",M1095&lt;=8))+--(AND(N1095&lt;&gt;"",N1095&lt;=8))+--(AND(O1095&lt;&gt;"",O1095&lt;=8)))</f>
        <v/>
      </c>
    </row>
    <row r="1096" customFormat="false" ht="15" hidden="false" customHeight="false" outlineLevel="0" collapsed="false">
      <c r="AZ1096" s="5" t="str">
        <f aca="false">IF($B1096="","",SUMPRODUCT(($AL1096:$AO1096&lt;&gt;"")*(COUNTIF($AP1096:$AX1096,$AL1096:$AO1096)&gt;0)))</f>
        <v/>
      </c>
      <c r="BA1096" s="5" t="str">
        <f aca="false">IF($B1096="","",IF(AZ1096&gt;0,1,0))</f>
        <v/>
      </c>
      <c r="BB1096" s="5" t="str">
        <f aca="false">IF($AP1096="","",IF((($AP1096="Engineering and Technology")+($AP1096="Science and Mathematics")+($AP1096="Computer Science, IT and Allied Fields")+($AP1096="Life Sciences /Medicine and Healthcare")+($AP1096="Paramedical")+($AP1096="Architecture")+($AP1096="Environmental Service")+($AP1096="Agriculture, Food Industry and Forestry"))&gt;0,"Science",IF((($AP1096="Banking and Finance")+($AP1096="Management and Administration")+($AP1096="Marketing")+($AP1096="Sales")+($AP1096="Entrepreneurship")+($AP1096="Hospitality and Tourism"))&gt;0,"Commerce",IF((($AP1096="Social Sciences and Humanities")+($AP1096="Law Studies")+($AP1096="Education and Training")+($AP1096="Art, Design")+($AP1096="Entertainment and Mass Media")+($AP1096="Community and Social Service")+($AP1096="Personal Care and Services")+($AP1096="Government and Public Administration")+($AP1096="Defence/ Protective Service")+($AP1096="Sports"))&gt;0,"Arts / Humanities",""))))</f>
        <v/>
      </c>
      <c r="BC1096" s="5" t="str">
        <f aca="false">IF($AL1096="","",IF((($AL1096="Engineering and Technology")+($AL1096="Science and Mathematics")+($AL1096="Computer Science, IT and Allied Fields")+($AL1096="Life Sciences /Medicine and Healthcare")+($AL1096="Paramedical")+($AL1096="Architecture")+($AL1096="Environmental Service")+($AL1096="Agriculture, Food Industry and Forestry"))&gt;0,"Science",IF((($AL1096="Banking and Finance")+($AL1096="Management and Administration")+($AL1096="Marketing")+($AL1096="Sales")+($AL1096="Entrepreneurship")+($AL1096="Hospitality and Tourism"))&gt;0,"Commerce",IF((($AL1096="Social Sciences and Humanities")+($AL1096="Law Studies")+($AL1096="Education and Training")+($AL1096="Art, Design")+($AL1096="Entertainment and Mass Media")+($AL1096="Community and Social Service")+($AL1096="Personal Care and Services")+($AL1096="Government and Public Administration")+($AL1096="Defence/ Protective Service")+($AL1096="Sports"))&gt;0,"Arts / Humanities",""))))</f>
        <v/>
      </c>
      <c r="BD1096" s="5" t="str">
        <f aca="false">IF($B1096="","",--(F1096&gt;=10)+--(G1096&gt;=10)+--(H1096&gt;=10)+--(I1096&gt;=10)+--(J1096&gt;=10)+--(K1096&gt;=10)+--(L1096&gt;=10)+--(M1096&gt;=10)+--(N1096&gt;=10)+--(O1096&gt;=10))</f>
        <v/>
      </c>
      <c r="BE1096" s="5" t="str">
        <f aca="false">IF($B1096="","",--(AND(F1096&lt;&gt;"",F1096&lt;=8))+--(AND(G1096&lt;&gt;"",G1096&lt;=8))+--(AND(H1096&lt;&gt;"",H1096&lt;=8))+--(AND(I1096&lt;&gt;"",I1096&lt;=8))+--(AND(J1096&lt;&gt;"",J1096&lt;=8))+--(AND(K1096&lt;&gt;"",K1096&lt;=8))+--(AND(L1096&lt;&gt;"",L1096&lt;=8))+--(AND(M1096&lt;&gt;"",M1096&lt;=8))+--(AND(N1096&lt;&gt;"",N1096&lt;=8))+--(AND(O1096&lt;&gt;"",O1096&lt;=8)))</f>
        <v/>
      </c>
    </row>
    <row r="1097" customFormat="false" ht="15" hidden="false" customHeight="false" outlineLevel="0" collapsed="false">
      <c r="AZ1097" s="5" t="str">
        <f aca="false">IF($B1097="","",SUMPRODUCT(($AL1097:$AO1097&lt;&gt;"")*(COUNTIF($AP1097:$AX1097,$AL1097:$AO1097)&gt;0)))</f>
        <v/>
      </c>
      <c r="BA1097" s="5" t="str">
        <f aca="false">IF($B1097="","",IF(AZ1097&gt;0,1,0))</f>
        <v/>
      </c>
      <c r="BB1097" s="5" t="str">
        <f aca="false">IF($AP1097="","",IF((($AP1097="Engineering and Technology")+($AP1097="Science and Mathematics")+($AP1097="Computer Science, IT and Allied Fields")+($AP1097="Life Sciences /Medicine and Healthcare")+($AP1097="Paramedical")+($AP1097="Architecture")+($AP1097="Environmental Service")+($AP1097="Agriculture, Food Industry and Forestry"))&gt;0,"Science",IF((($AP1097="Banking and Finance")+($AP1097="Management and Administration")+($AP1097="Marketing")+($AP1097="Sales")+($AP1097="Entrepreneurship")+($AP1097="Hospitality and Tourism"))&gt;0,"Commerce",IF((($AP1097="Social Sciences and Humanities")+($AP1097="Law Studies")+($AP1097="Education and Training")+($AP1097="Art, Design")+($AP1097="Entertainment and Mass Media")+($AP1097="Community and Social Service")+($AP1097="Personal Care and Services")+($AP1097="Government and Public Administration")+($AP1097="Defence/ Protective Service")+($AP1097="Sports"))&gt;0,"Arts / Humanities",""))))</f>
        <v/>
      </c>
      <c r="BC1097" s="5" t="str">
        <f aca="false">IF($AL1097="","",IF((($AL1097="Engineering and Technology")+($AL1097="Science and Mathematics")+($AL1097="Computer Science, IT and Allied Fields")+($AL1097="Life Sciences /Medicine and Healthcare")+($AL1097="Paramedical")+($AL1097="Architecture")+($AL1097="Environmental Service")+($AL1097="Agriculture, Food Industry and Forestry"))&gt;0,"Science",IF((($AL1097="Banking and Finance")+($AL1097="Management and Administration")+($AL1097="Marketing")+($AL1097="Sales")+($AL1097="Entrepreneurship")+($AL1097="Hospitality and Tourism"))&gt;0,"Commerce",IF((($AL1097="Social Sciences and Humanities")+($AL1097="Law Studies")+($AL1097="Education and Training")+($AL1097="Art, Design")+($AL1097="Entertainment and Mass Media")+($AL1097="Community and Social Service")+($AL1097="Personal Care and Services")+($AL1097="Government and Public Administration")+($AL1097="Defence/ Protective Service")+($AL1097="Sports"))&gt;0,"Arts / Humanities",""))))</f>
        <v/>
      </c>
      <c r="BD1097" s="5" t="str">
        <f aca="false">IF($B1097="","",--(F1097&gt;=10)+--(G1097&gt;=10)+--(H1097&gt;=10)+--(I1097&gt;=10)+--(J1097&gt;=10)+--(K1097&gt;=10)+--(L1097&gt;=10)+--(M1097&gt;=10)+--(N1097&gt;=10)+--(O1097&gt;=10))</f>
        <v/>
      </c>
      <c r="BE1097" s="5" t="str">
        <f aca="false">IF($B1097="","",--(AND(F1097&lt;&gt;"",F1097&lt;=8))+--(AND(G1097&lt;&gt;"",G1097&lt;=8))+--(AND(H1097&lt;&gt;"",H1097&lt;=8))+--(AND(I1097&lt;&gt;"",I1097&lt;=8))+--(AND(J1097&lt;&gt;"",J1097&lt;=8))+--(AND(K1097&lt;&gt;"",K1097&lt;=8))+--(AND(L1097&lt;&gt;"",L1097&lt;=8))+--(AND(M1097&lt;&gt;"",M1097&lt;=8))+--(AND(N1097&lt;&gt;"",N1097&lt;=8))+--(AND(O1097&lt;&gt;"",O1097&lt;=8)))</f>
        <v/>
      </c>
    </row>
    <row r="1098" customFormat="false" ht="15" hidden="false" customHeight="false" outlineLevel="0" collapsed="false">
      <c r="AZ1098" s="5" t="str">
        <f aca="false">IF($B1098="","",SUMPRODUCT(($AL1098:$AO1098&lt;&gt;"")*(COUNTIF($AP1098:$AX1098,$AL1098:$AO1098)&gt;0)))</f>
        <v/>
      </c>
      <c r="BA1098" s="5" t="str">
        <f aca="false">IF($B1098="","",IF(AZ1098&gt;0,1,0))</f>
        <v/>
      </c>
      <c r="BB1098" s="5" t="str">
        <f aca="false">IF($AP1098="","",IF((($AP1098="Engineering and Technology")+($AP1098="Science and Mathematics")+($AP1098="Computer Science, IT and Allied Fields")+($AP1098="Life Sciences /Medicine and Healthcare")+($AP1098="Paramedical")+($AP1098="Architecture")+($AP1098="Environmental Service")+($AP1098="Agriculture, Food Industry and Forestry"))&gt;0,"Science",IF((($AP1098="Banking and Finance")+($AP1098="Management and Administration")+($AP1098="Marketing")+($AP1098="Sales")+($AP1098="Entrepreneurship")+($AP1098="Hospitality and Tourism"))&gt;0,"Commerce",IF((($AP1098="Social Sciences and Humanities")+($AP1098="Law Studies")+($AP1098="Education and Training")+($AP1098="Art, Design")+($AP1098="Entertainment and Mass Media")+($AP1098="Community and Social Service")+($AP1098="Personal Care and Services")+($AP1098="Government and Public Administration")+($AP1098="Defence/ Protective Service")+($AP1098="Sports"))&gt;0,"Arts / Humanities",""))))</f>
        <v/>
      </c>
      <c r="BC1098" s="5" t="str">
        <f aca="false">IF($AL1098="","",IF((($AL1098="Engineering and Technology")+($AL1098="Science and Mathematics")+($AL1098="Computer Science, IT and Allied Fields")+($AL1098="Life Sciences /Medicine and Healthcare")+($AL1098="Paramedical")+($AL1098="Architecture")+($AL1098="Environmental Service")+($AL1098="Agriculture, Food Industry and Forestry"))&gt;0,"Science",IF((($AL1098="Banking and Finance")+($AL1098="Management and Administration")+($AL1098="Marketing")+($AL1098="Sales")+($AL1098="Entrepreneurship")+($AL1098="Hospitality and Tourism"))&gt;0,"Commerce",IF((($AL1098="Social Sciences and Humanities")+($AL1098="Law Studies")+($AL1098="Education and Training")+($AL1098="Art, Design")+($AL1098="Entertainment and Mass Media")+($AL1098="Community and Social Service")+($AL1098="Personal Care and Services")+($AL1098="Government and Public Administration")+($AL1098="Defence/ Protective Service")+($AL1098="Sports"))&gt;0,"Arts / Humanities",""))))</f>
        <v/>
      </c>
      <c r="BD1098" s="5" t="str">
        <f aca="false">IF($B1098="","",--(F1098&gt;=10)+--(G1098&gt;=10)+--(H1098&gt;=10)+--(I1098&gt;=10)+--(J1098&gt;=10)+--(K1098&gt;=10)+--(L1098&gt;=10)+--(M1098&gt;=10)+--(N1098&gt;=10)+--(O1098&gt;=10))</f>
        <v/>
      </c>
      <c r="BE1098" s="5" t="str">
        <f aca="false">IF($B1098="","",--(AND(F1098&lt;&gt;"",F1098&lt;=8))+--(AND(G1098&lt;&gt;"",G1098&lt;=8))+--(AND(H1098&lt;&gt;"",H1098&lt;=8))+--(AND(I1098&lt;&gt;"",I1098&lt;=8))+--(AND(J1098&lt;&gt;"",J1098&lt;=8))+--(AND(K1098&lt;&gt;"",K1098&lt;=8))+--(AND(L1098&lt;&gt;"",L1098&lt;=8))+--(AND(M1098&lt;&gt;"",M1098&lt;=8))+--(AND(N1098&lt;&gt;"",N1098&lt;=8))+--(AND(O1098&lt;&gt;"",O1098&lt;=8)))</f>
        <v/>
      </c>
    </row>
    <row r="1099" customFormat="false" ht="15" hidden="false" customHeight="false" outlineLevel="0" collapsed="false">
      <c r="AZ1099" s="5" t="str">
        <f aca="false">IF($B1099="","",SUMPRODUCT(($AL1099:$AO1099&lt;&gt;"")*(COUNTIF($AP1099:$AX1099,$AL1099:$AO1099)&gt;0)))</f>
        <v/>
      </c>
      <c r="BA1099" s="5" t="str">
        <f aca="false">IF($B1099="","",IF(AZ1099&gt;0,1,0))</f>
        <v/>
      </c>
      <c r="BB1099" s="5" t="str">
        <f aca="false">IF($AP1099="","",IF((($AP1099="Engineering and Technology")+($AP1099="Science and Mathematics")+($AP1099="Computer Science, IT and Allied Fields")+($AP1099="Life Sciences /Medicine and Healthcare")+($AP1099="Paramedical")+($AP1099="Architecture")+($AP1099="Environmental Service")+($AP1099="Agriculture, Food Industry and Forestry"))&gt;0,"Science",IF((($AP1099="Banking and Finance")+($AP1099="Management and Administration")+($AP1099="Marketing")+($AP1099="Sales")+($AP1099="Entrepreneurship")+($AP1099="Hospitality and Tourism"))&gt;0,"Commerce",IF((($AP1099="Social Sciences and Humanities")+($AP1099="Law Studies")+($AP1099="Education and Training")+($AP1099="Art, Design")+($AP1099="Entertainment and Mass Media")+($AP1099="Community and Social Service")+($AP1099="Personal Care and Services")+($AP1099="Government and Public Administration")+($AP1099="Defence/ Protective Service")+($AP1099="Sports"))&gt;0,"Arts / Humanities",""))))</f>
        <v/>
      </c>
      <c r="BC1099" s="5" t="str">
        <f aca="false">IF($AL1099="","",IF((($AL1099="Engineering and Technology")+($AL1099="Science and Mathematics")+($AL1099="Computer Science, IT and Allied Fields")+($AL1099="Life Sciences /Medicine and Healthcare")+($AL1099="Paramedical")+($AL1099="Architecture")+($AL1099="Environmental Service")+($AL1099="Agriculture, Food Industry and Forestry"))&gt;0,"Science",IF((($AL1099="Banking and Finance")+($AL1099="Management and Administration")+($AL1099="Marketing")+($AL1099="Sales")+($AL1099="Entrepreneurship")+($AL1099="Hospitality and Tourism"))&gt;0,"Commerce",IF((($AL1099="Social Sciences and Humanities")+($AL1099="Law Studies")+($AL1099="Education and Training")+($AL1099="Art, Design")+($AL1099="Entertainment and Mass Media")+($AL1099="Community and Social Service")+($AL1099="Personal Care and Services")+($AL1099="Government and Public Administration")+($AL1099="Defence/ Protective Service")+($AL1099="Sports"))&gt;0,"Arts / Humanities",""))))</f>
        <v/>
      </c>
      <c r="BD1099" s="5" t="str">
        <f aca="false">IF($B1099="","",--(F1099&gt;=10)+--(G1099&gt;=10)+--(H1099&gt;=10)+--(I1099&gt;=10)+--(J1099&gt;=10)+--(K1099&gt;=10)+--(L1099&gt;=10)+--(M1099&gt;=10)+--(N1099&gt;=10)+--(O1099&gt;=10))</f>
        <v/>
      </c>
      <c r="BE1099" s="5" t="str">
        <f aca="false">IF($B1099="","",--(AND(F1099&lt;&gt;"",F1099&lt;=8))+--(AND(G1099&lt;&gt;"",G1099&lt;=8))+--(AND(H1099&lt;&gt;"",H1099&lt;=8))+--(AND(I1099&lt;&gt;"",I1099&lt;=8))+--(AND(J1099&lt;&gt;"",J1099&lt;=8))+--(AND(K1099&lt;&gt;"",K1099&lt;=8))+--(AND(L1099&lt;&gt;"",L1099&lt;=8))+--(AND(M1099&lt;&gt;"",M1099&lt;=8))+--(AND(N1099&lt;&gt;"",N1099&lt;=8))+--(AND(O1099&lt;&gt;"",O1099&lt;=8)))</f>
        <v/>
      </c>
    </row>
    <row r="1100" customFormat="false" ht="15" hidden="false" customHeight="false" outlineLevel="0" collapsed="false">
      <c r="AZ1100" s="5" t="str">
        <f aca="false">IF($B1100="","",SUMPRODUCT(($AL1100:$AO1100&lt;&gt;"")*(COUNTIF($AP1100:$AX1100,$AL1100:$AO1100)&gt;0)))</f>
        <v/>
      </c>
      <c r="BA1100" s="5" t="str">
        <f aca="false">IF($B1100="","",IF(AZ1100&gt;0,1,0))</f>
        <v/>
      </c>
      <c r="BB1100" s="5" t="str">
        <f aca="false">IF($AP1100="","",IF((($AP1100="Engineering and Technology")+($AP1100="Science and Mathematics")+($AP1100="Computer Science, IT and Allied Fields")+($AP1100="Life Sciences /Medicine and Healthcare")+($AP1100="Paramedical")+($AP1100="Architecture")+($AP1100="Environmental Service")+($AP1100="Agriculture, Food Industry and Forestry"))&gt;0,"Science",IF((($AP1100="Banking and Finance")+($AP1100="Management and Administration")+($AP1100="Marketing")+($AP1100="Sales")+($AP1100="Entrepreneurship")+($AP1100="Hospitality and Tourism"))&gt;0,"Commerce",IF((($AP1100="Social Sciences and Humanities")+($AP1100="Law Studies")+($AP1100="Education and Training")+($AP1100="Art, Design")+($AP1100="Entertainment and Mass Media")+($AP1100="Community and Social Service")+($AP1100="Personal Care and Services")+($AP1100="Government and Public Administration")+($AP1100="Defence/ Protective Service")+($AP1100="Sports"))&gt;0,"Arts / Humanities",""))))</f>
        <v/>
      </c>
      <c r="BC1100" s="5" t="str">
        <f aca="false">IF($AL1100="","",IF((($AL1100="Engineering and Technology")+($AL1100="Science and Mathematics")+($AL1100="Computer Science, IT and Allied Fields")+($AL1100="Life Sciences /Medicine and Healthcare")+($AL1100="Paramedical")+($AL1100="Architecture")+($AL1100="Environmental Service")+($AL1100="Agriculture, Food Industry and Forestry"))&gt;0,"Science",IF((($AL1100="Banking and Finance")+($AL1100="Management and Administration")+($AL1100="Marketing")+($AL1100="Sales")+($AL1100="Entrepreneurship")+($AL1100="Hospitality and Tourism"))&gt;0,"Commerce",IF((($AL1100="Social Sciences and Humanities")+($AL1100="Law Studies")+($AL1100="Education and Training")+($AL1100="Art, Design")+($AL1100="Entertainment and Mass Media")+($AL1100="Community and Social Service")+($AL1100="Personal Care and Services")+($AL1100="Government and Public Administration")+($AL1100="Defence/ Protective Service")+($AL1100="Sports"))&gt;0,"Arts / Humanities",""))))</f>
        <v/>
      </c>
      <c r="BD1100" s="5" t="str">
        <f aca="false">IF($B1100="","",--(F1100&gt;=10)+--(G1100&gt;=10)+--(H1100&gt;=10)+--(I1100&gt;=10)+--(J1100&gt;=10)+--(K1100&gt;=10)+--(L1100&gt;=10)+--(M1100&gt;=10)+--(N1100&gt;=10)+--(O1100&gt;=10))</f>
        <v/>
      </c>
      <c r="BE1100" s="5" t="str">
        <f aca="false">IF($B1100="","",--(AND(F1100&lt;&gt;"",F1100&lt;=8))+--(AND(G1100&lt;&gt;"",G1100&lt;=8))+--(AND(H1100&lt;&gt;"",H1100&lt;=8))+--(AND(I1100&lt;&gt;"",I1100&lt;=8))+--(AND(J1100&lt;&gt;"",J1100&lt;=8))+--(AND(K1100&lt;&gt;"",K1100&lt;=8))+--(AND(L1100&lt;&gt;"",L1100&lt;=8))+--(AND(M1100&lt;&gt;"",M1100&lt;=8))+--(AND(N1100&lt;&gt;"",N1100&lt;=8))+--(AND(O1100&lt;&gt;"",O1100&lt;=8)))</f>
        <v/>
      </c>
    </row>
    <row r="1101" customFormat="false" ht="15" hidden="false" customHeight="false" outlineLevel="0" collapsed="false">
      <c r="AZ1101" s="5" t="str">
        <f aca="false">IF($B1101="","",SUMPRODUCT(($AL1101:$AO1101&lt;&gt;"")*(COUNTIF($AP1101:$AX1101,$AL1101:$AO1101)&gt;0)))</f>
        <v/>
      </c>
      <c r="BA1101" s="5" t="str">
        <f aca="false">IF($B1101="","",IF(AZ1101&gt;0,1,0))</f>
        <v/>
      </c>
      <c r="BB1101" s="5" t="str">
        <f aca="false">IF($AP1101="","",IF((($AP1101="Engineering and Technology")+($AP1101="Science and Mathematics")+($AP1101="Computer Science, IT and Allied Fields")+($AP1101="Life Sciences /Medicine and Healthcare")+($AP1101="Paramedical")+($AP1101="Architecture")+($AP1101="Environmental Service")+($AP1101="Agriculture, Food Industry and Forestry"))&gt;0,"Science",IF((($AP1101="Banking and Finance")+($AP1101="Management and Administration")+($AP1101="Marketing")+($AP1101="Sales")+($AP1101="Entrepreneurship")+($AP1101="Hospitality and Tourism"))&gt;0,"Commerce",IF((($AP1101="Social Sciences and Humanities")+($AP1101="Law Studies")+($AP1101="Education and Training")+($AP1101="Art, Design")+($AP1101="Entertainment and Mass Media")+($AP1101="Community and Social Service")+($AP1101="Personal Care and Services")+($AP1101="Government and Public Administration")+($AP1101="Defence/ Protective Service")+($AP1101="Sports"))&gt;0,"Arts / Humanities",""))))</f>
        <v/>
      </c>
      <c r="BC1101" s="5" t="str">
        <f aca="false">IF($AL1101="","",IF((($AL1101="Engineering and Technology")+($AL1101="Science and Mathematics")+($AL1101="Computer Science, IT and Allied Fields")+($AL1101="Life Sciences /Medicine and Healthcare")+($AL1101="Paramedical")+($AL1101="Architecture")+($AL1101="Environmental Service")+($AL1101="Agriculture, Food Industry and Forestry"))&gt;0,"Science",IF((($AL1101="Banking and Finance")+($AL1101="Management and Administration")+($AL1101="Marketing")+($AL1101="Sales")+($AL1101="Entrepreneurship")+($AL1101="Hospitality and Tourism"))&gt;0,"Commerce",IF((($AL1101="Social Sciences and Humanities")+($AL1101="Law Studies")+($AL1101="Education and Training")+($AL1101="Art, Design")+($AL1101="Entertainment and Mass Media")+($AL1101="Community and Social Service")+($AL1101="Personal Care and Services")+($AL1101="Government and Public Administration")+($AL1101="Defence/ Protective Service")+($AL1101="Sports"))&gt;0,"Arts / Humanities",""))))</f>
        <v/>
      </c>
      <c r="BD1101" s="5" t="str">
        <f aca="false">IF($B1101="","",--(F1101&gt;=10)+--(G1101&gt;=10)+--(H1101&gt;=10)+--(I1101&gt;=10)+--(J1101&gt;=10)+--(K1101&gt;=10)+--(L1101&gt;=10)+--(M1101&gt;=10)+--(N1101&gt;=10)+--(O1101&gt;=10))</f>
        <v/>
      </c>
      <c r="BE1101" s="5" t="str">
        <f aca="false">IF($B1101="","",--(AND(F1101&lt;&gt;"",F1101&lt;=8))+--(AND(G1101&lt;&gt;"",G1101&lt;=8))+--(AND(H1101&lt;&gt;"",H1101&lt;=8))+--(AND(I1101&lt;&gt;"",I1101&lt;=8))+--(AND(J1101&lt;&gt;"",J1101&lt;=8))+--(AND(K1101&lt;&gt;"",K1101&lt;=8))+--(AND(L1101&lt;&gt;"",L1101&lt;=8))+--(AND(M1101&lt;&gt;"",M1101&lt;=8))+--(AND(N1101&lt;&gt;"",N1101&lt;=8))+--(AND(O1101&lt;&gt;"",O1101&lt;=8)))</f>
        <v/>
      </c>
    </row>
    <row r="1102" customFormat="false" ht="15" hidden="false" customHeight="false" outlineLevel="0" collapsed="false">
      <c r="AZ1102" s="5" t="str">
        <f aca="false">IF($B1102="","",SUMPRODUCT(($AL1102:$AO1102&lt;&gt;"")*(COUNTIF($AP1102:$AX1102,$AL1102:$AO1102)&gt;0)))</f>
        <v/>
      </c>
      <c r="BA1102" s="5" t="str">
        <f aca="false">IF($B1102="","",IF(AZ1102&gt;0,1,0))</f>
        <v/>
      </c>
      <c r="BB1102" s="5" t="str">
        <f aca="false">IF($AP1102="","",IF((($AP1102="Engineering and Technology")+($AP1102="Science and Mathematics")+($AP1102="Computer Science, IT and Allied Fields")+($AP1102="Life Sciences /Medicine and Healthcare")+($AP1102="Paramedical")+($AP1102="Architecture")+($AP1102="Environmental Service")+($AP1102="Agriculture, Food Industry and Forestry"))&gt;0,"Science",IF((($AP1102="Banking and Finance")+($AP1102="Management and Administration")+($AP1102="Marketing")+($AP1102="Sales")+($AP1102="Entrepreneurship")+($AP1102="Hospitality and Tourism"))&gt;0,"Commerce",IF((($AP1102="Social Sciences and Humanities")+($AP1102="Law Studies")+($AP1102="Education and Training")+($AP1102="Art, Design")+($AP1102="Entertainment and Mass Media")+($AP1102="Community and Social Service")+($AP1102="Personal Care and Services")+($AP1102="Government and Public Administration")+($AP1102="Defence/ Protective Service")+($AP1102="Sports"))&gt;0,"Arts / Humanities",""))))</f>
        <v/>
      </c>
      <c r="BC1102" s="5" t="str">
        <f aca="false">IF($AL1102="","",IF((($AL1102="Engineering and Technology")+($AL1102="Science and Mathematics")+($AL1102="Computer Science, IT and Allied Fields")+($AL1102="Life Sciences /Medicine and Healthcare")+($AL1102="Paramedical")+($AL1102="Architecture")+($AL1102="Environmental Service")+($AL1102="Agriculture, Food Industry and Forestry"))&gt;0,"Science",IF((($AL1102="Banking and Finance")+($AL1102="Management and Administration")+($AL1102="Marketing")+($AL1102="Sales")+($AL1102="Entrepreneurship")+($AL1102="Hospitality and Tourism"))&gt;0,"Commerce",IF((($AL1102="Social Sciences and Humanities")+($AL1102="Law Studies")+($AL1102="Education and Training")+($AL1102="Art, Design")+($AL1102="Entertainment and Mass Media")+($AL1102="Community and Social Service")+($AL1102="Personal Care and Services")+($AL1102="Government and Public Administration")+($AL1102="Defence/ Protective Service")+($AL1102="Sports"))&gt;0,"Arts / Humanities",""))))</f>
        <v/>
      </c>
      <c r="BD1102" s="5" t="str">
        <f aca="false">IF($B1102="","",--(F1102&gt;=10)+--(G1102&gt;=10)+--(H1102&gt;=10)+--(I1102&gt;=10)+--(J1102&gt;=10)+--(K1102&gt;=10)+--(L1102&gt;=10)+--(M1102&gt;=10)+--(N1102&gt;=10)+--(O1102&gt;=10))</f>
        <v/>
      </c>
      <c r="BE1102" s="5" t="str">
        <f aca="false">IF($B1102="","",--(AND(F1102&lt;&gt;"",F1102&lt;=8))+--(AND(G1102&lt;&gt;"",G1102&lt;=8))+--(AND(H1102&lt;&gt;"",H1102&lt;=8))+--(AND(I1102&lt;&gt;"",I1102&lt;=8))+--(AND(J1102&lt;&gt;"",J1102&lt;=8))+--(AND(K1102&lt;&gt;"",K1102&lt;=8))+--(AND(L1102&lt;&gt;"",L1102&lt;=8))+--(AND(M1102&lt;&gt;"",M1102&lt;=8))+--(AND(N1102&lt;&gt;"",N1102&lt;=8))+--(AND(O1102&lt;&gt;"",O1102&lt;=8)))</f>
        <v/>
      </c>
    </row>
    <row r="1103" customFormat="false" ht="15" hidden="false" customHeight="false" outlineLevel="0" collapsed="false">
      <c r="AZ1103" s="5" t="str">
        <f aca="false">IF($B1103="","",SUMPRODUCT(($AL1103:$AO1103&lt;&gt;"")*(COUNTIF($AP1103:$AX1103,$AL1103:$AO1103)&gt;0)))</f>
        <v/>
      </c>
      <c r="BA1103" s="5" t="str">
        <f aca="false">IF($B1103="","",IF(AZ1103&gt;0,1,0))</f>
        <v/>
      </c>
      <c r="BB1103" s="5" t="str">
        <f aca="false">IF($AP1103="","",IF((($AP1103="Engineering and Technology")+($AP1103="Science and Mathematics")+($AP1103="Computer Science, IT and Allied Fields")+($AP1103="Life Sciences /Medicine and Healthcare")+($AP1103="Paramedical")+($AP1103="Architecture")+($AP1103="Environmental Service")+($AP1103="Agriculture, Food Industry and Forestry"))&gt;0,"Science",IF((($AP1103="Banking and Finance")+($AP1103="Management and Administration")+($AP1103="Marketing")+($AP1103="Sales")+($AP1103="Entrepreneurship")+($AP1103="Hospitality and Tourism"))&gt;0,"Commerce",IF((($AP1103="Social Sciences and Humanities")+($AP1103="Law Studies")+($AP1103="Education and Training")+($AP1103="Art, Design")+($AP1103="Entertainment and Mass Media")+($AP1103="Community and Social Service")+($AP1103="Personal Care and Services")+($AP1103="Government and Public Administration")+($AP1103="Defence/ Protective Service")+($AP1103="Sports"))&gt;0,"Arts / Humanities",""))))</f>
        <v/>
      </c>
      <c r="BC1103" s="5" t="str">
        <f aca="false">IF($AL1103="","",IF((($AL1103="Engineering and Technology")+($AL1103="Science and Mathematics")+($AL1103="Computer Science, IT and Allied Fields")+($AL1103="Life Sciences /Medicine and Healthcare")+($AL1103="Paramedical")+($AL1103="Architecture")+($AL1103="Environmental Service")+($AL1103="Agriculture, Food Industry and Forestry"))&gt;0,"Science",IF((($AL1103="Banking and Finance")+($AL1103="Management and Administration")+($AL1103="Marketing")+($AL1103="Sales")+($AL1103="Entrepreneurship")+($AL1103="Hospitality and Tourism"))&gt;0,"Commerce",IF((($AL1103="Social Sciences and Humanities")+($AL1103="Law Studies")+($AL1103="Education and Training")+($AL1103="Art, Design")+($AL1103="Entertainment and Mass Media")+($AL1103="Community and Social Service")+($AL1103="Personal Care and Services")+($AL1103="Government and Public Administration")+($AL1103="Defence/ Protective Service")+($AL1103="Sports"))&gt;0,"Arts / Humanities",""))))</f>
        <v/>
      </c>
      <c r="BD1103" s="5" t="str">
        <f aca="false">IF($B1103="","",--(F1103&gt;=10)+--(G1103&gt;=10)+--(H1103&gt;=10)+--(I1103&gt;=10)+--(J1103&gt;=10)+--(K1103&gt;=10)+--(L1103&gt;=10)+--(M1103&gt;=10)+--(N1103&gt;=10)+--(O1103&gt;=10))</f>
        <v/>
      </c>
      <c r="BE1103" s="5" t="str">
        <f aca="false">IF($B1103="","",--(AND(F1103&lt;&gt;"",F1103&lt;=8))+--(AND(G1103&lt;&gt;"",G1103&lt;=8))+--(AND(H1103&lt;&gt;"",H1103&lt;=8))+--(AND(I1103&lt;&gt;"",I1103&lt;=8))+--(AND(J1103&lt;&gt;"",J1103&lt;=8))+--(AND(K1103&lt;&gt;"",K1103&lt;=8))+--(AND(L1103&lt;&gt;"",L1103&lt;=8))+--(AND(M1103&lt;&gt;"",M1103&lt;=8))+--(AND(N1103&lt;&gt;"",N1103&lt;=8))+--(AND(O1103&lt;&gt;"",O1103&lt;=8)))</f>
        <v/>
      </c>
    </row>
    <row r="1104" customFormat="false" ht="15" hidden="false" customHeight="false" outlineLevel="0" collapsed="false">
      <c r="AZ1104" s="5" t="str">
        <f aca="false">IF($B1104="","",SUMPRODUCT(($AL1104:$AO1104&lt;&gt;"")*(COUNTIF($AP1104:$AX1104,$AL1104:$AO1104)&gt;0)))</f>
        <v/>
      </c>
      <c r="BA1104" s="5" t="str">
        <f aca="false">IF($B1104="","",IF(AZ1104&gt;0,1,0))</f>
        <v/>
      </c>
      <c r="BB1104" s="5" t="str">
        <f aca="false">IF($AP1104="","",IF((($AP1104="Engineering and Technology")+($AP1104="Science and Mathematics")+($AP1104="Computer Science, IT and Allied Fields")+($AP1104="Life Sciences /Medicine and Healthcare")+($AP1104="Paramedical")+($AP1104="Architecture")+($AP1104="Environmental Service")+($AP1104="Agriculture, Food Industry and Forestry"))&gt;0,"Science",IF((($AP1104="Banking and Finance")+($AP1104="Management and Administration")+($AP1104="Marketing")+($AP1104="Sales")+($AP1104="Entrepreneurship")+($AP1104="Hospitality and Tourism"))&gt;0,"Commerce",IF((($AP1104="Social Sciences and Humanities")+($AP1104="Law Studies")+($AP1104="Education and Training")+($AP1104="Art, Design")+($AP1104="Entertainment and Mass Media")+($AP1104="Community and Social Service")+($AP1104="Personal Care and Services")+($AP1104="Government and Public Administration")+($AP1104="Defence/ Protective Service")+($AP1104="Sports"))&gt;0,"Arts / Humanities",""))))</f>
        <v/>
      </c>
      <c r="BC1104" s="5" t="str">
        <f aca="false">IF($AL1104="","",IF((($AL1104="Engineering and Technology")+($AL1104="Science and Mathematics")+($AL1104="Computer Science, IT and Allied Fields")+($AL1104="Life Sciences /Medicine and Healthcare")+($AL1104="Paramedical")+($AL1104="Architecture")+($AL1104="Environmental Service")+($AL1104="Agriculture, Food Industry and Forestry"))&gt;0,"Science",IF((($AL1104="Banking and Finance")+($AL1104="Management and Administration")+($AL1104="Marketing")+($AL1104="Sales")+($AL1104="Entrepreneurship")+($AL1104="Hospitality and Tourism"))&gt;0,"Commerce",IF((($AL1104="Social Sciences and Humanities")+($AL1104="Law Studies")+($AL1104="Education and Training")+($AL1104="Art, Design")+($AL1104="Entertainment and Mass Media")+($AL1104="Community and Social Service")+($AL1104="Personal Care and Services")+($AL1104="Government and Public Administration")+($AL1104="Defence/ Protective Service")+($AL1104="Sports"))&gt;0,"Arts / Humanities",""))))</f>
        <v/>
      </c>
      <c r="BD1104" s="5" t="str">
        <f aca="false">IF($B1104="","",--(F1104&gt;=10)+--(G1104&gt;=10)+--(H1104&gt;=10)+--(I1104&gt;=10)+--(J1104&gt;=10)+--(K1104&gt;=10)+--(L1104&gt;=10)+--(M1104&gt;=10)+--(N1104&gt;=10)+--(O1104&gt;=10))</f>
        <v/>
      </c>
      <c r="BE1104" s="5" t="str">
        <f aca="false">IF($B1104="","",--(AND(F1104&lt;&gt;"",F1104&lt;=8))+--(AND(G1104&lt;&gt;"",G1104&lt;=8))+--(AND(H1104&lt;&gt;"",H1104&lt;=8))+--(AND(I1104&lt;&gt;"",I1104&lt;=8))+--(AND(J1104&lt;&gt;"",J1104&lt;=8))+--(AND(K1104&lt;&gt;"",K1104&lt;=8))+--(AND(L1104&lt;&gt;"",L1104&lt;=8))+--(AND(M1104&lt;&gt;"",M1104&lt;=8))+--(AND(N1104&lt;&gt;"",N1104&lt;=8))+--(AND(O1104&lt;&gt;"",O1104&lt;=8)))</f>
        <v/>
      </c>
    </row>
    <row r="1105" customFormat="false" ht="15" hidden="false" customHeight="false" outlineLevel="0" collapsed="false">
      <c r="AZ1105" s="5" t="str">
        <f aca="false">IF($B1105="","",SUMPRODUCT(($AL1105:$AO1105&lt;&gt;"")*(COUNTIF($AP1105:$AX1105,$AL1105:$AO1105)&gt;0)))</f>
        <v/>
      </c>
      <c r="BA1105" s="5" t="str">
        <f aca="false">IF($B1105="","",IF(AZ1105&gt;0,1,0))</f>
        <v/>
      </c>
      <c r="BB1105" s="5" t="str">
        <f aca="false">IF($AP1105="","",IF((($AP1105="Engineering and Technology")+($AP1105="Science and Mathematics")+($AP1105="Computer Science, IT and Allied Fields")+($AP1105="Life Sciences /Medicine and Healthcare")+($AP1105="Paramedical")+($AP1105="Architecture")+($AP1105="Environmental Service")+($AP1105="Agriculture, Food Industry and Forestry"))&gt;0,"Science",IF((($AP1105="Banking and Finance")+($AP1105="Management and Administration")+($AP1105="Marketing")+($AP1105="Sales")+($AP1105="Entrepreneurship")+($AP1105="Hospitality and Tourism"))&gt;0,"Commerce",IF((($AP1105="Social Sciences and Humanities")+($AP1105="Law Studies")+($AP1105="Education and Training")+($AP1105="Art, Design")+($AP1105="Entertainment and Mass Media")+($AP1105="Community and Social Service")+($AP1105="Personal Care and Services")+($AP1105="Government and Public Administration")+($AP1105="Defence/ Protective Service")+($AP1105="Sports"))&gt;0,"Arts / Humanities",""))))</f>
        <v/>
      </c>
      <c r="BC1105" s="5" t="str">
        <f aca="false">IF($AL1105="","",IF((($AL1105="Engineering and Technology")+($AL1105="Science and Mathematics")+($AL1105="Computer Science, IT and Allied Fields")+($AL1105="Life Sciences /Medicine and Healthcare")+($AL1105="Paramedical")+($AL1105="Architecture")+($AL1105="Environmental Service")+($AL1105="Agriculture, Food Industry and Forestry"))&gt;0,"Science",IF((($AL1105="Banking and Finance")+($AL1105="Management and Administration")+($AL1105="Marketing")+($AL1105="Sales")+($AL1105="Entrepreneurship")+($AL1105="Hospitality and Tourism"))&gt;0,"Commerce",IF((($AL1105="Social Sciences and Humanities")+($AL1105="Law Studies")+($AL1105="Education and Training")+($AL1105="Art, Design")+($AL1105="Entertainment and Mass Media")+($AL1105="Community and Social Service")+($AL1105="Personal Care and Services")+($AL1105="Government and Public Administration")+($AL1105="Defence/ Protective Service")+($AL1105="Sports"))&gt;0,"Arts / Humanities",""))))</f>
        <v/>
      </c>
      <c r="BD1105" s="5" t="str">
        <f aca="false">IF($B1105="","",--(F1105&gt;=10)+--(G1105&gt;=10)+--(H1105&gt;=10)+--(I1105&gt;=10)+--(J1105&gt;=10)+--(K1105&gt;=10)+--(L1105&gt;=10)+--(M1105&gt;=10)+--(N1105&gt;=10)+--(O1105&gt;=10))</f>
        <v/>
      </c>
      <c r="BE1105" s="5" t="str">
        <f aca="false">IF($B1105="","",--(AND(F1105&lt;&gt;"",F1105&lt;=8))+--(AND(G1105&lt;&gt;"",G1105&lt;=8))+--(AND(H1105&lt;&gt;"",H1105&lt;=8))+--(AND(I1105&lt;&gt;"",I1105&lt;=8))+--(AND(J1105&lt;&gt;"",J1105&lt;=8))+--(AND(K1105&lt;&gt;"",K1105&lt;=8))+--(AND(L1105&lt;&gt;"",L1105&lt;=8))+--(AND(M1105&lt;&gt;"",M1105&lt;=8))+--(AND(N1105&lt;&gt;"",N1105&lt;=8))+--(AND(O1105&lt;&gt;"",O1105&lt;=8)))</f>
        <v/>
      </c>
    </row>
    <row r="1106" customFormat="false" ht="15" hidden="false" customHeight="false" outlineLevel="0" collapsed="false">
      <c r="AZ1106" s="5" t="str">
        <f aca="false">IF($B1106="","",SUMPRODUCT(($AL1106:$AO1106&lt;&gt;"")*(COUNTIF($AP1106:$AX1106,$AL1106:$AO1106)&gt;0)))</f>
        <v/>
      </c>
      <c r="BA1106" s="5" t="str">
        <f aca="false">IF($B1106="","",IF(AZ1106&gt;0,1,0))</f>
        <v/>
      </c>
      <c r="BB1106" s="5" t="str">
        <f aca="false">IF($AP1106="","",IF((($AP1106="Engineering and Technology")+($AP1106="Science and Mathematics")+($AP1106="Computer Science, IT and Allied Fields")+($AP1106="Life Sciences /Medicine and Healthcare")+($AP1106="Paramedical")+($AP1106="Architecture")+($AP1106="Environmental Service")+($AP1106="Agriculture, Food Industry and Forestry"))&gt;0,"Science",IF((($AP1106="Banking and Finance")+($AP1106="Management and Administration")+($AP1106="Marketing")+($AP1106="Sales")+($AP1106="Entrepreneurship")+($AP1106="Hospitality and Tourism"))&gt;0,"Commerce",IF((($AP1106="Social Sciences and Humanities")+($AP1106="Law Studies")+($AP1106="Education and Training")+($AP1106="Art, Design")+($AP1106="Entertainment and Mass Media")+($AP1106="Community and Social Service")+($AP1106="Personal Care and Services")+($AP1106="Government and Public Administration")+($AP1106="Defence/ Protective Service")+($AP1106="Sports"))&gt;0,"Arts / Humanities",""))))</f>
        <v/>
      </c>
      <c r="BC1106" s="5" t="str">
        <f aca="false">IF($AL1106="","",IF((($AL1106="Engineering and Technology")+($AL1106="Science and Mathematics")+($AL1106="Computer Science, IT and Allied Fields")+($AL1106="Life Sciences /Medicine and Healthcare")+($AL1106="Paramedical")+($AL1106="Architecture")+($AL1106="Environmental Service")+($AL1106="Agriculture, Food Industry and Forestry"))&gt;0,"Science",IF((($AL1106="Banking and Finance")+($AL1106="Management and Administration")+($AL1106="Marketing")+($AL1106="Sales")+($AL1106="Entrepreneurship")+($AL1106="Hospitality and Tourism"))&gt;0,"Commerce",IF((($AL1106="Social Sciences and Humanities")+($AL1106="Law Studies")+($AL1106="Education and Training")+($AL1106="Art, Design")+($AL1106="Entertainment and Mass Media")+($AL1106="Community and Social Service")+($AL1106="Personal Care and Services")+($AL1106="Government and Public Administration")+($AL1106="Defence/ Protective Service")+($AL1106="Sports"))&gt;0,"Arts / Humanities",""))))</f>
        <v/>
      </c>
      <c r="BD1106" s="5" t="str">
        <f aca="false">IF($B1106="","",--(F1106&gt;=10)+--(G1106&gt;=10)+--(H1106&gt;=10)+--(I1106&gt;=10)+--(J1106&gt;=10)+--(K1106&gt;=10)+--(L1106&gt;=10)+--(M1106&gt;=10)+--(N1106&gt;=10)+--(O1106&gt;=10))</f>
        <v/>
      </c>
      <c r="BE1106" s="5" t="str">
        <f aca="false">IF($B1106="","",--(AND(F1106&lt;&gt;"",F1106&lt;=8))+--(AND(G1106&lt;&gt;"",G1106&lt;=8))+--(AND(H1106&lt;&gt;"",H1106&lt;=8))+--(AND(I1106&lt;&gt;"",I1106&lt;=8))+--(AND(J1106&lt;&gt;"",J1106&lt;=8))+--(AND(K1106&lt;&gt;"",K1106&lt;=8))+--(AND(L1106&lt;&gt;"",L1106&lt;=8))+--(AND(M1106&lt;&gt;"",M1106&lt;=8))+--(AND(N1106&lt;&gt;"",N1106&lt;=8))+--(AND(O1106&lt;&gt;"",O1106&lt;=8)))</f>
        <v/>
      </c>
    </row>
    <row r="1107" customFormat="false" ht="15" hidden="false" customHeight="false" outlineLevel="0" collapsed="false">
      <c r="AZ1107" s="5" t="str">
        <f aca="false">IF($B1107="","",SUMPRODUCT(($AL1107:$AO1107&lt;&gt;"")*(COUNTIF($AP1107:$AX1107,$AL1107:$AO1107)&gt;0)))</f>
        <v/>
      </c>
      <c r="BA1107" s="5" t="str">
        <f aca="false">IF($B1107="","",IF(AZ1107&gt;0,1,0))</f>
        <v/>
      </c>
      <c r="BB1107" s="5" t="str">
        <f aca="false">IF($AP1107="","",IF((($AP1107="Engineering and Technology")+($AP1107="Science and Mathematics")+($AP1107="Computer Science, IT and Allied Fields")+($AP1107="Life Sciences /Medicine and Healthcare")+($AP1107="Paramedical")+($AP1107="Architecture")+($AP1107="Environmental Service")+($AP1107="Agriculture, Food Industry and Forestry"))&gt;0,"Science",IF((($AP1107="Banking and Finance")+($AP1107="Management and Administration")+($AP1107="Marketing")+($AP1107="Sales")+($AP1107="Entrepreneurship")+($AP1107="Hospitality and Tourism"))&gt;0,"Commerce",IF((($AP1107="Social Sciences and Humanities")+($AP1107="Law Studies")+($AP1107="Education and Training")+($AP1107="Art, Design")+($AP1107="Entertainment and Mass Media")+($AP1107="Community and Social Service")+($AP1107="Personal Care and Services")+($AP1107="Government and Public Administration")+($AP1107="Defence/ Protective Service")+($AP1107="Sports"))&gt;0,"Arts / Humanities",""))))</f>
        <v/>
      </c>
      <c r="BC1107" s="5" t="str">
        <f aca="false">IF($AL1107="","",IF((($AL1107="Engineering and Technology")+($AL1107="Science and Mathematics")+($AL1107="Computer Science, IT and Allied Fields")+($AL1107="Life Sciences /Medicine and Healthcare")+($AL1107="Paramedical")+($AL1107="Architecture")+($AL1107="Environmental Service")+($AL1107="Agriculture, Food Industry and Forestry"))&gt;0,"Science",IF((($AL1107="Banking and Finance")+($AL1107="Management and Administration")+($AL1107="Marketing")+($AL1107="Sales")+($AL1107="Entrepreneurship")+($AL1107="Hospitality and Tourism"))&gt;0,"Commerce",IF((($AL1107="Social Sciences and Humanities")+($AL1107="Law Studies")+($AL1107="Education and Training")+($AL1107="Art, Design")+($AL1107="Entertainment and Mass Media")+($AL1107="Community and Social Service")+($AL1107="Personal Care and Services")+($AL1107="Government and Public Administration")+($AL1107="Defence/ Protective Service")+($AL1107="Sports"))&gt;0,"Arts / Humanities",""))))</f>
        <v/>
      </c>
      <c r="BD1107" s="5" t="str">
        <f aca="false">IF($B1107="","",--(F1107&gt;=10)+--(G1107&gt;=10)+--(H1107&gt;=10)+--(I1107&gt;=10)+--(J1107&gt;=10)+--(K1107&gt;=10)+--(L1107&gt;=10)+--(M1107&gt;=10)+--(N1107&gt;=10)+--(O1107&gt;=10))</f>
        <v/>
      </c>
      <c r="BE1107" s="5" t="str">
        <f aca="false">IF($B1107="","",--(AND(F1107&lt;&gt;"",F1107&lt;=8))+--(AND(G1107&lt;&gt;"",G1107&lt;=8))+--(AND(H1107&lt;&gt;"",H1107&lt;=8))+--(AND(I1107&lt;&gt;"",I1107&lt;=8))+--(AND(J1107&lt;&gt;"",J1107&lt;=8))+--(AND(K1107&lt;&gt;"",K1107&lt;=8))+--(AND(L1107&lt;&gt;"",L1107&lt;=8))+--(AND(M1107&lt;&gt;"",M1107&lt;=8))+--(AND(N1107&lt;&gt;"",N1107&lt;=8))+--(AND(O1107&lt;&gt;"",O1107&lt;=8)))</f>
        <v/>
      </c>
    </row>
    <row r="1108" customFormat="false" ht="15" hidden="false" customHeight="false" outlineLevel="0" collapsed="false">
      <c r="AZ1108" s="5" t="str">
        <f aca="false">IF($B1108="","",SUMPRODUCT(($AL1108:$AO1108&lt;&gt;"")*(COUNTIF($AP1108:$AX1108,$AL1108:$AO1108)&gt;0)))</f>
        <v/>
      </c>
      <c r="BA1108" s="5" t="str">
        <f aca="false">IF($B1108="","",IF(AZ1108&gt;0,1,0))</f>
        <v/>
      </c>
      <c r="BB1108" s="5" t="str">
        <f aca="false">IF($AP1108="","",IF((($AP1108="Engineering and Technology")+($AP1108="Science and Mathematics")+($AP1108="Computer Science, IT and Allied Fields")+($AP1108="Life Sciences /Medicine and Healthcare")+($AP1108="Paramedical")+($AP1108="Architecture")+($AP1108="Environmental Service")+($AP1108="Agriculture, Food Industry and Forestry"))&gt;0,"Science",IF((($AP1108="Banking and Finance")+($AP1108="Management and Administration")+($AP1108="Marketing")+($AP1108="Sales")+($AP1108="Entrepreneurship")+($AP1108="Hospitality and Tourism"))&gt;0,"Commerce",IF((($AP1108="Social Sciences and Humanities")+($AP1108="Law Studies")+($AP1108="Education and Training")+($AP1108="Art, Design")+($AP1108="Entertainment and Mass Media")+($AP1108="Community and Social Service")+($AP1108="Personal Care and Services")+($AP1108="Government and Public Administration")+($AP1108="Defence/ Protective Service")+($AP1108="Sports"))&gt;0,"Arts / Humanities",""))))</f>
        <v/>
      </c>
      <c r="BC1108" s="5" t="str">
        <f aca="false">IF($AL1108="","",IF((($AL1108="Engineering and Technology")+($AL1108="Science and Mathematics")+($AL1108="Computer Science, IT and Allied Fields")+($AL1108="Life Sciences /Medicine and Healthcare")+($AL1108="Paramedical")+($AL1108="Architecture")+($AL1108="Environmental Service")+($AL1108="Agriculture, Food Industry and Forestry"))&gt;0,"Science",IF((($AL1108="Banking and Finance")+($AL1108="Management and Administration")+($AL1108="Marketing")+($AL1108="Sales")+($AL1108="Entrepreneurship")+($AL1108="Hospitality and Tourism"))&gt;0,"Commerce",IF((($AL1108="Social Sciences and Humanities")+($AL1108="Law Studies")+($AL1108="Education and Training")+($AL1108="Art, Design")+($AL1108="Entertainment and Mass Media")+($AL1108="Community and Social Service")+($AL1108="Personal Care and Services")+($AL1108="Government and Public Administration")+($AL1108="Defence/ Protective Service")+($AL1108="Sports"))&gt;0,"Arts / Humanities",""))))</f>
        <v/>
      </c>
      <c r="BD1108" s="5" t="str">
        <f aca="false">IF($B1108="","",--(F1108&gt;=10)+--(G1108&gt;=10)+--(H1108&gt;=10)+--(I1108&gt;=10)+--(J1108&gt;=10)+--(K1108&gt;=10)+--(L1108&gt;=10)+--(M1108&gt;=10)+--(N1108&gt;=10)+--(O1108&gt;=10))</f>
        <v/>
      </c>
      <c r="BE1108" s="5" t="str">
        <f aca="false">IF($B1108="","",--(AND(F1108&lt;&gt;"",F1108&lt;=8))+--(AND(G1108&lt;&gt;"",G1108&lt;=8))+--(AND(H1108&lt;&gt;"",H1108&lt;=8))+--(AND(I1108&lt;&gt;"",I1108&lt;=8))+--(AND(J1108&lt;&gt;"",J1108&lt;=8))+--(AND(K1108&lt;&gt;"",K1108&lt;=8))+--(AND(L1108&lt;&gt;"",L1108&lt;=8))+--(AND(M1108&lt;&gt;"",M1108&lt;=8))+--(AND(N1108&lt;&gt;"",N1108&lt;=8))+--(AND(O1108&lt;&gt;"",O1108&lt;=8)))</f>
        <v/>
      </c>
    </row>
    <row r="1109" customFormat="false" ht="15" hidden="false" customHeight="false" outlineLevel="0" collapsed="false">
      <c r="AZ1109" s="5" t="str">
        <f aca="false">IF($B1109="","",SUMPRODUCT(($AL1109:$AO1109&lt;&gt;"")*(COUNTIF($AP1109:$AX1109,$AL1109:$AO1109)&gt;0)))</f>
        <v/>
      </c>
      <c r="BA1109" s="5" t="str">
        <f aca="false">IF($B1109="","",IF(AZ1109&gt;0,1,0))</f>
        <v/>
      </c>
      <c r="BB1109" s="5" t="str">
        <f aca="false">IF($AP1109="","",IF((($AP1109="Engineering and Technology")+($AP1109="Science and Mathematics")+($AP1109="Computer Science, IT and Allied Fields")+($AP1109="Life Sciences /Medicine and Healthcare")+($AP1109="Paramedical")+($AP1109="Architecture")+($AP1109="Environmental Service")+($AP1109="Agriculture, Food Industry and Forestry"))&gt;0,"Science",IF((($AP1109="Banking and Finance")+($AP1109="Management and Administration")+($AP1109="Marketing")+($AP1109="Sales")+($AP1109="Entrepreneurship")+($AP1109="Hospitality and Tourism"))&gt;0,"Commerce",IF((($AP1109="Social Sciences and Humanities")+($AP1109="Law Studies")+($AP1109="Education and Training")+($AP1109="Art, Design")+($AP1109="Entertainment and Mass Media")+($AP1109="Community and Social Service")+($AP1109="Personal Care and Services")+($AP1109="Government and Public Administration")+($AP1109="Defence/ Protective Service")+($AP1109="Sports"))&gt;0,"Arts / Humanities",""))))</f>
        <v/>
      </c>
      <c r="BC1109" s="5" t="str">
        <f aca="false">IF($AL1109="","",IF((($AL1109="Engineering and Technology")+($AL1109="Science and Mathematics")+($AL1109="Computer Science, IT and Allied Fields")+($AL1109="Life Sciences /Medicine and Healthcare")+($AL1109="Paramedical")+($AL1109="Architecture")+($AL1109="Environmental Service")+($AL1109="Agriculture, Food Industry and Forestry"))&gt;0,"Science",IF((($AL1109="Banking and Finance")+($AL1109="Management and Administration")+($AL1109="Marketing")+($AL1109="Sales")+($AL1109="Entrepreneurship")+($AL1109="Hospitality and Tourism"))&gt;0,"Commerce",IF((($AL1109="Social Sciences and Humanities")+($AL1109="Law Studies")+($AL1109="Education and Training")+($AL1109="Art, Design")+($AL1109="Entertainment and Mass Media")+($AL1109="Community and Social Service")+($AL1109="Personal Care and Services")+($AL1109="Government and Public Administration")+($AL1109="Defence/ Protective Service")+($AL1109="Sports"))&gt;0,"Arts / Humanities",""))))</f>
        <v/>
      </c>
      <c r="BD1109" s="5" t="str">
        <f aca="false">IF($B1109="","",--(F1109&gt;=10)+--(G1109&gt;=10)+--(H1109&gt;=10)+--(I1109&gt;=10)+--(J1109&gt;=10)+--(K1109&gt;=10)+--(L1109&gt;=10)+--(M1109&gt;=10)+--(N1109&gt;=10)+--(O1109&gt;=10))</f>
        <v/>
      </c>
      <c r="BE1109" s="5" t="str">
        <f aca="false">IF($B1109="","",--(AND(F1109&lt;&gt;"",F1109&lt;=8))+--(AND(G1109&lt;&gt;"",G1109&lt;=8))+--(AND(H1109&lt;&gt;"",H1109&lt;=8))+--(AND(I1109&lt;&gt;"",I1109&lt;=8))+--(AND(J1109&lt;&gt;"",J1109&lt;=8))+--(AND(K1109&lt;&gt;"",K1109&lt;=8))+--(AND(L1109&lt;&gt;"",L1109&lt;=8))+--(AND(M1109&lt;&gt;"",M1109&lt;=8))+--(AND(N1109&lt;&gt;"",N1109&lt;=8))+--(AND(O1109&lt;&gt;"",O1109&lt;=8)))</f>
        <v/>
      </c>
    </row>
    <row r="1110" customFormat="false" ht="15" hidden="false" customHeight="false" outlineLevel="0" collapsed="false">
      <c r="AZ1110" s="5" t="str">
        <f aca="false">IF($B1110="","",SUMPRODUCT(($AL1110:$AO1110&lt;&gt;"")*(COUNTIF($AP1110:$AX1110,$AL1110:$AO1110)&gt;0)))</f>
        <v/>
      </c>
      <c r="BA1110" s="5" t="str">
        <f aca="false">IF($B1110="","",IF(AZ1110&gt;0,1,0))</f>
        <v/>
      </c>
      <c r="BB1110" s="5" t="str">
        <f aca="false">IF($AP1110="","",IF((($AP1110="Engineering and Technology")+($AP1110="Science and Mathematics")+($AP1110="Computer Science, IT and Allied Fields")+($AP1110="Life Sciences /Medicine and Healthcare")+($AP1110="Paramedical")+($AP1110="Architecture")+($AP1110="Environmental Service")+($AP1110="Agriculture, Food Industry and Forestry"))&gt;0,"Science",IF((($AP1110="Banking and Finance")+($AP1110="Management and Administration")+($AP1110="Marketing")+($AP1110="Sales")+($AP1110="Entrepreneurship")+($AP1110="Hospitality and Tourism"))&gt;0,"Commerce",IF((($AP1110="Social Sciences and Humanities")+($AP1110="Law Studies")+($AP1110="Education and Training")+($AP1110="Art, Design")+($AP1110="Entertainment and Mass Media")+($AP1110="Community and Social Service")+($AP1110="Personal Care and Services")+($AP1110="Government and Public Administration")+($AP1110="Defence/ Protective Service")+($AP1110="Sports"))&gt;0,"Arts / Humanities",""))))</f>
        <v/>
      </c>
      <c r="BC1110" s="5" t="str">
        <f aca="false">IF($AL1110="","",IF((($AL1110="Engineering and Technology")+($AL1110="Science and Mathematics")+($AL1110="Computer Science, IT and Allied Fields")+($AL1110="Life Sciences /Medicine and Healthcare")+($AL1110="Paramedical")+($AL1110="Architecture")+($AL1110="Environmental Service")+($AL1110="Agriculture, Food Industry and Forestry"))&gt;0,"Science",IF((($AL1110="Banking and Finance")+($AL1110="Management and Administration")+($AL1110="Marketing")+($AL1110="Sales")+($AL1110="Entrepreneurship")+($AL1110="Hospitality and Tourism"))&gt;0,"Commerce",IF((($AL1110="Social Sciences and Humanities")+($AL1110="Law Studies")+($AL1110="Education and Training")+($AL1110="Art, Design")+($AL1110="Entertainment and Mass Media")+($AL1110="Community and Social Service")+($AL1110="Personal Care and Services")+($AL1110="Government and Public Administration")+($AL1110="Defence/ Protective Service")+($AL1110="Sports"))&gt;0,"Arts / Humanities",""))))</f>
        <v/>
      </c>
      <c r="BD1110" s="5" t="str">
        <f aca="false">IF($B1110="","",--(F1110&gt;=10)+--(G1110&gt;=10)+--(H1110&gt;=10)+--(I1110&gt;=10)+--(J1110&gt;=10)+--(K1110&gt;=10)+--(L1110&gt;=10)+--(M1110&gt;=10)+--(N1110&gt;=10)+--(O1110&gt;=10))</f>
        <v/>
      </c>
      <c r="BE1110" s="5" t="str">
        <f aca="false">IF($B1110="","",--(AND(F1110&lt;&gt;"",F1110&lt;=8))+--(AND(G1110&lt;&gt;"",G1110&lt;=8))+--(AND(H1110&lt;&gt;"",H1110&lt;=8))+--(AND(I1110&lt;&gt;"",I1110&lt;=8))+--(AND(J1110&lt;&gt;"",J1110&lt;=8))+--(AND(K1110&lt;&gt;"",K1110&lt;=8))+--(AND(L1110&lt;&gt;"",L1110&lt;=8))+--(AND(M1110&lt;&gt;"",M1110&lt;=8))+--(AND(N1110&lt;&gt;"",N1110&lt;=8))+--(AND(O1110&lt;&gt;"",O1110&lt;=8)))</f>
        <v/>
      </c>
    </row>
    <row r="1111" customFormat="false" ht="15" hidden="false" customHeight="false" outlineLevel="0" collapsed="false">
      <c r="AZ1111" s="5" t="str">
        <f aca="false">IF($B1111="","",SUMPRODUCT(($AL1111:$AO1111&lt;&gt;"")*(COUNTIF($AP1111:$AX1111,$AL1111:$AO1111)&gt;0)))</f>
        <v/>
      </c>
      <c r="BA1111" s="5" t="str">
        <f aca="false">IF($B1111="","",IF(AZ1111&gt;0,1,0))</f>
        <v/>
      </c>
      <c r="BB1111" s="5" t="str">
        <f aca="false">IF($AP1111="","",IF((($AP1111="Engineering and Technology")+($AP1111="Science and Mathematics")+($AP1111="Computer Science, IT and Allied Fields")+($AP1111="Life Sciences /Medicine and Healthcare")+($AP1111="Paramedical")+($AP1111="Architecture")+($AP1111="Environmental Service")+($AP1111="Agriculture, Food Industry and Forestry"))&gt;0,"Science",IF((($AP1111="Banking and Finance")+($AP1111="Management and Administration")+($AP1111="Marketing")+($AP1111="Sales")+($AP1111="Entrepreneurship")+($AP1111="Hospitality and Tourism"))&gt;0,"Commerce",IF((($AP1111="Social Sciences and Humanities")+($AP1111="Law Studies")+($AP1111="Education and Training")+($AP1111="Art, Design")+($AP1111="Entertainment and Mass Media")+($AP1111="Community and Social Service")+($AP1111="Personal Care and Services")+($AP1111="Government and Public Administration")+($AP1111="Defence/ Protective Service")+($AP1111="Sports"))&gt;0,"Arts / Humanities",""))))</f>
        <v/>
      </c>
      <c r="BC1111" s="5" t="str">
        <f aca="false">IF($AL1111="","",IF((($AL1111="Engineering and Technology")+($AL1111="Science and Mathematics")+($AL1111="Computer Science, IT and Allied Fields")+($AL1111="Life Sciences /Medicine and Healthcare")+($AL1111="Paramedical")+($AL1111="Architecture")+($AL1111="Environmental Service")+($AL1111="Agriculture, Food Industry and Forestry"))&gt;0,"Science",IF((($AL1111="Banking and Finance")+($AL1111="Management and Administration")+($AL1111="Marketing")+($AL1111="Sales")+($AL1111="Entrepreneurship")+($AL1111="Hospitality and Tourism"))&gt;0,"Commerce",IF((($AL1111="Social Sciences and Humanities")+($AL1111="Law Studies")+($AL1111="Education and Training")+($AL1111="Art, Design")+($AL1111="Entertainment and Mass Media")+($AL1111="Community and Social Service")+($AL1111="Personal Care and Services")+($AL1111="Government and Public Administration")+($AL1111="Defence/ Protective Service")+($AL1111="Sports"))&gt;0,"Arts / Humanities",""))))</f>
        <v/>
      </c>
      <c r="BD1111" s="5" t="str">
        <f aca="false">IF($B1111="","",--(F1111&gt;=10)+--(G1111&gt;=10)+--(H1111&gt;=10)+--(I1111&gt;=10)+--(J1111&gt;=10)+--(K1111&gt;=10)+--(L1111&gt;=10)+--(M1111&gt;=10)+--(N1111&gt;=10)+--(O1111&gt;=10))</f>
        <v/>
      </c>
      <c r="BE1111" s="5" t="str">
        <f aca="false">IF($B1111="","",--(AND(F1111&lt;&gt;"",F1111&lt;=8))+--(AND(G1111&lt;&gt;"",G1111&lt;=8))+--(AND(H1111&lt;&gt;"",H1111&lt;=8))+--(AND(I1111&lt;&gt;"",I1111&lt;=8))+--(AND(J1111&lt;&gt;"",J1111&lt;=8))+--(AND(K1111&lt;&gt;"",K1111&lt;=8))+--(AND(L1111&lt;&gt;"",L1111&lt;=8))+--(AND(M1111&lt;&gt;"",M1111&lt;=8))+--(AND(N1111&lt;&gt;"",N1111&lt;=8))+--(AND(O1111&lt;&gt;"",O1111&lt;=8)))</f>
        <v/>
      </c>
    </row>
    <row r="1112" customFormat="false" ht="15" hidden="false" customHeight="false" outlineLevel="0" collapsed="false">
      <c r="AZ1112" s="5" t="str">
        <f aca="false">IF($B1112="","",SUMPRODUCT(($AL1112:$AO1112&lt;&gt;"")*(COUNTIF($AP1112:$AX1112,$AL1112:$AO1112)&gt;0)))</f>
        <v/>
      </c>
      <c r="BA1112" s="5" t="str">
        <f aca="false">IF($B1112="","",IF(AZ1112&gt;0,1,0))</f>
        <v/>
      </c>
      <c r="BB1112" s="5" t="str">
        <f aca="false">IF($AP1112="","",IF((($AP1112="Engineering and Technology")+($AP1112="Science and Mathematics")+($AP1112="Computer Science, IT and Allied Fields")+($AP1112="Life Sciences /Medicine and Healthcare")+($AP1112="Paramedical")+($AP1112="Architecture")+($AP1112="Environmental Service")+($AP1112="Agriculture, Food Industry and Forestry"))&gt;0,"Science",IF((($AP1112="Banking and Finance")+($AP1112="Management and Administration")+($AP1112="Marketing")+($AP1112="Sales")+($AP1112="Entrepreneurship")+($AP1112="Hospitality and Tourism"))&gt;0,"Commerce",IF((($AP1112="Social Sciences and Humanities")+($AP1112="Law Studies")+($AP1112="Education and Training")+($AP1112="Art, Design")+($AP1112="Entertainment and Mass Media")+($AP1112="Community and Social Service")+($AP1112="Personal Care and Services")+($AP1112="Government and Public Administration")+($AP1112="Defence/ Protective Service")+($AP1112="Sports"))&gt;0,"Arts / Humanities",""))))</f>
        <v/>
      </c>
      <c r="BC1112" s="5" t="str">
        <f aca="false">IF($AL1112="","",IF((($AL1112="Engineering and Technology")+($AL1112="Science and Mathematics")+($AL1112="Computer Science, IT and Allied Fields")+($AL1112="Life Sciences /Medicine and Healthcare")+($AL1112="Paramedical")+($AL1112="Architecture")+($AL1112="Environmental Service")+($AL1112="Agriculture, Food Industry and Forestry"))&gt;0,"Science",IF((($AL1112="Banking and Finance")+($AL1112="Management and Administration")+($AL1112="Marketing")+($AL1112="Sales")+($AL1112="Entrepreneurship")+($AL1112="Hospitality and Tourism"))&gt;0,"Commerce",IF((($AL1112="Social Sciences and Humanities")+($AL1112="Law Studies")+($AL1112="Education and Training")+($AL1112="Art, Design")+($AL1112="Entertainment and Mass Media")+($AL1112="Community and Social Service")+($AL1112="Personal Care and Services")+($AL1112="Government and Public Administration")+($AL1112="Defence/ Protective Service")+($AL1112="Sports"))&gt;0,"Arts / Humanities",""))))</f>
        <v/>
      </c>
      <c r="BD1112" s="5" t="str">
        <f aca="false">IF($B1112="","",--(F1112&gt;=10)+--(G1112&gt;=10)+--(H1112&gt;=10)+--(I1112&gt;=10)+--(J1112&gt;=10)+--(K1112&gt;=10)+--(L1112&gt;=10)+--(M1112&gt;=10)+--(N1112&gt;=10)+--(O1112&gt;=10))</f>
        <v/>
      </c>
      <c r="BE1112" s="5" t="str">
        <f aca="false">IF($B1112="","",--(AND(F1112&lt;&gt;"",F1112&lt;=8))+--(AND(G1112&lt;&gt;"",G1112&lt;=8))+--(AND(H1112&lt;&gt;"",H1112&lt;=8))+--(AND(I1112&lt;&gt;"",I1112&lt;=8))+--(AND(J1112&lt;&gt;"",J1112&lt;=8))+--(AND(K1112&lt;&gt;"",K1112&lt;=8))+--(AND(L1112&lt;&gt;"",L1112&lt;=8))+--(AND(M1112&lt;&gt;"",M1112&lt;=8))+--(AND(N1112&lt;&gt;"",N1112&lt;=8))+--(AND(O1112&lt;&gt;"",O1112&lt;=8)))</f>
        <v/>
      </c>
    </row>
    <row r="1113" customFormat="false" ht="15" hidden="false" customHeight="false" outlineLevel="0" collapsed="false">
      <c r="AZ1113" s="5" t="str">
        <f aca="false">IF($B1113="","",SUMPRODUCT(($AL1113:$AO1113&lt;&gt;"")*(COUNTIF($AP1113:$AX1113,$AL1113:$AO1113)&gt;0)))</f>
        <v/>
      </c>
      <c r="BA1113" s="5" t="str">
        <f aca="false">IF($B1113="","",IF(AZ1113&gt;0,1,0))</f>
        <v/>
      </c>
      <c r="BB1113" s="5" t="str">
        <f aca="false">IF($AP1113="","",IF((($AP1113="Engineering and Technology")+($AP1113="Science and Mathematics")+($AP1113="Computer Science, IT and Allied Fields")+($AP1113="Life Sciences /Medicine and Healthcare")+($AP1113="Paramedical")+($AP1113="Architecture")+($AP1113="Environmental Service")+($AP1113="Agriculture, Food Industry and Forestry"))&gt;0,"Science",IF((($AP1113="Banking and Finance")+($AP1113="Management and Administration")+($AP1113="Marketing")+($AP1113="Sales")+($AP1113="Entrepreneurship")+($AP1113="Hospitality and Tourism"))&gt;0,"Commerce",IF((($AP1113="Social Sciences and Humanities")+($AP1113="Law Studies")+($AP1113="Education and Training")+($AP1113="Art, Design")+($AP1113="Entertainment and Mass Media")+($AP1113="Community and Social Service")+($AP1113="Personal Care and Services")+($AP1113="Government and Public Administration")+($AP1113="Defence/ Protective Service")+($AP1113="Sports"))&gt;0,"Arts / Humanities",""))))</f>
        <v/>
      </c>
      <c r="BC1113" s="5" t="str">
        <f aca="false">IF($AL1113="","",IF((($AL1113="Engineering and Technology")+($AL1113="Science and Mathematics")+($AL1113="Computer Science, IT and Allied Fields")+($AL1113="Life Sciences /Medicine and Healthcare")+($AL1113="Paramedical")+($AL1113="Architecture")+($AL1113="Environmental Service")+($AL1113="Agriculture, Food Industry and Forestry"))&gt;0,"Science",IF((($AL1113="Banking and Finance")+($AL1113="Management and Administration")+($AL1113="Marketing")+($AL1113="Sales")+($AL1113="Entrepreneurship")+($AL1113="Hospitality and Tourism"))&gt;0,"Commerce",IF((($AL1113="Social Sciences and Humanities")+($AL1113="Law Studies")+($AL1113="Education and Training")+($AL1113="Art, Design")+($AL1113="Entertainment and Mass Media")+($AL1113="Community and Social Service")+($AL1113="Personal Care and Services")+($AL1113="Government and Public Administration")+($AL1113="Defence/ Protective Service")+($AL1113="Sports"))&gt;0,"Arts / Humanities",""))))</f>
        <v/>
      </c>
      <c r="BD1113" s="5" t="str">
        <f aca="false">IF($B1113="","",--(F1113&gt;=10)+--(G1113&gt;=10)+--(H1113&gt;=10)+--(I1113&gt;=10)+--(J1113&gt;=10)+--(K1113&gt;=10)+--(L1113&gt;=10)+--(M1113&gt;=10)+--(N1113&gt;=10)+--(O1113&gt;=10))</f>
        <v/>
      </c>
      <c r="BE1113" s="5" t="str">
        <f aca="false">IF($B1113="","",--(AND(F1113&lt;&gt;"",F1113&lt;=8))+--(AND(G1113&lt;&gt;"",G1113&lt;=8))+--(AND(H1113&lt;&gt;"",H1113&lt;=8))+--(AND(I1113&lt;&gt;"",I1113&lt;=8))+--(AND(J1113&lt;&gt;"",J1113&lt;=8))+--(AND(K1113&lt;&gt;"",K1113&lt;=8))+--(AND(L1113&lt;&gt;"",L1113&lt;=8))+--(AND(M1113&lt;&gt;"",M1113&lt;=8))+--(AND(N1113&lt;&gt;"",N1113&lt;=8))+--(AND(O1113&lt;&gt;"",O1113&lt;=8)))</f>
        <v/>
      </c>
    </row>
    <row r="1114" customFormat="false" ht="15" hidden="false" customHeight="false" outlineLevel="0" collapsed="false">
      <c r="AZ1114" s="5" t="str">
        <f aca="false">IF($B1114="","",SUMPRODUCT(($AL1114:$AO1114&lt;&gt;"")*(COUNTIF($AP1114:$AX1114,$AL1114:$AO1114)&gt;0)))</f>
        <v/>
      </c>
      <c r="BA1114" s="5" t="str">
        <f aca="false">IF($B1114="","",IF(AZ1114&gt;0,1,0))</f>
        <v/>
      </c>
      <c r="BB1114" s="5" t="str">
        <f aca="false">IF($AP1114="","",IF((($AP1114="Engineering and Technology")+($AP1114="Science and Mathematics")+($AP1114="Computer Science, IT and Allied Fields")+($AP1114="Life Sciences /Medicine and Healthcare")+($AP1114="Paramedical")+($AP1114="Architecture")+($AP1114="Environmental Service")+($AP1114="Agriculture, Food Industry and Forestry"))&gt;0,"Science",IF((($AP1114="Banking and Finance")+($AP1114="Management and Administration")+($AP1114="Marketing")+($AP1114="Sales")+($AP1114="Entrepreneurship")+($AP1114="Hospitality and Tourism"))&gt;0,"Commerce",IF((($AP1114="Social Sciences and Humanities")+($AP1114="Law Studies")+($AP1114="Education and Training")+($AP1114="Art, Design")+($AP1114="Entertainment and Mass Media")+($AP1114="Community and Social Service")+($AP1114="Personal Care and Services")+($AP1114="Government and Public Administration")+($AP1114="Defence/ Protective Service")+($AP1114="Sports"))&gt;0,"Arts / Humanities",""))))</f>
        <v/>
      </c>
      <c r="BC1114" s="5" t="str">
        <f aca="false">IF($AL1114="","",IF((($AL1114="Engineering and Technology")+($AL1114="Science and Mathematics")+($AL1114="Computer Science, IT and Allied Fields")+($AL1114="Life Sciences /Medicine and Healthcare")+($AL1114="Paramedical")+($AL1114="Architecture")+($AL1114="Environmental Service")+($AL1114="Agriculture, Food Industry and Forestry"))&gt;0,"Science",IF((($AL1114="Banking and Finance")+($AL1114="Management and Administration")+($AL1114="Marketing")+($AL1114="Sales")+($AL1114="Entrepreneurship")+($AL1114="Hospitality and Tourism"))&gt;0,"Commerce",IF((($AL1114="Social Sciences and Humanities")+($AL1114="Law Studies")+($AL1114="Education and Training")+($AL1114="Art, Design")+($AL1114="Entertainment and Mass Media")+($AL1114="Community and Social Service")+($AL1114="Personal Care and Services")+($AL1114="Government and Public Administration")+($AL1114="Defence/ Protective Service")+($AL1114="Sports"))&gt;0,"Arts / Humanities",""))))</f>
        <v/>
      </c>
      <c r="BD1114" s="5" t="str">
        <f aca="false">IF($B1114="","",--(F1114&gt;=10)+--(G1114&gt;=10)+--(H1114&gt;=10)+--(I1114&gt;=10)+--(J1114&gt;=10)+--(K1114&gt;=10)+--(L1114&gt;=10)+--(M1114&gt;=10)+--(N1114&gt;=10)+--(O1114&gt;=10))</f>
        <v/>
      </c>
      <c r="BE1114" s="5" t="str">
        <f aca="false">IF($B1114="","",--(AND(F1114&lt;&gt;"",F1114&lt;=8))+--(AND(G1114&lt;&gt;"",G1114&lt;=8))+--(AND(H1114&lt;&gt;"",H1114&lt;=8))+--(AND(I1114&lt;&gt;"",I1114&lt;=8))+--(AND(J1114&lt;&gt;"",J1114&lt;=8))+--(AND(K1114&lt;&gt;"",K1114&lt;=8))+--(AND(L1114&lt;&gt;"",L1114&lt;=8))+--(AND(M1114&lt;&gt;"",M1114&lt;=8))+--(AND(N1114&lt;&gt;"",N1114&lt;=8))+--(AND(O1114&lt;&gt;"",O1114&lt;=8)))</f>
        <v/>
      </c>
    </row>
    <row r="1115" customFormat="false" ht="15" hidden="false" customHeight="false" outlineLevel="0" collapsed="false">
      <c r="AZ1115" s="5" t="str">
        <f aca="false">IF($B1115="","",SUMPRODUCT(($AL1115:$AO1115&lt;&gt;"")*(COUNTIF($AP1115:$AX1115,$AL1115:$AO1115)&gt;0)))</f>
        <v/>
      </c>
      <c r="BA1115" s="5" t="str">
        <f aca="false">IF($B1115="","",IF(AZ1115&gt;0,1,0))</f>
        <v/>
      </c>
      <c r="BB1115" s="5" t="str">
        <f aca="false">IF($AP1115="","",IF((($AP1115="Engineering and Technology")+($AP1115="Science and Mathematics")+($AP1115="Computer Science, IT and Allied Fields")+($AP1115="Life Sciences /Medicine and Healthcare")+($AP1115="Paramedical")+($AP1115="Architecture")+($AP1115="Environmental Service")+($AP1115="Agriculture, Food Industry and Forestry"))&gt;0,"Science",IF((($AP1115="Banking and Finance")+($AP1115="Management and Administration")+($AP1115="Marketing")+($AP1115="Sales")+($AP1115="Entrepreneurship")+($AP1115="Hospitality and Tourism"))&gt;0,"Commerce",IF((($AP1115="Social Sciences and Humanities")+($AP1115="Law Studies")+($AP1115="Education and Training")+($AP1115="Art, Design")+($AP1115="Entertainment and Mass Media")+($AP1115="Community and Social Service")+($AP1115="Personal Care and Services")+($AP1115="Government and Public Administration")+($AP1115="Defence/ Protective Service")+($AP1115="Sports"))&gt;0,"Arts / Humanities",""))))</f>
        <v/>
      </c>
      <c r="BC1115" s="5" t="str">
        <f aca="false">IF($AL1115="","",IF((($AL1115="Engineering and Technology")+($AL1115="Science and Mathematics")+($AL1115="Computer Science, IT and Allied Fields")+($AL1115="Life Sciences /Medicine and Healthcare")+($AL1115="Paramedical")+($AL1115="Architecture")+($AL1115="Environmental Service")+($AL1115="Agriculture, Food Industry and Forestry"))&gt;0,"Science",IF((($AL1115="Banking and Finance")+($AL1115="Management and Administration")+($AL1115="Marketing")+($AL1115="Sales")+($AL1115="Entrepreneurship")+($AL1115="Hospitality and Tourism"))&gt;0,"Commerce",IF((($AL1115="Social Sciences and Humanities")+($AL1115="Law Studies")+($AL1115="Education and Training")+($AL1115="Art, Design")+($AL1115="Entertainment and Mass Media")+($AL1115="Community and Social Service")+($AL1115="Personal Care and Services")+($AL1115="Government and Public Administration")+($AL1115="Defence/ Protective Service")+($AL1115="Sports"))&gt;0,"Arts / Humanities",""))))</f>
        <v/>
      </c>
      <c r="BD1115" s="5" t="str">
        <f aca="false">IF($B1115="","",--(F1115&gt;=10)+--(G1115&gt;=10)+--(H1115&gt;=10)+--(I1115&gt;=10)+--(J1115&gt;=10)+--(K1115&gt;=10)+--(L1115&gt;=10)+--(M1115&gt;=10)+--(N1115&gt;=10)+--(O1115&gt;=10))</f>
        <v/>
      </c>
      <c r="BE1115" s="5" t="str">
        <f aca="false">IF($B1115="","",--(AND(F1115&lt;&gt;"",F1115&lt;=8))+--(AND(G1115&lt;&gt;"",G1115&lt;=8))+--(AND(H1115&lt;&gt;"",H1115&lt;=8))+--(AND(I1115&lt;&gt;"",I1115&lt;=8))+--(AND(J1115&lt;&gt;"",J1115&lt;=8))+--(AND(K1115&lt;&gt;"",K1115&lt;=8))+--(AND(L1115&lt;&gt;"",L1115&lt;=8))+--(AND(M1115&lt;&gt;"",M1115&lt;=8))+--(AND(N1115&lt;&gt;"",N1115&lt;=8))+--(AND(O1115&lt;&gt;"",O1115&lt;=8)))</f>
        <v/>
      </c>
    </row>
    <row r="1116" customFormat="false" ht="15" hidden="false" customHeight="false" outlineLevel="0" collapsed="false">
      <c r="AZ1116" s="5" t="str">
        <f aca="false">IF($B1116="","",SUMPRODUCT(($AL1116:$AO1116&lt;&gt;"")*(COUNTIF($AP1116:$AX1116,$AL1116:$AO1116)&gt;0)))</f>
        <v/>
      </c>
      <c r="BA1116" s="5" t="str">
        <f aca="false">IF($B1116="","",IF(AZ1116&gt;0,1,0))</f>
        <v/>
      </c>
      <c r="BB1116" s="5" t="str">
        <f aca="false">IF($AP1116="","",IF((($AP1116="Engineering and Technology")+($AP1116="Science and Mathematics")+($AP1116="Computer Science, IT and Allied Fields")+($AP1116="Life Sciences /Medicine and Healthcare")+($AP1116="Paramedical")+($AP1116="Architecture")+($AP1116="Environmental Service")+($AP1116="Agriculture, Food Industry and Forestry"))&gt;0,"Science",IF((($AP1116="Banking and Finance")+($AP1116="Management and Administration")+($AP1116="Marketing")+($AP1116="Sales")+($AP1116="Entrepreneurship")+($AP1116="Hospitality and Tourism"))&gt;0,"Commerce",IF((($AP1116="Social Sciences and Humanities")+($AP1116="Law Studies")+($AP1116="Education and Training")+($AP1116="Art, Design")+($AP1116="Entertainment and Mass Media")+($AP1116="Community and Social Service")+($AP1116="Personal Care and Services")+($AP1116="Government and Public Administration")+($AP1116="Defence/ Protective Service")+($AP1116="Sports"))&gt;0,"Arts / Humanities",""))))</f>
        <v/>
      </c>
      <c r="BC1116" s="5" t="str">
        <f aca="false">IF($AL1116="","",IF((($AL1116="Engineering and Technology")+($AL1116="Science and Mathematics")+($AL1116="Computer Science, IT and Allied Fields")+($AL1116="Life Sciences /Medicine and Healthcare")+($AL1116="Paramedical")+($AL1116="Architecture")+($AL1116="Environmental Service")+($AL1116="Agriculture, Food Industry and Forestry"))&gt;0,"Science",IF((($AL1116="Banking and Finance")+($AL1116="Management and Administration")+($AL1116="Marketing")+($AL1116="Sales")+($AL1116="Entrepreneurship")+($AL1116="Hospitality and Tourism"))&gt;0,"Commerce",IF((($AL1116="Social Sciences and Humanities")+($AL1116="Law Studies")+($AL1116="Education and Training")+($AL1116="Art, Design")+($AL1116="Entertainment and Mass Media")+($AL1116="Community and Social Service")+($AL1116="Personal Care and Services")+($AL1116="Government and Public Administration")+($AL1116="Defence/ Protective Service")+($AL1116="Sports"))&gt;0,"Arts / Humanities",""))))</f>
        <v/>
      </c>
      <c r="BD1116" s="5" t="str">
        <f aca="false">IF($B1116="","",--(F1116&gt;=10)+--(G1116&gt;=10)+--(H1116&gt;=10)+--(I1116&gt;=10)+--(J1116&gt;=10)+--(K1116&gt;=10)+--(L1116&gt;=10)+--(M1116&gt;=10)+--(N1116&gt;=10)+--(O1116&gt;=10))</f>
        <v/>
      </c>
      <c r="BE1116" s="5" t="str">
        <f aca="false">IF($B1116="","",--(AND(F1116&lt;&gt;"",F1116&lt;=8))+--(AND(G1116&lt;&gt;"",G1116&lt;=8))+--(AND(H1116&lt;&gt;"",H1116&lt;=8))+--(AND(I1116&lt;&gt;"",I1116&lt;=8))+--(AND(J1116&lt;&gt;"",J1116&lt;=8))+--(AND(K1116&lt;&gt;"",K1116&lt;=8))+--(AND(L1116&lt;&gt;"",L1116&lt;=8))+--(AND(M1116&lt;&gt;"",M1116&lt;=8))+--(AND(N1116&lt;&gt;"",N1116&lt;=8))+--(AND(O1116&lt;&gt;"",O1116&lt;=8)))</f>
        <v/>
      </c>
    </row>
    <row r="1117" customFormat="false" ht="15" hidden="false" customHeight="false" outlineLevel="0" collapsed="false">
      <c r="AZ1117" s="5" t="str">
        <f aca="false">IF($B1117="","",SUMPRODUCT(($AL1117:$AO1117&lt;&gt;"")*(COUNTIF($AP1117:$AX1117,$AL1117:$AO1117)&gt;0)))</f>
        <v/>
      </c>
      <c r="BA1117" s="5" t="str">
        <f aca="false">IF($B1117="","",IF(AZ1117&gt;0,1,0))</f>
        <v/>
      </c>
      <c r="BB1117" s="5" t="str">
        <f aca="false">IF($AP1117="","",IF((($AP1117="Engineering and Technology")+($AP1117="Science and Mathematics")+($AP1117="Computer Science, IT and Allied Fields")+($AP1117="Life Sciences /Medicine and Healthcare")+($AP1117="Paramedical")+($AP1117="Architecture")+($AP1117="Environmental Service")+($AP1117="Agriculture, Food Industry and Forestry"))&gt;0,"Science",IF((($AP1117="Banking and Finance")+($AP1117="Management and Administration")+($AP1117="Marketing")+($AP1117="Sales")+($AP1117="Entrepreneurship")+($AP1117="Hospitality and Tourism"))&gt;0,"Commerce",IF((($AP1117="Social Sciences and Humanities")+($AP1117="Law Studies")+($AP1117="Education and Training")+($AP1117="Art, Design")+($AP1117="Entertainment and Mass Media")+($AP1117="Community and Social Service")+($AP1117="Personal Care and Services")+($AP1117="Government and Public Administration")+($AP1117="Defence/ Protective Service")+($AP1117="Sports"))&gt;0,"Arts / Humanities",""))))</f>
        <v/>
      </c>
      <c r="BC1117" s="5" t="str">
        <f aca="false">IF($AL1117="","",IF((($AL1117="Engineering and Technology")+($AL1117="Science and Mathematics")+($AL1117="Computer Science, IT and Allied Fields")+($AL1117="Life Sciences /Medicine and Healthcare")+($AL1117="Paramedical")+($AL1117="Architecture")+($AL1117="Environmental Service")+($AL1117="Agriculture, Food Industry and Forestry"))&gt;0,"Science",IF((($AL1117="Banking and Finance")+($AL1117="Management and Administration")+($AL1117="Marketing")+($AL1117="Sales")+($AL1117="Entrepreneurship")+($AL1117="Hospitality and Tourism"))&gt;0,"Commerce",IF((($AL1117="Social Sciences and Humanities")+($AL1117="Law Studies")+($AL1117="Education and Training")+($AL1117="Art, Design")+($AL1117="Entertainment and Mass Media")+($AL1117="Community and Social Service")+($AL1117="Personal Care and Services")+($AL1117="Government and Public Administration")+($AL1117="Defence/ Protective Service")+($AL1117="Sports"))&gt;0,"Arts / Humanities",""))))</f>
        <v/>
      </c>
      <c r="BD1117" s="5" t="str">
        <f aca="false">IF($B1117="","",--(F1117&gt;=10)+--(G1117&gt;=10)+--(H1117&gt;=10)+--(I1117&gt;=10)+--(J1117&gt;=10)+--(K1117&gt;=10)+--(L1117&gt;=10)+--(M1117&gt;=10)+--(N1117&gt;=10)+--(O1117&gt;=10))</f>
        <v/>
      </c>
      <c r="BE1117" s="5" t="str">
        <f aca="false">IF($B1117="","",--(AND(F1117&lt;&gt;"",F1117&lt;=8))+--(AND(G1117&lt;&gt;"",G1117&lt;=8))+--(AND(H1117&lt;&gt;"",H1117&lt;=8))+--(AND(I1117&lt;&gt;"",I1117&lt;=8))+--(AND(J1117&lt;&gt;"",J1117&lt;=8))+--(AND(K1117&lt;&gt;"",K1117&lt;=8))+--(AND(L1117&lt;&gt;"",L1117&lt;=8))+--(AND(M1117&lt;&gt;"",M1117&lt;=8))+--(AND(N1117&lt;&gt;"",N1117&lt;=8))+--(AND(O1117&lt;&gt;"",O1117&lt;=8)))</f>
        <v/>
      </c>
    </row>
    <row r="1118" customFormat="false" ht="15" hidden="false" customHeight="false" outlineLevel="0" collapsed="false">
      <c r="AZ1118" s="5" t="str">
        <f aca="false">IF($B1118="","",SUMPRODUCT(($AL1118:$AO1118&lt;&gt;"")*(COUNTIF($AP1118:$AX1118,$AL1118:$AO1118)&gt;0)))</f>
        <v/>
      </c>
      <c r="BA1118" s="5" t="str">
        <f aca="false">IF($B1118="","",IF(AZ1118&gt;0,1,0))</f>
        <v/>
      </c>
      <c r="BB1118" s="5" t="str">
        <f aca="false">IF($AP1118="","",IF((($AP1118="Engineering and Technology")+($AP1118="Science and Mathematics")+($AP1118="Computer Science, IT and Allied Fields")+($AP1118="Life Sciences /Medicine and Healthcare")+($AP1118="Paramedical")+($AP1118="Architecture")+($AP1118="Environmental Service")+($AP1118="Agriculture, Food Industry and Forestry"))&gt;0,"Science",IF((($AP1118="Banking and Finance")+($AP1118="Management and Administration")+($AP1118="Marketing")+($AP1118="Sales")+($AP1118="Entrepreneurship")+($AP1118="Hospitality and Tourism"))&gt;0,"Commerce",IF((($AP1118="Social Sciences and Humanities")+($AP1118="Law Studies")+($AP1118="Education and Training")+($AP1118="Art, Design")+($AP1118="Entertainment and Mass Media")+($AP1118="Community and Social Service")+($AP1118="Personal Care and Services")+($AP1118="Government and Public Administration")+($AP1118="Defence/ Protective Service")+($AP1118="Sports"))&gt;0,"Arts / Humanities",""))))</f>
        <v/>
      </c>
      <c r="BC1118" s="5" t="str">
        <f aca="false">IF($AL1118="","",IF((($AL1118="Engineering and Technology")+($AL1118="Science and Mathematics")+($AL1118="Computer Science, IT and Allied Fields")+($AL1118="Life Sciences /Medicine and Healthcare")+($AL1118="Paramedical")+($AL1118="Architecture")+($AL1118="Environmental Service")+($AL1118="Agriculture, Food Industry and Forestry"))&gt;0,"Science",IF((($AL1118="Banking and Finance")+($AL1118="Management and Administration")+($AL1118="Marketing")+($AL1118="Sales")+($AL1118="Entrepreneurship")+($AL1118="Hospitality and Tourism"))&gt;0,"Commerce",IF((($AL1118="Social Sciences and Humanities")+($AL1118="Law Studies")+($AL1118="Education and Training")+($AL1118="Art, Design")+($AL1118="Entertainment and Mass Media")+($AL1118="Community and Social Service")+($AL1118="Personal Care and Services")+($AL1118="Government and Public Administration")+($AL1118="Defence/ Protective Service")+($AL1118="Sports"))&gt;0,"Arts / Humanities",""))))</f>
        <v/>
      </c>
      <c r="BD1118" s="5" t="str">
        <f aca="false">IF($B1118="","",--(F1118&gt;=10)+--(G1118&gt;=10)+--(H1118&gt;=10)+--(I1118&gt;=10)+--(J1118&gt;=10)+--(K1118&gt;=10)+--(L1118&gt;=10)+--(M1118&gt;=10)+--(N1118&gt;=10)+--(O1118&gt;=10))</f>
        <v/>
      </c>
      <c r="BE1118" s="5" t="str">
        <f aca="false">IF($B1118="","",--(AND(F1118&lt;&gt;"",F1118&lt;=8))+--(AND(G1118&lt;&gt;"",G1118&lt;=8))+--(AND(H1118&lt;&gt;"",H1118&lt;=8))+--(AND(I1118&lt;&gt;"",I1118&lt;=8))+--(AND(J1118&lt;&gt;"",J1118&lt;=8))+--(AND(K1118&lt;&gt;"",K1118&lt;=8))+--(AND(L1118&lt;&gt;"",L1118&lt;=8))+--(AND(M1118&lt;&gt;"",M1118&lt;=8))+--(AND(N1118&lt;&gt;"",N1118&lt;=8))+--(AND(O1118&lt;&gt;"",O1118&lt;=8)))</f>
        <v/>
      </c>
    </row>
    <row r="1119" customFormat="false" ht="15" hidden="false" customHeight="false" outlineLevel="0" collapsed="false">
      <c r="AZ1119" s="5" t="str">
        <f aca="false">IF($B1119="","",SUMPRODUCT(($AL1119:$AO1119&lt;&gt;"")*(COUNTIF($AP1119:$AX1119,$AL1119:$AO1119)&gt;0)))</f>
        <v/>
      </c>
      <c r="BA1119" s="5" t="str">
        <f aca="false">IF($B1119="","",IF(AZ1119&gt;0,1,0))</f>
        <v/>
      </c>
      <c r="BB1119" s="5" t="str">
        <f aca="false">IF($AP1119="","",IF((($AP1119="Engineering and Technology")+($AP1119="Science and Mathematics")+($AP1119="Computer Science, IT and Allied Fields")+($AP1119="Life Sciences /Medicine and Healthcare")+($AP1119="Paramedical")+($AP1119="Architecture")+($AP1119="Environmental Service")+($AP1119="Agriculture, Food Industry and Forestry"))&gt;0,"Science",IF((($AP1119="Banking and Finance")+($AP1119="Management and Administration")+($AP1119="Marketing")+($AP1119="Sales")+($AP1119="Entrepreneurship")+($AP1119="Hospitality and Tourism"))&gt;0,"Commerce",IF((($AP1119="Social Sciences and Humanities")+($AP1119="Law Studies")+($AP1119="Education and Training")+($AP1119="Art, Design")+($AP1119="Entertainment and Mass Media")+($AP1119="Community and Social Service")+($AP1119="Personal Care and Services")+($AP1119="Government and Public Administration")+($AP1119="Defence/ Protective Service")+($AP1119="Sports"))&gt;0,"Arts / Humanities",""))))</f>
        <v/>
      </c>
      <c r="BC1119" s="5" t="str">
        <f aca="false">IF($AL1119="","",IF((($AL1119="Engineering and Technology")+($AL1119="Science and Mathematics")+($AL1119="Computer Science, IT and Allied Fields")+($AL1119="Life Sciences /Medicine and Healthcare")+($AL1119="Paramedical")+($AL1119="Architecture")+($AL1119="Environmental Service")+($AL1119="Agriculture, Food Industry and Forestry"))&gt;0,"Science",IF((($AL1119="Banking and Finance")+($AL1119="Management and Administration")+($AL1119="Marketing")+($AL1119="Sales")+($AL1119="Entrepreneurship")+($AL1119="Hospitality and Tourism"))&gt;0,"Commerce",IF((($AL1119="Social Sciences and Humanities")+($AL1119="Law Studies")+($AL1119="Education and Training")+($AL1119="Art, Design")+($AL1119="Entertainment and Mass Media")+($AL1119="Community and Social Service")+($AL1119="Personal Care and Services")+($AL1119="Government and Public Administration")+($AL1119="Defence/ Protective Service")+($AL1119="Sports"))&gt;0,"Arts / Humanities",""))))</f>
        <v/>
      </c>
      <c r="BD1119" s="5" t="str">
        <f aca="false">IF($B1119="","",--(F1119&gt;=10)+--(G1119&gt;=10)+--(H1119&gt;=10)+--(I1119&gt;=10)+--(J1119&gt;=10)+--(K1119&gt;=10)+--(L1119&gt;=10)+--(M1119&gt;=10)+--(N1119&gt;=10)+--(O1119&gt;=10))</f>
        <v/>
      </c>
      <c r="BE1119" s="5" t="str">
        <f aca="false">IF($B1119="","",--(AND(F1119&lt;&gt;"",F1119&lt;=8))+--(AND(G1119&lt;&gt;"",G1119&lt;=8))+--(AND(H1119&lt;&gt;"",H1119&lt;=8))+--(AND(I1119&lt;&gt;"",I1119&lt;=8))+--(AND(J1119&lt;&gt;"",J1119&lt;=8))+--(AND(K1119&lt;&gt;"",K1119&lt;=8))+--(AND(L1119&lt;&gt;"",L1119&lt;=8))+--(AND(M1119&lt;&gt;"",M1119&lt;=8))+--(AND(N1119&lt;&gt;"",N1119&lt;=8))+--(AND(O1119&lt;&gt;"",O1119&lt;=8)))</f>
        <v/>
      </c>
    </row>
    <row r="1120" customFormat="false" ht="15" hidden="false" customHeight="false" outlineLevel="0" collapsed="false">
      <c r="AZ1120" s="5" t="str">
        <f aca="false">IF($B1120="","",SUMPRODUCT(($AL1120:$AO1120&lt;&gt;"")*(COUNTIF($AP1120:$AX1120,$AL1120:$AO1120)&gt;0)))</f>
        <v/>
      </c>
      <c r="BA1120" s="5" t="str">
        <f aca="false">IF($B1120="","",IF(AZ1120&gt;0,1,0))</f>
        <v/>
      </c>
      <c r="BB1120" s="5" t="str">
        <f aca="false">IF($AP1120="","",IF((($AP1120="Engineering and Technology")+($AP1120="Science and Mathematics")+($AP1120="Computer Science, IT and Allied Fields")+($AP1120="Life Sciences /Medicine and Healthcare")+($AP1120="Paramedical")+($AP1120="Architecture")+($AP1120="Environmental Service")+($AP1120="Agriculture, Food Industry and Forestry"))&gt;0,"Science",IF((($AP1120="Banking and Finance")+($AP1120="Management and Administration")+($AP1120="Marketing")+($AP1120="Sales")+($AP1120="Entrepreneurship")+($AP1120="Hospitality and Tourism"))&gt;0,"Commerce",IF((($AP1120="Social Sciences and Humanities")+($AP1120="Law Studies")+($AP1120="Education and Training")+($AP1120="Art, Design")+($AP1120="Entertainment and Mass Media")+($AP1120="Community and Social Service")+($AP1120="Personal Care and Services")+($AP1120="Government and Public Administration")+($AP1120="Defence/ Protective Service")+($AP1120="Sports"))&gt;0,"Arts / Humanities",""))))</f>
        <v/>
      </c>
      <c r="BC1120" s="5" t="str">
        <f aca="false">IF($AL1120="","",IF((($AL1120="Engineering and Technology")+($AL1120="Science and Mathematics")+($AL1120="Computer Science, IT and Allied Fields")+($AL1120="Life Sciences /Medicine and Healthcare")+($AL1120="Paramedical")+($AL1120="Architecture")+($AL1120="Environmental Service")+($AL1120="Agriculture, Food Industry and Forestry"))&gt;0,"Science",IF((($AL1120="Banking and Finance")+($AL1120="Management and Administration")+($AL1120="Marketing")+($AL1120="Sales")+($AL1120="Entrepreneurship")+($AL1120="Hospitality and Tourism"))&gt;0,"Commerce",IF((($AL1120="Social Sciences and Humanities")+($AL1120="Law Studies")+($AL1120="Education and Training")+($AL1120="Art, Design")+($AL1120="Entertainment and Mass Media")+($AL1120="Community and Social Service")+($AL1120="Personal Care and Services")+($AL1120="Government and Public Administration")+($AL1120="Defence/ Protective Service")+($AL1120="Sports"))&gt;0,"Arts / Humanities",""))))</f>
        <v/>
      </c>
      <c r="BD1120" s="5" t="str">
        <f aca="false">IF($B1120="","",--(F1120&gt;=10)+--(G1120&gt;=10)+--(H1120&gt;=10)+--(I1120&gt;=10)+--(J1120&gt;=10)+--(K1120&gt;=10)+--(L1120&gt;=10)+--(M1120&gt;=10)+--(N1120&gt;=10)+--(O1120&gt;=10))</f>
        <v/>
      </c>
      <c r="BE1120" s="5" t="str">
        <f aca="false">IF($B1120="","",--(AND(F1120&lt;&gt;"",F1120&lt;=8))+--(AND(G1120&lt;&gt;"",G1120&lt;=8))+--(AND(H1120&lt;&gt;"",H1120&lt;=8))+--(AND(I1120&lt;&gt;"",I1120&lt;=8))+--(AND(J1120&lt;&gt;"",J1120&lt;=8))+--(AND(K1120&lt;&gt;"",K1120&lt;=8))+--(AND(L1120&lt;&gt;"",L1120&lt;=8))+--(AND(M1120&lt;&gt;"",M1120&lt;=8))+--(AND(N1120&lt;&gt;"",N1120&lt;=8))+--(AND(O1120&lt;&gt;"",O1120&lt;=8)))</f>
        <v/>
      </c>
    </row>
    <row r="1121" customFormat="false" ht="15" hidden="false" customHeight="false" outlineLevel="0" collapsed="false">
      <c r="AZ1121" s="5" t="str">
        <f aca="false">IF($B1121="","",SUMPRODUCT(($AL1121:$AO1121&lt;&gt;"")*(COUNTIF($AP1121:$AX1121,$AL1121:$AO1121)&gt;0)))</f>
        <v/>
      </c>
      <c r="BA1121" s="5" t="str">
        <f aca="false">IF($B1121="","",IF(AZ1121&gt;0,1,0))</f>
        <v/>
      </c>
      <c r="BB1121" s="5" t="str">
        <f aca="false">IF($AP1121="","",IF((($AP1121="Engineering and Technology")+($AP1121="Science and Mathematics")+($AP1121="Computer Science, IT and Allied Fields")+($AP1121="Life Sciences /Medicine and Healthcare")+($AP1121="Paramedical")+($AP1121="Architecture")+($AP1121="Environmental Service")+($AP1121="Agriculture, Food Industry and Forestry"))&gt;0,"Science",IF((($AP1121="Banking and Finance")+($AP1121="Management and Administration")+($AP1121="Marketing")+($AP1121="Sales")+($AP1121="Entrepreneurship")+($AP1121="Hospitality and Tourism"))&gt;0,"Commerce",IF((($AP1121="Social Sciences and Humanities")+($AP1121="Law Studies")+($AP1121="Education and Training")+($AP1121="Art, Design")+($AP1121="Entertainment and Mass Media")+($AP1121="Community and Social Service")+($AP1121="Personal Care and Services")+($AP1121="Government and Public Administration")+($AP1121="Defence/ Protective Service")+($AP1121="Sports"))&gt;0,"Arts / Humanities",""))))</f>
        <v/>
      </c>
      <c r="BC1121" s="5" t="str">
        <f aca="false">IF($AL1121="","",IF((($AL1121="Engineering and Technology")+($AL1121="Science and Mathematics")+($AL1121="Computer Science, IT and Allied Fields")+($AL1121="Life Sciences /Medicine and Healthcare")+($AL1121="Paramedical")+($AL1121="Architecture")+($AL1121="Environmental Service")+($AL1121="Agriculture, Food Industry and Forestry"))&gt;0,"Science",IF((($AL1121="Banking and Finance")+($AL1121="Management and Administration")+($AL1121="Marketing")+($AL1121="Sales")+($AL1121="Entrepreneurship")+($AL1121="Hospitality and Tourism"))&gt;0,"Commerce",IF((($AL1121="Social Sciences and Humanities")+($AL1121="Law Studies")+($AL1121="Education and Training")+($AL1121="Art, Design")+($AL1121="Entertainment and Mass Media")+($AL1121="Community and Social Service")+($AL1121="Personal Care and Services")+($AL1121="Government and Public Administration")+($AL1121="Defence/ Protective Service")+($AL1121="Sports"))&gt;0,"Arts / Humanities",""))))</f>
        <v/>
      </c>
      <c r="BD1121" s="5" t="str">
        <f aca="false">IF($B1121="","",--(F1121&gt;=10)+--(G1121&gt;=10)+--(H1121&gt;=10)+--(I1121&gt;=10)+--(J1121&gt;=10)+--(K1121&gt;=10)+--(L1121&gt;=10)+--(M1121&gt;=10)+--(N1121&gt;=10)+--(O1121&gt;=10))</f>
        <v/>
      </c>
      <c r="BE1121" s="5" t="str">
        <f aca="false">IF($B1121="","",--(AND(F1121&lt;&gt;"",F1121&lt;=8))+--(AND(G1121&lt;&gt;"",G1121&lt;=8))+--(AND(H1121&lt;&gt;"",H1121&lt;=8))+--(AND(I1121&lt;&gt;"",I1121&lt;=8))+--(AND(J1121&lt;&gt;"",J1121&lt;=8))+--(AND(K1121&lt;&gt;"",K1121&lt;=8))+--(AND(L1121&lt;&gt;"",L1121&lt;=8))+--(AND(M1121&lt;&gt;"",M1121&lt;=8))+--(AND(N1121&lt;&gt;"",N1121&lt;=8))+--(AND(O1121&lt;&gt;"",O1121&lt;=8)))</f>
        <v/>
      </c>
    </row>
    <row r="1122" customFormat="false" ht="15" hidden="false" customHeight="false" outlineLevel="0" collapsed="false">
      <c r="AZ1122" s="5" t="str">
        <f aca="false">IF($B1122="","",SUMPRODUCT(($AL1122:$AO1122&lt;&gt;"")*(COUNTIF($AP1122:$AX1122,$AL1122:$AO1122)&gt;0)))</f>
        <v/>
      </c>
      <c r="BA1122" s="5" t="str">
        <f aca="false">IF($B1122="","",IF(AZ1122&gt;0,1,0))</f>
        <v/>
      </c>
      <c r="BB1122" s="5" t="str">
        <f aca="false">IF($AP1122="","",IF((($AP1122="Engineering and Technology")+($AP1122="Science and Mathematics")+($AP1122="Computer Science, IT and Allied Fields")+($AP1122="Life Sciences /Medicine and Healthcare")+($AP1122="Paramedical")+($AP1122="Architecture")+($AP1122="Environmental Service")+($AP1122="Agriculture, Food Industry and Forestry"))&gt;0,"Science",IF((($AP1122="Banking and Finance")+($AP1122="Management and Administration")+($AP1122="Marketing")+($AP1122="Sales")+($AP1122="Entrepreneurship")+($AP1122="Hospitality and Tourism"))&gt;0,"Commerce",IF((($AP1122="Social Sciences and Humanities")+($AP1122="Law Studies")+($AP1122="Education and Training")+($AP1122="Art, Design")+($AP1122="Entertainment and Mass Media")+($AP1122="Community and Social Service")+($AP1122="Personal Care and Services")+($AP1122="Government and Public Administration")+($AP1122="Defence/ Protective Service")+($AP1122="Sports"))&gt;0,"Arts / Humanities",""))))</f>
        <v/>
      </c>
      <c r="BC1122" s="5" t="str">
        <f aca="false">IF($AL1122="","",IF((($AL1122="Engineering and Technology")+($AL1122="Science and Mathematics")+($AL1122="Computer Science, IT and Allied Fields")+($AL1122="Life Sciences /Medicine and Healthcare")+($AL1122="Paramedical")+($AL1122="Architecture")+($AL1122="Environmental Service")+($AL1122="Agriculture, Food Industry and Forestry"))&gt;0,"Science",IF((($AL1122="Banking and Finance")+($AL1122="Management and Administration")+($AL1122="Marketing")+($AL1122="Sales")+($AL1122="Entrepreneurship")+($AL1122="Hospitality and Tourism"))&gt;0,"Commerce",IF((($AL1122="Social Sciences and Humanities")+($AL1122="Law Studies")+($AL1122="Education and Training")+($AL1122="Art, Design")+($AL1122="Entertainment and Mass Media")+($AL1122="Community and Social Service")+($AL1122="Personal Care and Services")+($AL1122="Government and Public Administration")+($AL1122="Defence/ Protective Service")+($AL1122="Sports"))&gt;0,"Arts / Humanities",""))))</f>
        <v/>
      </c>
      <c r="BD1122" s="5" t="str">
        <f aca="false">IF($B1122="","",--(F1122&gt;=10)+--(G1122&gt;=10)+--(H1122&gt;=10)+--(I1122&gt;=10)+--(J1122&gt;=10)+--(K1122&gt;=10)+--(L1122&gt;=10)+--(M1122&gt;=10)+--(N1122&gt;=10)+--(O1122&gt;=10))</f>
        <v/>
      </c>
      <c r="BE1122" s="5" t="str">
        <f aca="false">IF($B1122="","",--(AND(F1122&lt;&gt;"",F1122&lt;=8))+--(AND(G1122&lt;&gt;"",G1122&lt;=8))+--(AND(H1122&lt;&gt;"",H1122&lt;=8))+--(AND(I1122&lt;&gt;"",I1122&lt;=8))+--(AND(J1122&lt;&gt;"",J1122&lt;=8))+--(AND(K1122&lt;&gt;"",K1122&lt;=8))+--(AND(L1122&lt;&gt;"",L1122&lt;=8))+--(AND(M1122&lt;&gt;"",M1122&lt;=8))+--(AND(N1122&lt;&gt;"",N1122&lt;=8))+--(AND(O1122&lt;&gt;"",O1122&lt;=8)))</f>
        <v/>
      </c>
    </row>
    <row r="1123" customFormat="false" ht="15" hidden="false" customHeight="false" outlineLevel="0" collapsed="false">
      <c r="AZ1123" s="5" t="str">
        <f aca="false">IF($B1123="","",SUMPRODUCT(($AL1123:$AO1123&lt;&gt;"")*(COUNTIF($AP1123:$AX1123,$AL1123:$AO1123)&gt;0)))</f>
        <v/>
      </c>
      <c r="BA1123" s="5" t="str">
        <f aca="false">IF($B1123="","",IF(AZ1123&gt;0,1,0))</f>
        <v/>
      </c>
      <c r="BB1123" s="5" t="str">
        <f aca="false">IF($AP1123="","",IF((($AP1123="Engineering and Technology")+($AP1123="Science and Mathematics")+($AP1123="Computer Science, IT and Allied Fields")+($AP1123="Life Sciences /Medicine and Healthcare")+($AP1123="Paramedical")+($AP1123="Architecture")+($AP1123="Environmental Service")+($AP1123="Agriculture, Food Industry and Forestry"))&gt;0,"Science",IF((($AP1123="Banking and Finance")+($AP1123="Management and Administration")+($AP1123="Marketing")+($AP1123="Sales")+($AP1123="Entrepreneurship")+($AP1123="Hospitality and Tourism"))&gt;0,"Commerce",IF((($AP1123="Social Sciences and Humanities")+($AP1123="Law Studies")+($AP1123="Education and Training")+($AP1123="Art, Design")+($AP1123="Entertainment and Mass Media")+($AP1123="Community and Social Service")+($AP1123="Personal Care and Services")+($AP1123="Government and Public Administration")+($AP1123="Defence/ Protective Service")+($AP1123="Sports"))&gt;0,"Arts / Humanities",""))))</f>
        <v/>
      </c>
      <c r="BC1123" s="5" t="str">
        <f aca="false">IF($AL1123="","",IF((($AL1123="Engineering and Technology")+($AL1123="Science and Mathematics")+($AL1123="Computer Science, IT and Allied Fields")+($AL1123="Life Sciences /Medicine and Healthcare")+($AL1123="Paramedical")+($AL1123="Architecture")+($AL1123="Environmental Service")+($AL1123="Agriculture, Food Industry and Forestry"))&gt;0,"Science",IF((($AL1123="Banking and Finance")+($AL1123="Management and Administration")+($AL1123="Marketing")+($AL1123="Sales")+($AL1123="Entrepreneurship")+($AL1123="Hospitality and Tourism"))&gt;0,"Commerce",IF((($AL1123="Social Sciences and Humanities")+($AL1123="Law Studies")+($AL1123="Education and Training")+($AL1123="Art, Design")+($AL1123="Entertainment and Mass Media")+($AL1123="Community and Social Service")+($AL1123="Personal Care and Services")+($AL1123="Government and Public Administration")+($AL1123="Defence/ Protective Service")+($AL1123="Sports"))&gt;0,"Arts / Humanities",""))))</f>
        <v/>
      </c>
      <c r="BD1123" s="5" t="str">
        <f aca="false">IF($B1123="","",--(F1123&gt;=10)+--(G1123&gt;=10)+--(H1123&gt;=10)+--(I1123&gt;=10)+--(J1123&gt;=10)+--(K1123&gt;=10)+--(L1123&gt;=10)+--(M1123&gt;=10)+--(N1123&gt;=10)+--(O1123&gt;=10))</f>
        <v/>
      </c>
      <c r="BE1123" s="5" t="str">
        <f aca="false">IF($B1123="","",--(AND(F1123&lt;&gt;"",F1123&lt;=8))+--(AND(G1123&lt;&gt;"",G1123&lt;=8))+--(AND(H1123&lt;&gt;"",H1123&lt;=8))+--(AND(I1123&lt;&gt;"",I1123&lt;=8))+--(AND(J1123&lt;&gt;"",J1123&lt;=8))+--(AND(K1123&lt;&gt;"",K1123&lt;=8))+--(AND(L1123&lt;&gt;"",L1123&lt;=8))+--(AND(M1123&lt;&gt;"",M1123&lt;=8))+--(AND(N1123&lt;&gt;"",N1123&lt;=8))+--(AND(O1123&lt;&gt;"",O1123&lt;=8)))</f>
        <v/>
      </c>
    </row>
    <row r="1124" customFormat="false" ht="15" hidden="false" customHeight="false" outlineLevel="0" collapsed="false">
      <c r="AZ1124" s="5" t="str">
        <f aca="false">IF($B1124="","",SUMPRODUCT(($AL1124:$AO1124&lt;&gt;"")*(COUNTIF($AP1124:$AX1124,$AL1124:$AO1124)&gt;0)))</f>
        <v/>
      </c>
      <c r="BA1124" s="5" t="str">
        <f aca="false">IF($B1124="","",IF(AZ1124&gt;0,1,0))</f>
        <v/>
      </c>
      <c r="BB1124" s="5" t="str">
        <f aca="false">IF($AP1124="","",IF((($AP1124="Engineering and Technology")+($AP1124="Science and Mathematics")+($AP1124="Computer Science, IT and Allied Fields")+($AP1124="Life Sciences /Medicine and Healthcare")+($AP1124="Paramedical")+($AP1124="Architecture")+($AP1124="Environmental Service")+($AP1124="Agriculture, Food Industry and Forestry"))&gt;0,"Science",IF((($AP1124="Banking and Finance")+($AP1124="Management and Administration")+($AP1124="Marketing")+($AP1124="Sales")+($AP1124="Entrepreneurship")+($AP1124="Hospitality and Tourism"))&gt;0,"Commerce",IF((($AP1124="Social Sciences and Humanities")+($AP1124="Law Studies")+($AP1124="Education and Training")+($AP1124="Art, Design")+($AP1124="Entertainment and Mass Media")+($AP1124="Community and Social Service")+($AP1124="Personal Care and Services")+($AP1124="Government and Public Administration")+($AP1124="Defence/ Protective Service")+($AP1124="Sports"))&gt;0,"Arts / Humanities",""))))</f>
        <v/>
      </c>
      <c r="BC1124" s="5" t="str">
        <f aca="false">IF($AL1124="","",IF((($AL1124="Engineering and Technology")+($AL1124="Science and Mathematics")+($AL1124="Computer Science, IT and Allied Fields")+($AL1124="Life Sciences /Medicine and Healthcare")+($AL1124="Paramedical")+($AL1124="Architecture")+($AL1124="Environmental Service")+($AL1124="Agriculture, Food Industry and Forestry"))&gt;0,"Science",IF((($AL1124="Banking and Finance")+($AL1124="Management and Administration")+($AL1124="Marketing")+($AL1124="Sales")+($AL1124="Entrepreneurship")+($AL1124="Hospitality and Tourism"))&gt;0,"Commerce",IF((($AL1124="Social Sciences and Humanities")+($AL1124="Law Studies")+($AL1124="Education and Training")+($AL1124="Art, Design")+($AL1124="Entertainment and Mass Media")+($AL1124="Community and Social Service")+($AL1124="Personal Care and Services")+($AL1124="Government and Public Administration")+($AL1124="Defence/ Protective Service")+($AL1124="Sports"))&gt;0,"Arts / Humanities",""))))</f>
        <v/>
      </c>
      <c r="BD1124" s="5" t="str">
        <f aca="false">IF($B1124="","",--(F1124&gt;=10)+--(G1124&gt;=10)+--(H1124&gt;=10)+--(I1124&gt;=10)+--(J1124&gt;=10)+--(K1124&gt;=10)+--(L1124&gt;=10)+--(M1124&gt;=10)+--(N1124&gt;=10)+--(O1124&gt;=10))</f>
        <v/>
      </c>
      <c r="BE1124" s="5" t="str">
        <f aca="false">IF($B1124="","",--(AND(F1124&lt;&gt;"",F1124&lt;=8))+--(AND(G1124&lt;&gt;"",G1124&lt;=8))+--(AND(H1124&lt;&gt;"",H1124&lt;=8))+--(AND(I1124&lt;&gt;"",I1124&lt;=8))+--(AND(J1124&lt;&gt;"",J1124&lt;=8))+--(AND(K1124&lt;&gt;"",K1124&lt;=8))+--(AND(L1124&lt;&gt;"",L1124&lt;=8))+--(AND(M1124&lt;&gt;"",M1124&lt;=8))+--(AND(N1124&lt;&gt;"",N1124&lt;=8))+--(AND(O1124&lt;&gt;"",O1124&lt;=8)))</f>
        <v/>
      </c>
    </row>
    <row r="1125" customFormat="false" ht="15" hidden="false" customHeight="false" outlineLevel="0" collapsed="false">
      <c r="AZ1125" s="5" t="str">
        <f aca="false">IF($B1125="","",SUMPRODUCT(($AL1125:$AO1125&lt;&gt;"")*(COUNTIF($AP1125:$AX1125,$AL1125:$AO1125)&gt;0)))</f>
        <v/>
      </c>
      <c r="BA1125" s="5" t="str">
        <f aca="false">IF($B1125="","",IF(AZ1125&gt;0,1,0))</f>
        <v/>
      </c>
      <c r="BB1125" s="5" t="str">
        <f aca="false">IF($AP1125="","",IF((($AP1125="Engineering and Technology")+($AP1125="Science and Mathematics")+($AP1125="Computer Science, IT and Allied Fields")+($AP1125="Life Sciences /Medicine and Healthcare")+($AP1125="Paramedical")+($AP1125="Architecture")+($AP1125="Environmental Service")+($AP1125="Agriculture, Food Industry and Forestry"))&gt;0,"Science",IF((($AP1125="Banking and Finance")+($AP1125="Management and Administration")+($AP1125="Marketing")+($AP1125="Sales")+($AP1125="Entrepreneurship")+($AP1125="Hospitality and Tourism"))&gt;0,"Commerce",IF((($AP1125="Social Sciences and Humanities")+($AP1125="Law Studies")+($AP1125="Education and Training")+($AP1125="Art, Design")+($AP1125="Entertainment and Mass Media")+($AP1125="Community and Social Service")+($AP1125="Personal Care and Services")+($AP1125="Government and Public Administration")+($AP1125="Defence/ Protective Service")+($AP1125="Sports"))&gt;0,"Arts / Humanities",""))))</f>
        <v/>
      </c>
      <c r="BC1125" s="5" t="str">
        <f aca="false">IF($AL1125="","",IF((($AL1125="Engineering and Technology")+($AL1125="Science and Mathematics")+($AL1125="Computer Science, IT and Allied Fields")+($AL1125="Life Sciences /Medicine and Healthcare")+($AL1125="Paramedical")+($AL1125="Architecture")+($AL1125="Environmental Service")+($AL1125="Agriculture, Food Industry and Forestry"))&gt;0,"Science",IF((($AL1125="Banking and Finance")+($AL1125="Management and Administration")+($AL1125="Marketing")+($AL1125="Sales")+($AL1125="Entrepreneurship")+($AL1125="Hospitality and Tourism"))&gt;0,"Commerce",IF((($AL1125="Social Sciences and Humanities")+($AL1125="Law Studies")+($AL1125="Education and Training")+($AL1125="Art, Design")+($AL1125="Entertainment and Mass Media")+($AL1125="Community and Social Service")+($AL1125="Personal Care and Services")+($AL1125="Government and Public Administration")+($AL1125="Defence/ Protective Service")+($AL1125="Sports"))&gt;0,"Arts / Humanities",""))))</f>
        <v/>
      </c>
      <c r="BD1125" s="5" t="str">
        <f aca="false">IF($B1125="","",--(F1125&gt;=10)+--(G1125&gt;=10)+--(H1125&gt;=10)+--(I1125&gt;=10)+--(J1125&gt;=10)+--(K1125&gt;=10)+--(L1125&gt;=10)+--(M1125&gt;=10)+--(N1125&gt;=10)+--(O1125&gt;=10))</f>
        <v/>
      </c>
      <c r="BE1125" s="5" t="str">
        <f aca="false">IF($B1125="","",--(AND(F1125&lt;&gt;"",F1125&lt;=8))+--(AND(G1125&lt;&gt;"",G1125&lt;=8))+--(AND(H1125&lt;&gt;"",H1125&lt;=8))+--(AND(I1125&lt;&gt;"",I1125&lt;=8))+--(AND(J1125&lt;&gt;"",J1125&lt;=8))+--(AND(K1125&lt;&gt;"",K1125&lt;=8))+--(AND(L1125&lt;&gt;"",L1125&lt;=8))+--(AND(M1125&lt;&gt;"",M1125&lt;=8))+--(AND(N1125&lt;&gt;"",N1125&lt;=8))+--(AND(O1125&lt;&gt;"",O1125&lt;=8)))</f>
        <v/>
      </c>
    </row>
    <row r="1126" customFormat="false" ht="15" hidden="false" customHeight="false" outlineLevel="0" collapsed="false">
      <c r="AZ1126" s="5" t="str">
        <f aca="false">IF($B1126="","",SUMPRODUCT(($AL1126:$AO1126&lt;&gt;"")*(COUNTIF($AP1126:$AX1126,$AL1126:$AO1126)&gt;0)))</f>
        <v/>
      </c>
      <c r="BA1126" s="5" t="str">
        <f aca="false">IF($B1126="","",IF(AZ1126&gt;0,1,0))</f>
        <v/>
      </c>
      <c r="BB1126" s="5" t="str">
        <f aca="false">IF($AP1126="","",IF((($AP1126="Engineering and Technology")+($AP1126="Science and Mathematics")+($AP1126="Computer Science, IT and Allied Fields")+($AP1126="Life Sciences /Medicine and Healthcare")+($AP1126="Paramedical")+($AP1126="Architecture")+($AP1126="Environmental Service")+($AP1126="Agriculture, Food Industry and Forestry"))&gt;0,"Science",IF((($AP1126="Banking and Finance")+($AP1126="Management and Administration")+($AP1126="Marketing")+($AP1126="Sales")+($AP1126="Entrepreneurship")+($AP1126="Hospitality and Tourism"))&gt;0,"Commerce",IF((($AP1126="Social Sciences and Humanities")+($AP1126="Law Studies")+($AP1126="Education and Training")+($AP1126="Art, Design")+($AP1126="Entertainment and Mass Media")+($AP1126="Community and Social Service")+($AP1126="Personal Care and Services")+($AP1126="Government and Public Administration")+($AP1126="Defence/ Protective Service")+($AP1126="Sports"))&gt;0,"Arts / Humanities",""))))</f>
        <v/>
      </c>
      <c r="BC1126" s="5" t="str">
        <f aca="false">IF($AL1126="","",IF((($AL1126="Engineering and Technology")+($AL1126="Science and Mathematics")+($AL1126="Computer Science, IT and Allied Fields")+($AL1126="Life Sciences /Medicine and Healthcare")+($AL1126="Paramedical")+($AL1126="Architecture")+($AL1126="Environmental Service")+($AL1126="Agriculture, Food Industry and Forestry"))&gt;0,"Science",IF((($AL1126="Banking and Finance")+($AL1126="Management and Administration")+($AL1126="Marketing")+($AL1126="Sales")+($AL1126="Entrepreneurship")+($AL1126="Hospitality and Tourism"))&gt;0,"Commerce",IF((($AL1126="Social Sciences and Humanities")+($AL1126="Law Studies")+($AL1126="Education and Training")+($AL1126="Art, Design")+($AL1126="Entertainment and Mass Media")+($AL1126="Community and Social Service")+($AL1126="Personal Care and Services")+($AL1126="Government and Public Administration")+($AL1126="Defence/ Protective Service")+($AL1126="Sports"))&gt;0,"Arts / Humanities",""))))</f>
        <v/>
      </c>
      <c r="BD1126" s="5" t="str">
        <f aca="false">IF($B1126="","",--(F1126&gt;=10)+--(G1126&gt;=10)+--(H1126&gt;=10)+--(I1126&gt;=10)+--(J1126&gt;=10)+--(K1126&gt;=10)+--(L1126&gt;=10)+--(M1126&gt;=10)+--(N1126&gt;=10)+--(O1126&gt;=10))</f>
        <v/>
      </c>
      <c r="BE1126" s="5" t="str">
        <f aca="false">IF($B1126="","",--(AND(F1126&lt;&gt;"",F1126&lt;=8))+--(AND(G1126&lt;&gt;"",G1126&lt;=8))+--(AND(H1126&lt;&gt;"",H1126&lt;=8))+--(AND(I1126&lt;&gt;"",I1126&lt;=8))+--(AND(J1126&lt;&gt;"",J1126&lt;=8))+--(AND(K1126&lt;&gt;"",K1126&lt;=8))+--(AND(L1126&lt;&gt;"",L1126&lt;=8))+--(AND(M1126&lt;&gt;"",M1126&lt;=8))+--(AND(N1126&lt;&gt;"",N1126&lt;=8))+--(AND(O1126&lt;&gt;"",O1126&lt;=8)))</f>
        <v/>
      </c>
    </row>
    <row r="1127" customFormat="false" ht="15" hidden="false" customHeight="false" outlineLevel="0" collapsed="false">
      <c r="AZ1127" s="5" t="str">
        <f aca="false">IF($B1127="","",SUMPRODUCT(($AL1127:$AO1127&lt;&gt;"")*(COUNTIF($AP1127:$AX1127,$AL1127:$AO1127)&gt;0)))</f>
        <v/>
      </c>
      <c r="BA1127" s="5" t="str">
        <f aca="false">IF($B1127="","",IF(AZ1127&gt;0,1,0))</f>
        <v/>
      </c>
      <c r="BB1127" s="5" t="str">
        <f aca="false">IF($AP1127="","",IF((($AP1127="Engineering and Technology")+($AP1127="Science and Mathematics")+($AP1127="Computer Science, IT and Allied Fields")+($AP1127="Life Sciences /Medicine and Healthcare")+($AP1127="Paramedical")+($AP1127="Architecture")+($AP1127="Environmental Service")+($AP1127="Agriculture, Food Industry and Forestry"))&gt;0,"Science",IF((($AP1127="Banking and Finance")+($AP1127="Management and Administration")+($AP1127="Marketing")+($AP1127="Sales")+($AP1127="Entrepreneurship")+($AP1127="Hospitality and Tourism"))&gt;0,"Commerce",IF((($AP1127="Social Sciences and Humanities")+($AP1127="Law Studies")+($AP1127="Education and Training")+($AP1127="Art, Design")+($AP1127="Entertainment and Mass Media")+($AP1127="Community and Social Service")+($AP1127="Personal Care and Services")+($AP1127="Government and Public Administration")+($AP1127="Defence/ Protective Service")+($AP1127="Sports"))&gt;0,"Arts / Humanities",""))))</f>
        <v/>
      </c>
      <c r="BC1127" s="5" t="str">
        <f aca="false">IF($AL1127="","",IF((($AL1127="Engineering and Technology")+($AL1127="Science and Mathematics")+($AL1127="Computer Science, IT and Allied Fields")+($AL1127="Life Sciences /Medicine and Healthcare")+($AL1127="Paramedical")+($AL1127="Architecture")+($AL1127="Environmental Service")+($AL1127="Agriculture, Food Industry and Forestry"))&gt;0,"Science",IF((($AL1127="Banking and Finance")+($AL1127="Management and Administration")+($AL1127="Marketing")+($AL1127="Sales")+($AL1127="Entrepreneurship")+($AL1127="Hospitality and Tourism"))&gt;0,"Commerce",IF((($AL1127="Social Sciences and Humanities")+($AL1127="Law Studies")+($AL1127="Education and Training")+($AL1127="Art, Design")+($AL1127="Entertainment and Mass Media")+($AL1127="Community and Social Service")+($AL1127="Personal Care and Services")+($AL1127="Government and Public Administration")+($AL1127="Defence/ Protective Service")+($AL1127="Sports"))&gt;0,"Arts / Humanities",""))))</f>
        <v/>
      </c>
      <c r="BD1127" s="5" t="str">
        <f aca="false">IF($B1127="","",--(F1127&gt;=10)+--(G1127&gt;=10)+--(H1127&gt;=10)+--(I1127&gt;=10)+--(J1127&gt;=10)+--(K1127&gt;=10)+--(L1127&gt;=10)+--(M1127&gt;=10)+--(N1127&gt;=10)+--(O1127&gt;=10))</f>
        <v/>
      </c>
      <c r="BE1127" s="5" t="str">
        <f aca="false">IF($B1127="","",--(AND(F1127&lt;&gt;"",F1127&lt;=8))+--(AND(G1127&lt;&gt;"",G1127&lt;=8))+--(AND(H1127&lt;&gt;"",H1127&lt;=8))+--(AND(I1127&lt;&gt;"",I1127&lt;=8))+--(AND(J1127&lt;&gt;"",J1127&lt;=8))+--(AND(K1127&lt;&gt;"",K1127&lt;=8))+--(AND(L1127&lt;&gt;"",L1127&lt;=8))+--(AND(M1127&lt;&gt;"",M1127&lt;=8))+--(AND(N1127&lt;&gt;"",N1127&lt;=8))+--(AND(O1127&lt;&gt;"",O1127&lt;=8)))</f>
        <v/>
      </c>
    </row>
    <row r="1128" customFormat="false" ht="15" hidden="false" customHeight="false" outlineLevel="0" collapsed="false">
      <c r="AZ1128" s="5" t="str">
        <f aca="false">IF($B1128="","",SUMPRODUCT(($AL1128:$AO1128&lt;&gt;"")*(COUNTIF($AP1128:$AX1128,$AL1128:$AO1128)&gt;0)))</f>
        <v/>
      </c>
      <c r="BA1128" s="5" t="str">
        <f aca="false">IF($B1128="","",IF(AZ1128&gt;0,1,0))</f>
        <v/>
      </c>
      <c r="BB1128" s="5" t="str">
        <f aca="false">IF($AP1128="","",IF((($AP1128="Engineering and Technology")+($AP1128="Science and Mathematics")+($AP1128="Computer Science, IT and Allied Fields")+($AP1128="Life Sciences /Medicine and Healthcare")+($AP1128="Paramedical")+($AP1128="Architecture")+($AP1128="Environmental Service")+($AP1128="Agriculture, Food Industry and Forestry"))&gt;0,"Science",IF((($AP1128="Banking and Finance")+($AP1128="Management and Administration")+($AP1128="Marketing")+($AP1128="Sales")+($AP1128="Entrepreneurship")+($AP1128="Hospitality and Tourism"))&gt;0,"Commerce",IF((($AP1128="Social Sciences and Humanities")+($AP1128="Law Studies")+($AP1128="Education and Training")+($AP1128="Art, Design")+($AP1128="Entertainment and Mass Media")+($AP1128="Community and Social Service")+($AP1128="Personal Care and Services")+($AP1128="Government and Public Administration")+($AP1128="Defence/ Protective Service")+($AP1128="Sports"))&gt;0,"Arts / Humanities",""))))</f>
        <v/>
      </c>
      <c r="BC1128" s="5" t="str">
        <f aca="false">IF($AL1128="","",IF((($AL1128="Engineering and Technology")+($AL1128="Science and Mathematics")+($AL1128="Computer Science, IT and Allied Fields")+($AL1128="Life Sciences /Medicine and Healthcare")+($AL1128="Paramedical")+($AL1128="Architecture")+($AL1128="Environmental Service")+($AL1128="Agriculture, Food Industry and Forestry"))&gt;0,"Science",IF((($AL1128="Banking and Finance")+($AL1128="Management and Administration")+($AL1128="Marketing")+($AL1128="Sales")+($AL1128="Entrepreneurship")+($AL1128="Hospitality and Tourism"))&gt;0,"Commerce",IF((($AL1128="Social Sciences and Humanities")+($AL1128="Law Studies")+($AL1128="Education and Training")+($AL1128="Art, Design")+($AL1128="Entertainment and Mass Media")+($AL1128="Community and Social Service")+($AL1128="Personal Care and Services")+($AL1128="Government and Public Administration")+($AL1128="Defence/ Protective Service")+($AL1128="Sports"))&gt;0,"Arts / Humanities",""))))</f>
        <v/>
      </c>
      <c r="BD1128" s="5" t="str">
        <f aca="false">IF($B1128="","",--(F1128&gt;=10)+--(G1128&gt;=10)+--(H1128&gt;=10)+--(I1128&gt;=10)+--(J1128&gt;=10)+--(K1128&gt;=10)+--(L1128&gt;=10)+--(M1128&gt;=10)+--(N1128&gt;=10)+--(O1128&gt;=10))</f>
        <v/>
      </c>
      <c r="BE1128" s="5" t="str">
        <f aca="false">IF($B1128="","",--(AND(F1128&lt;&gt;"",F1128&lt;=8))+--(AND(G1128&lt;&gt;"",G1128&lt;=8))+--(AND(H1128&lt;&gt;"",H1128&lt;=8))+--(AND(I1128&lt;&gt;"",I1128&lt;=8))+--(AND(J1128&lt;&gt;"",J1128&lt;=8))+--(AND(K1128&lt;&gt;"",K1128&lt;=8))+--(AND(L1128&lt;&gt;"",L1128&lt;=8))+--(AND(M1128&lt;&gt;"",M1128&lt;=8))+--(AND(N1128&lt;&gt;"",N1128&lt;=8))+--(AND(O1128&lt;&gt;"",O1128&lt;=8)))</f>
        <v/>
      </c>
    </row>
    <row r="1129" customFormat="false" ht="15" hidden="false" customHeight="false" outlineLevel="0" collapsed="false">
      <c r="AZ1129" s="5" t="str">
        <f aca="false">IF($B1129="","",SUMPRODUCT(($AL1129:$AO1129&lt;&gt;"")*(COUNTIF($AP1129:$AX1129,$AL1129:$AO1129)&gt;0)))</f>
        <v/>
      </c>
      <c r="BA1129" s="5" t="str">
        <f aca="false">IF($B1129="","",IF(AZ1129&gt;0,1,0))</f>
        <v/>
      </c>
      <c r="BB1129" s="5" t="str">
        <f aca="false">IF($AP1129="","",IF((($AP1129="Engineering and Technology")+($AP1129="Science and Mathematics")+($AP1129="Computer Science, IT and Allied Fields")+($AP1129="Life Sciences /Medicine and Healthcare")+($AP1129="Paramedical")+($AP1129="Architecture")+($AP1129="Environmental Service")+($AP1129="Agriculture, Food Industry and Forestry"))&gt;0,"Science",IF((($AP1129="Banking and Finance")+($AP1129="Management and Administration")+($AP1129="Marketing")+($AP1129="Sales")+($AP1129="Entrepreneurship")+($AP1129="Hospitality and Tourism"))&gt;0,"Commerce",IF((($AP1129="Social Sciences and Humanities")+($AP1129="Law Studies")+($AP1129="Education and Training")+($AP1129="Art, Design")+($AP1129="Entertainment and Mass Media")+($AP1129="Community and Social Service")+($AP1129="Personal Care and Services")+($AP1129="Government and Public Administration")+($AP1129="Defence/ Protective Service")+($AP1129="Sports"))&gt;0,"Arts / Humanities",""))))</f>
        <v/>
      </c>
      <c r="BC1129" s="5" t="str">
        <f aca="false">IF($AL1129="","",IF((($AL1129="Engineering and Technology")+($AL1129="Science and Mathematics")+($AL1129="Computer Science, IT and Allied Fields")+($AL1129="Life Sciences /Medicine and Healthcare")+($AL1129="Paramedical")+($AL1129="Architecture")+($AL1129="Environmental Service")+($AL1129="Agriculture, Food Industry and Forestry"))&gt;0,"Science",IF((($AL1129="Banking and Finance")+($AL1129="Management and Administration")+($AL1129="Marketing")+($AL1129="Sales")+($AL1129="Entrepreneurship")+($AL1129="Hospitality and Tourism"))&gt;0,"Commerce",IF((($AL1129="Social Sciences and Humanities")+($AL1129="Law Studies")+($AL1129="Education and Training")+($AL1129="Art, Design")+($AL1129="Entertainment and Mass Media")+($AL1129="Community and Social Service")+($AL1129="Personal Care and Services")+($AL1129="Government and Public Administration")+($AL1129="Defence/ Protective Service")+($AL1129="Sports"))&gt;0,"Arts / Humanities",""))))</f>
        <v/>
      </c>
      <c r="BD1129" s="5" t="str">
        <f aca="false">IF($B1129="","",--(F1129&gt;=10)+--(G1129&gt;=10)+--(H1129&gt;=10)+--(I1129&gt;=10)+--(J1129&gt;=10)+--(K1129&gt;=10)+--(L1129&gt;=10)+--(M1129&gt;=10)+--(N1129&gt;=10)+--(O1129&gt;=10))</f>
        <v/>
      </c>
      <c r="BE1129" s="5" t="str">
        <f aca="false">IF($B1129="","",--(AND(F1129&lt;&gt;"",F1129&lt;=8))+--(AND(G1129&lt;&gt;"",G1129&lt;=8))+--(AND(H1129&lt;&gt;"",H1129&lt;=8))+--(AND(I1129&lt;&gt;"",I1129&lt;=8))+--(AND(J1129&lt;&gt;"",J1129&lt;=8))+--(AND(K1129&lt;&gt;"",K1129&lt;=8))+--(AND(L1129&lt;&gt;"",L1129&lt;=8))+--(AND(M1129&lt;&gt;"",M1129&lt;=8))+--(AND(N1129&lt;&gt;"",N1129&lt;=8))+--(AND(O1129&lt;&gt;"",O1129&lt;=8)))</f>
        <v/>
      </c>
    </row>
    <row r="1130" customFormat="false" ht="15" hidden="false" customHeight="false" outlineLevel="0" collapsed="false">
      <c r="AZ1130" s="5" t="str">
        <f aca="false">IF($B1130="","",SUMPRODUCT(($AL1130:$AO1130&lt;&gt;"")*(COUNTIF($AP1130:$AX1130,$AL1130:$AO1130)&gt;0)))</f>
        <v/>
      </c>
      <c r="BA1130" s="5" t="str">
        <f aca="false">IF($B1130="","",IF(AZ1130&gt;0,1,0))</f>
        <v/>
      </c>
      <c r="BB1130" s="5" t="str">
        <f aca="false">IF($AP1130="","",IF((($AP1130="Engineering and Technology")+($AP1130="Science and Mathematics")+($AP1130="Computer Science, IT and Allied Fields")+($AP1130="Life Sciences /Medicine and Healthcare")+($AP1130="Paramedical")+($AP1130="Architecture")+($AP1130="Environmental Service")+($AP1130="Agriculture, Food Industry and Forestry"))&gt;0,"Science",IF((($AP1130="Banking and Finance")+($AP1130="Management and Administration")+($AP1130="Marketing")+($AP1130="Sales")+($AP1130="Entrepreneurship")+($AP1130="Hospitality and Tourism"))&gt;0,"Commerce",IF((($AP1130="Social Sciences and Humanities")+($AP1130="Law Studies")+($AP1130="Education and Training")+($AP1130="Art, Design")+($AP1130="Entertainment and Mass Media")+($AP1130="Community and Social Service")+($AP1130="Personal Care and Services")+($AP1130="Government and Public Administration")+($AP1130="Defence/ Protective Service")+($AP1130="Sports"))&gt;0,"Arts / Humanities",""))))</f>
        <v/>
      </c>
      <c r="BC1130" s="5" t="str">
        <f aca="false">IF($AL1130="","",IF((($AL1130="Engineering and Technology")+($AL1130="Science and Mathematics")+($AL1130="Computer Science, IT and Allied Fields")+($AL1130="Life Sciences /Medicine and Healthcare")+($AL1130="Paramedical")+($AL1130="Architecture")+($AL1130="Environmental Service")+($AL1130="Agriculture, Food Industry and Forestry"))&gt;0,"Science",IF((($AL1130="Banking and Finance")+($AL1130="Management and Administration")+($AL1130="Marketing")+($AL1130="Sales")+($AL1130="Entrepreneurship")+($AL1130="Hospitality and Tourism"))&gt;0,"Commerce",IF((($AL1130="Social Sciences and Humanities")+($AL1130="Law Studies")+($AL1130="Education and Training")+($AL1130="Art, Design")+($AL1130="Entertainment and Mass Media")+($AL1130="Community and Social Service")+($AL1130="Personal Care and Services")+($AL1130="Government and Public Administration")+($AL1130="Defence/ Protective Service")+($AL1130="Sports"))&gt;0,"Arts / Humanities",""))))</f>
        <v/>
      </c>
      <c r="BD1130" s="5" t="str">
        <f aca="false">IF($B1130="","",--(F1130&gt;=10)+--(G1130&gt;=10)+--(H1130&gt;=10)+--(I1130&gt;=10)+--(J1130&gt;=10)+--(K1130&gt;=10)+--(L1130&gt;=10)+--(M1130&gt;=10)+--(N1130&gt;=10)+--(O1130&gt;=10))</f>
        <v/>
      </c>
      <c r="BE1130" s="5" t="str">
        <f aca="false">IF($B1130="","",--(AND(F1130&lt;&gt;"",F1130&lt;=8))+--(AND(G1130&lt;&gt;"",G1130&lt;=8))+--(AND(H1130&lt;&gt;"",H1130&lt;=8))+--(AND(I1130&lt;&gt;"",I1130&lt;=8))+--(AND(J1130&lt;&gt;"",J1130&lt;=8))+--(AND(K1130&lt;&gt;"",K1130&lt;=8))+--(AND(L1130&lt;&gt;"",L1130&lt;=8))+--(AND(M1130&lt;&gt;"",M1130&lt;=8))+--(AND(N1130&lt;&gt;"",N1130&lt;=8))+--(AND(O1130&lt;&gt;"",O1130&lt;=8)))</f>
        <v/>
      </c>
    </row>
    <row r="1131" customFormat="false" ht="15" hidden="false" customHeight="false" outlineLevel="0" collapsed="false">
      <c r="AZ1131" s="5" t="str">
        <f aca="false">IF($B1131="","",SUMPRODUCT(($AL1131:$AO1131&lt;&gt;"")*(COUNTIF($AP1131:$AX1131,$AL1131:$AO1131)&gt;0)))</f>
        <v/>
      </c>
      <c r="BA1131" s="5" t="str">
        <f aca="false">IF($B1131="","",IF(AZ1131&gt;0,1,0))</f>
        <v/>
      </c>
      <c r="BB1131" s="5" t="str">
        <f aca="false">IF($AP1131="","",IF((($AP1131="Engineering and Technology")+($AP1131="Science and Mathematics")+($AP1131="Computer Science, IT and Allied Fields")+($AP1131="Life Sciences /Medicine and Healthcare")+($AP1131="Paramedical")+($AP1131="Architecture")+($AP1131="Environmental Service")+($AP1131="Agriculture, Food Industry and Forestry"))&gt;0,"Science",IF((($AP1131="Banking and Finance")+($AP1131="Management and Administration")+($AP1131="Marketing")+($AP1131="Sales")+($AP1131="Entrepreneurship")+($AP1131="Hospitality and Tourism"))&gt;0,"Commerce",IF((($AP1131="Social Sciences and Humanities")+($AP1131="Law Studies")+($AP1131="Education and Training")+($AP1131="Art, Design")+($AP1131="Entertainment and Mass Media")+($AP1131="Community and Social Service")+($AP1131="Personal Care and Services")+($AP1131="Government and Public Administration")+($AP1131="Defence/ Protective Service")+($AP1131="Sports"))&gt;0,"Arts / Humanities",""))))</f>
        <v/>
      </c>
      <c r="BC1131" s="5" t="str">
        <f aca="false">IF($AL1131="","",IF((($AL1131="Engineering and Technology")+($AL1131="Science and Mathematics")+($AL1131="Computer Science, IT and Allied Fields")+($AL1131="Life Sciences /Medicine and Healthcare")+($AL1131="Paramedical")+($AL1131="Architecture")+($AL1131="Environmental Service")+($AL1131="Agriculture, Food Industry and Forestry"))&gt;0,"Science",IF((($AL1131="Banking and Finance")+($AL1131="Management and Administration")+($AL1131="Marketing")+($AL1131="Sales")+($AL1131="Entrepreneurship")+($AL1131="Hospitality and Tourism"))&gt;0,"Commerce",IF((($AL1131="Social Sciences and Humanities")+($AL1131="Law Studies")+($AL1131="Education and Training")+($AL1131="Art, Design")+($AL1131="Entertainment and Mass Media")+($AL1131="Community and Social Service")+($AL1131="Personal Care and Services")+($AL1131="Government and Public Administration")+($AL1131="Defence/ Protective Service")+($AL1131="Sports"))&gt;0,"Arts / Humanities",""))))</f>
        <v/>
      </c>
      <c r="BD1131" s="5" t="str">
        <f aca="false">IF($B1131="","",--(F1131&gt;=10)+--(G1131&gt;=10)+--(H1131&gt;=10)+--(I1131&gt;=10)+--(J1131&gt;=10)+--(K1131&gt;=10)+--(L1131&gt;=10)+--(M1131&gt;=10)+--(N1131&gt;=10)+--(O1131&gt;=10))</f>
        <v/>
      </c>
      <c r="BE1131" s="5" t="str">
        <f aca="false">IF($B1131="","",--(AND(F1131&lt;&gt;"",F1131&lt;=8))+--(AND(G1131&lt;&gt;"",G1131&lt;=8))+--(AND(H1131&lt;&gt;"",H1131&lt;=8))+--(AND(I1131&lt;&gt;"",I1131&lt;=8))+--(AND(J1131&lt;&gt;"",J1131&lt;=8))+--(AND(K1131&lt;&gt;"",K1131&lt;=8))+--(AND(L1131&lt;&gt;"",L1131&lt;=8))+--(AND(M1131&lt;&gt;"",M1131&lt;=8))+--(AND(N1131&lt;&gt;"",N1131&lt;=8))+--(AND(O1131&lt;&gt;"",O1131&lt;=8)))</f>
        <v/>
      </c>
    </row>
    <row r="1132" customFormat="false" ht="15" hidden="false" customHeight="false" outlineLevel="0" collapsed="false">
      <c r="AZ1132" s="5" t="str">
        <f aca="false">IF($B1132="","",SUMPRODUCT(($AL1132:$AO1132&lt;&gt;"")*(COUNTIF($AP1132:$AX1132,$AL1132:$AO1132)&gt;0)))</f>
        <v/>
      </c>
      <c r="BA1132" s="5" t="str">
        <f aca="false">IF($B1132="","",IF(AZ1132&gt;0,1,0))</f>
        <v/>
      </c>
      <c r="BB1132" s="5" t="str">
        <f aca="false">IF($AP1132="","",IF((($AP1132="Engineering and Technology")+($AP1132="Science and Mathematics")+($AP1132="Computer Science, IT and Allied Fields")+($AP1132="Life Sciences /Medicine and Healthcare")+($AP1132="Paramedical")+($AP1132="Architecture")+($AP1132="Environmental Service")+($AP1132="Agriculture, Food Industry and Forestry"))&gt;0,"Science",IF((($AP1132="Banking and Finance")+($AP1132="Management and Administration")+($AP1132="Marketing")+($AP1132="Sales")+($AP1132="Entrepreneurship")+($AP1132="Hospitality and Tourism"))&gt;0,"Commerce",IF((($AP1132="Social Sciences and Humanities")+($AP1132="Law Studies")+($AP1132="Education and Training")+($AP1132="Art, Design")+($AP1132="Entertainment and Mass Media")+($AP1132="Community and Social Service")+($AP1132="Personal Care and Services")+($AP1132="Government and Public Administration")+($AP1132="Defence/ Protective Service")+($AP1132="Sports"))&gt;0,"Arts / Humanities",""))))</f>
        <v/>
      </c>
      <c r="BC1132" s="5" t="str">
        <f aca="false">IF($AL1132="","",IF((($AL1132="Engineering and Technology")+($AL1132="Science and Mathematics")+($AL1132="Computer Science, IT and Allied Fields")+($AL1132="Life Sciences /Medicine and Healthcare")+($AL1132="Paramedical")+($AL1132="Architecture")+($AL1132="Environmental Service")+($AL1132="Agriculture, Food Industry and Forestry"))&gt;0,"Science",IF((($AL1132="Banking and Finance")+($AL1132="Management and Administration")+($AL1132="Marketing")+($AL1132="Sales")+($AL1132="Entrepreneurship")+($AL1132="Hospitality and Tourism"))&gt;0,"Commerce",IF((($AL1132="Social Sciences and Humanities")+($AL1132="Law Studies")+($AL1132="Education and Training")+($AL1132="Art, Design")+($AL1132="Entertainment and Mass Media")+($AL1132="Community and Social Service")+($AL1132="Personal Care and Services")+($AL1132="Government and Public Administration")+($AL1132="Defence/ Protective Service")+($AL1132="Sports"))&gt;0,"Arts / Humanities",""))))</f>
        <v/>
      </c>
      <c r="BD1132" s="5" t="str">
        <f aca="false">IF($B1132="","",--(F1132&gt;=10)+--(G1132&gt;=10)+--(H1132&gt;=10)+--(I1132&gt;=10)+--(J1132&gt;=10)+--(K1132&gt;=10)+--(L1132&gt;=10)+--(M1132&gt;=10)+--(N1132&gt;=10)+--(O1132&gt;=10))</f>
        <v/>
      </c>
      <c r="BE1132" s="5" t="str">
        <f aca="false">IF($B1132="","",--(AND(F1132&lt;&gt;"",F1132&lt;=8))+--(AND(G1132&lt;&gt;"",G1132&lt;=8))+--(AND(H1132&lt;&gt;"",H1132&lt;=8))+--(AND(I1132&lt;&gt;"",I1132&lt;=8))+--(AND(J1132&lt;&gt;"",J1132&lt;=8))+--(AND(K1132&lt;&gt;"",K1132&lt;=8))+--(AND(L1132&lt;&gt;"",L1132&lt;=8))+--(AND(M1132&lt;&gt;"",M1132&lt;=8))+--(AND(N1132&lt;&gt;"",N1132&lt;=8))+--(AND(O1132&lt;&gt;"",O1132&lt;=8)))</f>
        <v/>
      </c>
    </row>
    <row r="1133" customFormat="false" ht="15" hidden="false" customHeight="false" outlineLevel="0" collapsed="false">
      <c r="AZ1133" s="5" t="str">
        <f aca="false">IF($B1133="","",SUMPRODUCT(($AL1133:$AO1133&lt;&gt;"")*(COUNTIF($AP1133:$AX1133,$AL1133:$AO1133)&gt;0)))</f>
        <v/>
      </c>
      <c r="BA1133" s="5" t="str">
        <f aca="false">IF($B1133="","",IF(AZ1133&gt;0,1,0))</f>
        <v/>
      </c>
      <c r="BB1133" s="5" t="str">
        <f aca="false">IF($AP1133="","",IF((($AP1133="Engineering and Technology")+($AP1133="Science and Mathematics")+($AP1133="Computer Science, IT and Allied Fields")+($AP1133="Life Sciences /Medicine and Healthcare")+($AP1133="Paramedical")+($AP1133="Architecture")+($AP1133="Environmental Service")+($AP1133="Agriculture, Food Industry and Forestry"))&gt;0,"Science",IF((($AP1133="Banking and Finance")+($AP1133="Management and Administration")+($AP1133="Marketing")+($AP1133="Sales")+($AP1133="Entrepreneurship")+($AP1133="Hospitality and Tourism"))&gt;0,"Commerce",IF((($AP1133="Social Sciences and Humanities")+($AP1133="Law Studies")+($AP1133="Education and Training")+($AP1133="Art, Design")+($AP1133="Entertainment and Mass Media")+($AP1133="Community and Social Service")+($AP1133="Personal Care and Services")+($AP1133="Government and Public Administration")+($AP1133="Defence/ Protective Service")+($AP1133="Sports"))&gt;0,"Arts / Humanities",""))))</f>
        <v/>
      </c>
      <c r="BC1133" s="5" t="str">
        <f aca="false">IF($AL1133="","",IF((($AL1133="Engineering and Technology")+($AL1133="Science and Mathematics")+($AL1133="Computer Science, IT and Allied Fields")+($AL1133="Life Sciences /Medicine and Healthcare")+($AL1133="Paramedical")+($AL1133="Architecture")+($AL1133="Environmental Service")+($AL1133="Agriculture, Food Industry and Forestry"))&gt;0,"Science",IF((($AL1133="Banking and Finance")+($AL1133="Management and Administration")+($AL1133="Marketing")+($AL1133="Sales")+($AL1133="Entrepreneurship")+($AL1133="Hospitality and Tourism"))&gt;0,"Commerce",IF((($AL1133="Social Sciences and Humanities")+($AL1133="Law Studies")+($AL1133="Education and Training")+($AL1133="Art, Design")+($AL1133="Entertainment and Mass Media")+($AL1133="Community and Social Service")+($AL1133="Personal Care and Services")+($AL1133="Government and Public Administration")+($AL1133="Defence/ Protective Service")+($AL1133="Sports"))&gt;0,"Arts / Humanities",""))))</f>
        <v/>
      </c>
      <c r="BD1133" s="5" t="str">
        <f aca="false">IF($B1133="","",--(F1133&gt;=10)+--(G1133&gt;=10)+--(H1133&gt;=10)+--(I1133&gt;=10)+--(J1133&gt;=10)+--(K1133&gt;=10)+--(L1133&gt;=10)+--(M1133&gt;=10)+--(N1133&gt;=10)+--(O1133&gt;=10))</f>
        <v/>
      </c>
      <c r="BE1133" s="5" t="str">
        <f aca="false">IF($B1133="","",--(AND(F1133&lt;&gt;"",F1133&lt;=8))+--(AND(G1133&lt;&gt;"",G1133&lt;=8))+--(AND(H1133&lt;&gt;"",H1133&lt;=8))+--(AND(I1133&lt;&gt;"",I1133&lt;=8))+--(AND(J1133&lt;&gt;"",J1133&lt;=8))+--(AND(K1133&lt;&gt;"",K1133&lt;=8))+--(AND(L1133&lt;&gt;"",L1133&lt;=8))+--(AND(M1133&lt;&gt;"",M1133&lt;=8))+--(AND(N1133&lt;&gt;"",N1133&lt;=8))+--(AND(O1133&lt;&gt;"",O1133&lt;=8)))</f>
        <v/>
      </c>
    </row>
    <row r="1134" customFormat="false" ht="15" hidden="false" customHeight="false" outlineLevel="0" collapsed="false">
      <c r="AZ1134" s="5" t="str">
        <f aca="false">IF($B1134="","",SUMPRODUCT(($AL1134:$AO1134&lt;&gt;"")*(COUNTIF($AP1134:$AX1134,$AL1134:$AO1134)&gt;0)))</f>
        <v/>
      </c>
      <c r="BA1134" s="5" t="str">
        <f aca="false">IF($B1134="","",IF(AZ1134&gt;0,1,0))</f>
        <v/>
      </c>
      <c r="BB1134" s="5" t="str">
        <f aca="false">IF($AP1134="","",IF((($AP1134="Engineering and Technology")+($AP1134="Science and Mathematics")+($AP1134="Computer Science, IT and Allied Fields")+($AP1134="Life Sciences /Medicine and Healthcare")+($AP1134="Paramedical")+($AP1134="Architecture")+($AP1134="Environmental Service")+($AP1134="Agriculture, Food Industry and Forestry"))&gt;0,"Science",IF((($AP1134="Banking and Finance")+($AP1134="Management and Administration")+($AP1134="Marketing")+($AP1134="Sales")+($AP1134="Entrepreneurship")+($AP1134="Hospitality and Tourism"))&gt;0,"Commerce",IF((($AP1134="Social Sciences and Humanities")+($AP1134="Law Studies")+($AP1134="Education and Training")+($AP1134="Art, Design")+($AP1134="Entertainment and Mass Media")+($AP1134="Community and Social Service")+($AP1134="Personal Care and Services")+($AP1134="Government and Public Administration")+($AP1134="Defence/ Protective Service")+($AP1134="Sports"))&gt;0,"Arts / Humanities",""))))</f>
        <v/>
      </c>
      <c r="BC1134" s="5" t="str">
        <f aca="false">IF($AL1134="","",IF((($AL1134="Engineering and Technology")+($AL1134="Science and Mathematics")+($AL1134="Computer Science, IT and Allied Fields")+($AL1134="Life Sciences /Medicine and Healthcare")+($AL1134="Paramedical")+($AL1134="Architecture")+($AL1134="Environmental Service")+($AL1134="Agriculture, Food Industry and Forestry"))&gt;0,"Science",IF((($AL1134="Banking and Finance")+($AL1134="Management and Administration")+($AL1134="Marketing")+($AL1134="Sales")+($AL1134="Entrepreneurship")+($AL1134="Hospitality and Tourism"))&gt;0,"Commerce",IF((($AL1134="Social Sciences and Humanities")+($AL1134="Law Studies")+($AL1134="Education and Training")+($AL1134="Art, Design")+($AL1134="Entertainment and Mass Media")+($AL1134="Community and Social Service")+($AL1134="Personal Care and Services")+($AL1134="Government and Public Administration")+($AL1134="Defence/ Protective Service")+($AL1134="Sports"))&gt;0,"Arts / Humanities",""))))</f>
        <v/>
      </c>
      <c r="BD1134" s="5" t="str">
        <f aca="false">IF($B1134="","",--(F1134&gt;=10)+--(G1134&gt;=10)+--(H1134&gt;=10)+--(I1134&gt;=10)+--(J1134&gt;=10)+--(K1134&gt;=10)+--(L1134&gt;=10)+--(M1134&gt;=10)+--(N1134&gt;=10)+--(O1134&gt;=10))</f>
        <v/>
      </c>
      <c r="BE1134" s="5" t="str">
        <f aca="false">IF($B1134="","",--(AND(F1134&lt;&gt;"",F1134&lt;=8))+--(AND(G1134&lt;&gt;"",G1134&lt;=8))+--(AND(H1134&lt;&gt;"",H1134&lt;=8))+--(AND(I1134&lt;&gt;"",I1134&lt;=8))+--(AND(J1134&lt;&gt;"",J1134&lt;=8))+--(AND(K1134&lt;&gt;"",K1134&lt;=8))+--(AND(L1134&lt;&gt;"",L1134&lt;=8))+--(AND(M1134&lt;&gt;"",M1134&lt;=8))+--(AND(N1134&lt;&gt;"",N1134&lt;=8))+--(AND(O1134&lt;&gt;"",O1134&lt;=8)))</f>
        <v/>
      </c>
    </row>
    <row r="1135" customFormat="false" ht="15" hidden="false" customHeight="false" outlineLevel="0" collapsed="false">
      <c r="AZ1135" s="5" t="str">
        <f aca="false">IF($B1135="","",SUMPRODUCT(($AL1135:$AO1135&lt;&gt;"")*(COUNTIF($AP1135:$AX1135,$AL1135:$AO1135)&gt;0)))</f>
        <v/>
      </c>
      <c r="BA1135" s="5" t="str">
        <f aca="false">IF($B1135="","",IF(AZ1135&gt;0,1,0))</f>
        <v/>
      </c>
      <c r="BB1135" s="5" t="str">
        <f aca="false">IF($AP1135="","",IF((($AP1135="Engineering and Technology")+($AP1135="Science and Mathematics")+($AP1135="Computer Science, IT and Allied Fields")+($AP1135="Life Sciences /Medicine and Healthcare")+($AP1135="Paramedical")+($AP1135="Architecture")+($AP1135="Environmental Service")+($AP1135="Agriculture, Food Industry and Forestry"))&gt;0,"Science",IF((($AP1135="Banking and Finance")+($AP1135="Management and Administration")+($AP1135="Marketing")+($AP1135="Sales")+($AP1135="Entrepreneurship")+($AP1135="Hospitality and Tourism"))&gt;0,"Commerce",IF((($AP1135="Social Sciences and Humanities")+($AP1135="Law Studies")+($AP1135="Education and Training")+($AP1135="Art, Design")+($AP1135="Entertainment and Mass Media")+($AP1135="Community and Social Service")+($AP1135="Personal Care and Services")+($AP1135="Government and Public Administration")+($AP1135="Defence/ Protective Service")+($AP1135="Sports"))&gt;0,"Arts / Humanities",""))))</f>
        <v/>
      </c>
      <c r="BC1135" s="5" t="str">
        <f aca="false">IF($AL1135="","",IF((($AL1135="Engineering and Technology")+($AL1135="Science and Mathematics")+($AL1135="Computer Science, IT and Allied Fields")+($AL1135="Life Sciences /Medicine and Healthcare")+($AL1135="Paramedical")+($AL1135="Architecture")+($AL1135="Environmental Service")+($AL1135="Agriculture, Food Industry and Forestry"))&gt;0,"Science",IF((($AL1135="Banking and Finance")+($AL1135="Management and Administration")+($AL1135="Marketing")+($AL1135="Sales")+($AL1135="Entrepreneurship")+($AL1135="Hospitality and Tourism"))&gt;0,"Commerce",IF((($AL1135="Social Sciences and Humanities")+($AL1135="Law Studies")+($AL1135="Education and Training")+($AL1135="Art, Design")+($AL1135="Entertainment and Mass Media")+($AL1135="Community and Social Service")+($AL1135="Personal Care and Services")+($AL1135="Government and Public Administration")+($AL1135="Defence/ Protective Service")+($AL1135="Sports"))&gt;0,"Arts / Humanities",""))))</f>
        <v/>
      </c>
      <c r="BD1135" s="5" t="str">
        <f aca="false">IF($B1135="","",--(F1135&gt;=10)+--(G1135&gt;=10)+--(H1135&gt;=10)+--(I1135&gt;=10)+--(J1135&gt;=10)+--(K1135&gt;=10)+--(L1135&gt;=10)+--(M1135&gt;=10)+--(N1135&gt;=10)+--(O1135&gt;=10))</f>
        <v/>
      </c>
      <c r="BE1135" s="5" t="str">
        <f aca="false">IF($B1135="","",--(AND(F1135&lt;&gt;"",F1135&lt;=8))+--(AND(G1135&lt;&gt;"",G1135&lt;=8))+--(AND(H1135&lt;&gt;"",H1135&lt;=8))+--(AND(I1135&lt;&gt;"",I1135&lt;=8))+--(AND(J1135&lt;&gt;"",J1135&lt;=8))+--(AND(K1135&lt;&gt;"",K1135&lt;=8))+--(AND(L1135&lt;&gt;"",L1135&lt;=8))+--(AND(M1135&lt;&gt;"",M1135&lt;=8))+--(AND(N1135&lt;&gt;"",N1135&lt;=8))+--(AND(O1135&lt;&gt;"",O1135&lt;=8)))</f>
        <v/>
      </c>
    </row>
    <row r="1136" customFormat="false" ht="15" hidden="false" customHeight="false" outlineLevel="0" collapsed="false">
      <c r="AZ1136" s="5" t="str">
        <f aca="false">IF($B1136="","",SUMPRODUCT(($AL1136:$AO1136&lt;&gt;"")*(COUNTIF($AP1136:$AX1136,$AL1136:$AO1136)&gt;0)))</f>
        <v/>
      </c>
      <c r="BA1136" s="5" t="str">
        <f aca="false">IF($B1136="","",IF(AZ1136&gt;0,1,0))</f>
        <v/>
      </c>
      <c r="BB1136" s="5" t="str">
        <f aca="false">IF($AP1136="","",IF((($AP1136="Engineering and Technology")+($AP1136="Science and Mathematics")+($AP1136="Computer Science, IT and Allied Fields")+($AP1136="Life Sciences /Medicine and Healthcare")+($AP1136="Paramedical")+($AP1136="Architecture")+($AP1136="Environmental Service")+($AP1136="Agriculture, Food Industry and Forestry"))&gt;0,"Science",IF((($AP1136="Banking and Finance")+($AP1136="Management and Administration")+($AP1136="Marketing")+($AP1136="Sales")+($AP1136="Entrepreneurship")+($AP1136="Hospitality and Tourism"))&gt;0,"Commerce",IF((($AP1136="Social Sciences and Humanities")+($AP1136="Law Studies")+($AP1136="Education and Training")+($AP1136="Art, Design")+($AP1136="Entertainment and Mass Media")+($AP1136="Community and Social Service")+($AP1136="Personal Care and Services")+($AP1136="Government and Public Administration")+($AP1136="Defence/ Protective Service")+($AP1136="Sports"))&gt;0,"Arts / Humanities",""))))</f>
        <v/>
      </c>
      <c r="BC1136" s="5" t="str">
        <f aca="false">IF($AL1136="","",IF((($AL1136="Engineering and Technology")+($AL1136="Science and Mathematics")+($AL1136="Computer Science, IT and Allied Fields")+($AL1136="Life Sciences /Medicine and Healthcare")+($AL1136="Paramedical")+($AL1136="Architecture")+($AL1136="Environmental Service")+($AL1136="Agriculture, Food Industry and Forestry"))&gt;0,"Science",IF((($AL1136="Banking and Finance")+($AL1136="Management and Administration")+($AL1136="Marketing")+($AL1136="Sales")+($AL1136="Entrepreneurship")+($AL1136="Hospitality and Tourism"))&gt;0,"Commerce",IF((($AL1136="Social Sciences and Humanities")+($AL1136="Law Studies")+($AL1136="Education and Training")+($AL1136="Art, Design")+($AL1136="Entertainment and Mass Media")+($AL1136="Community and Social Service")+($AL1136="Personal Care and Services")+($AL1136="Government and Public Administration")+($AL1136="Defence/ Protective Service")+($AL1136="Sports"))&gt;0,"Arts / Humanities",""))))</f>
        <v/>
      </c>
      <c r="BD1136" s="5" t="str">
        <f aca="false">IF($B1136="","",--(F1136&gt;=10)+--(G1136&gt;=10)+--(H1136&gt;=10)+--(I1136&gt;=10)+--(J1136&gt;=10)+--(K1136&gt;=10)+--(L1136&gt;=10)+--(M1136&gt;=10)+--(N1136&gt;=10)+--(O1136&gt;=10))</f>
        <v/>
      </c>
      <c r="BE1136" s="5" t="str">
        <f aca="false">IF($B1136="","",--(AND(F1136&lt;&gt;"",F1136&lt;=8))+--(AND(G1136&lt;&gt;"",G1136&lt;=8))+--(AND(H1136&lt;&gt;"",H1136&lt;=8))+--(AND(I1136&lt;&gt;"",I1136&lt;=8))+--(AND(J1136&lt;&gt;"",J1136&lt;=8))+--(AND(K1136&lt;&gt;"",K1136&lt;=8))+--(AND(L1136&lt;&gt;"",L1136&lt;=8))+--(AND(M1136&lt;&gt;"",M1136&lt;=8))+--(AND(N1136&lt;&gt;"",N1136&lt;=8))+--(AND(O1136&lt;&gt;"",O1136&lt;=8)))</f>
        <v/>
      </c>
    </row>
    <row r="1137" customFormat="false" ht="15" hidden="false" customHeight="false" outlineLevel="0" collapsed="false">
      <c r="AZ1137" s="5" t="str">
        <f aca="false">IF($B1137="","",SUMPRODUCT(($AL1137:$AO1137&lt;&gt;"")*(COUNTIF($AP1137:$AX1137,$AL1137:$AO1137)&gt;0)))</f>
        <v/>
      </c>
      <c r="BA1137" s="5" t="str">
        <f aca="false">IF($B1137="","",IF(AZ1137&gt;0,1,0))</f>
        <v/>
      </c>
      <c r="BB1137" s="5" t="str">
        <f aca="false">IF($AP1137="","",IF((($AP1137="Engineering and Technology")+($AP1137="Science and Mathematics")+($AP1137="Computer Science, IT and Allied Fields")+($AP1137="Life Sciences /Medicine and Healthcare")+($AP1137="Paramedical")+($AP1137="Architecture")+($AP1137="Environmental Service")+($AP1137="Agriculture, Food Industry and Forestry"))&gt;0,"Science",IF((($AP1137="Banking and Finance")+($AP1137="Management and Administration")+($AP1137="Marketing")+($AP1137="Sales")+($AP1137="Entrepreneurship")+($AP1137="Hospitality and Tourism"))&gt;0,"Commerce",IF((($AP1137="Social Sciences and Humanities")+($AP1137="Law Studies")+($AP1137="Education and Training")+($AP1137="Art, Design")+($AP1137="Entertainment and Mass Media")+($AP1137="Community and Social Service")+($AP1137="Personal Care and Services")+($AP1137="Government and Public Administration")+($AP1137="Defence/ Protective Service")+($AP1137="Sports"))&gt;0,"Arts / Humanities",""))))</f>
        <v/>
      </c>
      <c r="BC1137" s="5" t="str">
        <f aca="false">IF($AL1137="","",IF((($AL1137="Engineering and Technology")+($AL1137="Science and Mathematics")+($AL1137="Computer Science, IT and Allied Fields")+($AL1137="Life Sciences /Medicine and Healthcare")+($AL1137="Paramedical")+($AL1137="Architecture")+($AL1137="Environmental Service")+($AL1137="Agriculture, Food Industry and Forestry"))&gt;0,"Science",IF((($AL1137="Banking and Finance")+($AL1137="Management and Administration")+($AL1137="Marketing")+($AL1137="Sales")+($AL1137="Entrepreneurship")+($AL1137="Hospitality and Tourism"))&gt;0,"Commerce",IF((($AL1137="Social Sciences and Humanities")+($AL1137="Law Studies")+($AL1137="Education and Training")+($AL1137="Art, Design")+($AL1137="Entertainment and Mass Media")+($AL1137="Community and Social Service")+($AL1137="Personal Care and Services")+($AL1137="Government and Public Administration")+($AL1137="Defence/ Protective Service")+($AL1137="Sports"))&gt;0,"Arts / Humanities",""))))</f>
        <v/>
      </c>
      <c r="BD1137" s="5" t="str">
        <f aca="false">IF($B1137="","",--(F1137&gt;=10)+--(G1137&gt;=10)+--(H1137&gt;=10)+--(I1137&gt;=10)+--(J1137&gt;=10)+--(K1137&gt;=10)+--(L1137&gt;=10)+--(M1137&gt;=10)+--(N1137&gt;=10)+--(O1137&gt;=10))</f>
        <v/>
      </c>
      <c r="BE1137" s="5" t="str">
        <f aca="false">IF($B1137="","",--(AND(F1137&lt;&gt;"",F1137&lt;=8))+--(AND(G1137&lt;&gt;"",G1137&lt;=8))+--(AND(H1137&lt;&gt;"",H1137&lt;=8))+--(AND(I1137&lt;&gt;"",I1137&lt;=8))+--(AND(J1137&lt;&gt;"",J1137&lt;=8))+--(AND(K1137&lt;&gt;"",K1137&lt;=8))+--(AND(L1137&lt;&gt;"",L1137&lt;=8))+--(AND(M1137&lt;&gt;"",M1137&lt;=8))+--(AND(N1137&lt;&gt;"",N1137&lt;=8))+--(AND(O1137&lt;&gt;"",O1137&lt;=8)))</f>
        <v/>
      </c>
    </row>
    <row r="1138" customFormat="false" ht="15" hidden="false" customHeight="false" outlineLevel="0" collapsed="false">
      <c r="AZ1138" s="5" t="str">
        <f aca="false">IF($B1138="","",SUMPRODUCT(($AL1138:$AO1138&lt;&gt;"")*(COUNTIF($AP1138:$AX1138,$AL1138:$AO1138)&gt;0)))</f>
        <v/>
      </c>
      <c r="BA1138" s="5" t="str">
        <f aca="false">IF($B1138="","",IF(AZ1138&gt;0,1,0))</f>
        <v/>
      </c>
      <c r="BB1138" s="5" t="str">
        <f aca="false">IF($AP1138="","",IF((($AP1138="Engineering and Technology")+($AP1138="Science and Mathematics")+($AP1138="Computer Science, IT and Allied Fields")+($AP1138="Life Sciences /Medicine and Healthcare")+($AP1138="Paramedical")+($AP1138="Architecture")+($AP1138="Environmental Service")+($AP1138="Agriculture, Food Industry and Forestry"))&gt;0,"Science",IF((($AP1138="Banking and Finance")+($AP1138="Management and Administration")+($AP1138="Marketing")+($AP1138="Sales")+($AP1138="Entrepreneurship")+($AP1138="Hospitality and Tourism"))&gt;0,"Commerce",IF((($AP1138="Social Sciences and Humanities")+($AP1138="Law Studies")+($AP1138="Education and Training")+($AP1138="Art, Design")+($AP1138="Entertainment and Mass Media")+($AP1138="Community and Social Service")+($AP1138="Personal Care and Services")+($AP1138="Government and Public Administration")+($AP1138="Defence/ Protective Service")+($AP1138="Sports"))&gt;0,"Arts / Humanities",""))))</f>
        <v/>
      </c>
      <c r="BC1138" s="5" t="str">
        <f aca="false">IF($AL1138="","",IF((($AL1138="Engineering and Technology")+($AL1138="Science and Mathematics")+($AL1138="Computer Science, IT and Allied Fields")+($AL1138="Life Sciences /Medicine and Healthcare")+($AL1138="Paramedical")+($AL1138="Architecture")+($AL1138="Environmental Service")+($AL1138="Agriculture, Food Industry and Forestry"))&gt;0,"Science",IF((($AL1138="Banking and Finance")+($AL1138="Management and Administration")+($AL1138="Marketing")+($AL1138="Sales")+($AL1138="Entrepreneurship")+($AL1138="Hospitality and Tourism"))&gt;0,"Commerce",IF((($AL1138="Social Sciences and Humanities")+($AL1138="Law Studies")+($AL1138="Education and Training")+($AL1138="Art, Design")+($AL1138="Entertainment and Mass Media")+($AL1138="Community and Social Service")+($AL1138="Personal Care and Services")+($AL1138="Government and Public Administration")+($AL1138="Defence/ Protective Service")+($AL1138="Sports"))&gt;0,"Arts / Humanities",""))))</f>
        <v/>
      </c>
      <c r="BD1138" s="5" t="str">
        <f aca="false">IF($B1138="","",--(F1138&gt;=10)+--(G1138&gt;=10)+--(H1138&gt;=10)+--(I1138&gt;=10)+--(J1138&gt;=10)+--(K1138&gt;=10)+--(L1138&gt;=10)+--(M1138&gt;=10)+--(N1138&gt;=10)+--(O1138&gt;=10))</f>
        <v/>
      </c>
      <c r="BE1138" s="5" t="str">
        <f aca="false">IF($B1138="","",--(AND(F1138&lt;&gt;"",F1138&lt;=8))+--(AND(G1138&lt;&gt;"",G1138&lt;=8))+--(AND(H1138&lt;&gt;"",H1138&lt;=8))+--(AND(I1138&lt;&gt;"",I1138&lt;=8))+--(AND(J1138&lt;&gt;"",J1138&lt;=8))+--(AND(K1138&lt;&gt;"",K1138&lt;=8))+--(AND(L1138&lt;&gt;"",L1138&lt;=8))+--(AND(M1138&lt;&gt;"",M1138&lt;=8))+--(AND(N1138&lt;&gt;"",N1138&lt;=8))+--(AND(O1138&lt;&gt;"",O1138&lt;=8)))</f>
        <v/>
      </c>
    </row>
    <row r="1139" customFormat="false" ht="15" hidden="false" customHeight="false" outlineLevel="0" collapsed="false">
      <c r="AZ1139" s="5" t="str">
        <f aca="false">IF($B1139="","",SUMPRODUCT(($AL1139:$AO1139&lt;&gt;"")*(COUNTIF($AP1139:$AX1139,$AL1139:$AO1139)&gt;0)))</f>
        <v/>
      </c>
      <c r="BA1139" s="5" t="str">
        <f aca="false">IF($B1139="","",IF(AZ1139&gt;0,1,0))</f>
        <v/>
      </c>
      <c r="BB1139" s="5" t="str">
        <f aca="false">IF($AP1139="","",IF((($AP1139="Engineering and Technology")+($AP1139="Science and Mathematics")+($AP1139="Computer Science, IT and Allied Fields")+($AP1139="Life Sciences /Medicine and Healthcare")+($AP1139="Paramedical")+($AP1139="Architecture")+($AP1139="Environmental Service")+($AP1139="Agriculture, Food Industry and Forestry"))&gt;0,"Science",IF((($AP1139="Banking and Finance")+($AP1139="Management and Administration")+($AP1139="Marketing")+($AP1139="Sales")+($AP1139="Entrepreneurship")+($AP1139="Hospitality and Tourism"))&gt;0,"Commerce",IF((($AP1139="Social Sciences and Humanities")+($AP1139="Law Studies")+($AP1139="Education and Training")+($AP1139="Art, Design")+($AP1139="Entertainment and Mass Media")+($AP1139="Community and Social Service")+($AP1139="Personal Care and Services")+($AP1139="Government and Public Administration")+($AP1139="Defence/ Protective Service")+($AP1139="Sports"))&gt;0,"Arts / Humanities",""))))</f>
        <v/>
      </c>
      <c r="BC1139" s="5" t="str">
        <f aca="false">IF($AL1139="","",IF((($AL1139="Engineering and Technology")+($AL1139="Science and Mathematics")+($AL1139="Computer Science, IT and Allied Fields")+($AL1139="Life Sciences /Medicine and Healthcare")+($AL1139="Paramedical")+($AL1139="Architecture")+($AL1139="Environmental Service")+($AL1139="Agriculture, Food Industry and Forestry"))&gt;0,"Science",IF((($AL1139="Banking and Finance")+($AL1139="Management and Administration")+($AL1139="Marketing")+($AL1139="Sales")+($AL1139="Entrepreneurship")+($AL1139="Hospitality and Tourism"))&gt;0,"Commerce",IF((($AL1139="Social Sciences and Humanities")+($AL1139="Law Studies")+($AL1139="Education and Training")+($AL1139="Art, Design")+($AL1139="Entertainment and Mass Media")+($AL1139="Community and Social Service")+($AL1139="Personal Care and Services")+($AL1139="Government and Public Administration")+($AL1139="Defence/ Protective Service")+($AL1139="Sports"))&gt;0,"Arts / Humanities",""))))</f>
        <v/>
      </c>
      <c r="BD1139" s="5" t="str">
        <f aca="false">IF($B1139="","",--(F1139&gt;=10)+--(G1139&gt;=10)+--(H1139&gt;=10)+--(I1139&gt;=10)+--(J1139&gt;=10)+--(K1139&gt;=10)+--(L1139&gt;=10)+--(M1139&gt;=10)+--(N1139&gt;=10)+--(O1139&gt;=10))</f>
        <v/>
      </c>
      <c r="BE1139" s="5" t="str">
        <f aca="false">IF($B1139="","",--(AND(F1139&lt;&gt;"",F1139&lt;=8))+--(AND(G1139&lt;&gt;"",G1139&lt;=8))+--(AND(H1139&lt;&gt;"",H1139&lt;=8))+--(AND(I1139&lt;&gt;"",I1139&lt;=8))+--(AND(J1139&lt;&gt;"",J1139&lt;=8))+--(AND(K1139&lt;&gt;"",K1139&lt;=8))+--(AND(L1139&lt;&gt;"",L1139&lt;=8))+--(AND(M1139&lt;&gt;"",M1139&lt;=8))+--(AND(N1139&lt;&gt;"",N1139&lt;=8))+--(AND(O1139&lt;&gt;"",O1139&lt;=8)))</f>
        <v/>
      </c>
    </row>
    <row r="1140" customFormat="false" ht="15" hidden="false" customHeight="false" outlineLevel="0" collapsed="false">
      <c r="AZ1140" s="5" t="str">
        <f aca="false">IF($B1140="","",SUMPRODUCT(($AL1140:$AO1140&lt;&gt;"")*(COUNTIF($AP1140:$AX1140,$AL1140:$AO1140)&gt;0)))</f>
        <v/>
      </c>
      <c r="BA1140" s="5" t="str">
        <f aca="false">IF($B1140="","",IF(AZ1140&gt;0,1,0))</f>
        <v/>
      </c>
      <c r="BB1140" s="5" t="str">
        <f aca="false">IF($AP1140="","",IF((($AP1140="Engineering and Technology")+($AP1140="Science and Mathematics")+($AP1140="Computer Science, IT and Allied Fields")+($AP1140="Life Sciences /Medicine and Healthcare")+($AP1140="Paramedical")+($AP1140="Architecture")+($AP1140="Environmental Service")+($AP1140="Agriculture, Food Industry and Forestry"))&gt;0,"Science",IF((($AP1140="Banking and Finance")+($AP1140="Management and Administration")+($AP1140="Marketing")+($AP1140="Sales")+($AP1140="Entrepreneurship")+($AP1140="Hospitality and Tourism"))&gt;0,"Commerce",IF((($AP1140="Social Sciences and Humanities")+($AP1140="Law Studies")+($AP1140="Education and Training")+($AP1140="Art, Design")+($AP1140="Entertainment and Mass Media")+($AP1140="Community and Social Service")+($AP1140="Personal Care and Services")+($AP1140="Government and Public Administration")+($AP1140="Defence/ Protective Service")+($AP1140="Sports"))&gt;0,"Arts / Humanities",""))))</f>
        <v/>
      </c>
      <c r="BC1140" s="5" t="str">
        <f aca="false">IF($AL1140="","",IF((($AL1140="Engineering and Technology")+($AL1140="Science and Mathematics")+($AL1140="Computer Science, IT and Allied Fields")+($AL1140="Life Sciences /Medicine and Healthcare")+($AL1140="Paramedical")+($AL1140="Architecture")+($AL1140="Environmental Service")+($AL1140="Agriculture, Food Industry and Forestry"))&gt;0,"Science",IF((($AL1140="Banking and Finance")+($AL1140="Management and Administration")+($AL1140="Marketing")+($AL1140="Sales")+($AL1140="Entrepreneurship")+($AL1140="Hospitality and Tourism"))&gt;0,"Commerce",IF((($AL1140="Social Sciences and Humanities")+($AL1140="Law Studies")+($AL1140="Education and Training")+($AL1140="Art, Design")+($AL1140="Entertainment and Mass Media")+($AL1140="Community and Social Service")+($AL1140="Personal Care and Services")+($AL1140="Government and Public Administration")+($AL1140="Defence/ Protective Service")+($AL1140="Sports"))&gt;0,"Arts / Humanities",""))))</f>
        <v/>
      </c>
      <c r="BD1140" s="5" t="str">
        <f aca="false">IF($B1140="","",--(F1140&gt;=10)+--(G1140&gt;=10)+--(H1140&gt;=10)+--(I1140&gt;=10)+--(J1140&gt;=10)+--(K1140&gt;=10)+--(L1140&gt;=10)+--(M1140&gt;=10)+--(N1140&gt;=10)+--(O1140&gt;=10))</f>
        <v/>
      </c>
      <c r="BE1140" s="5" t="str">
        <f aca="false">IF($B1140="","",--(AND(F1140&lt;&gt;"",F1140&lt;=8))+--(AND(G1140&lt;&gt;"",G1140&lt;=8))+--(AND(H1140&lt;&gt;"",H1140&lt;=8))+--(AND(I1140&lt;&gt;"",I1140&lt;=8))+--(AND(J1140&lt;&gt;"",J1140&lt;=8))+--(AND(K1140&lt;&gt;"",K1140&lt;=8))+--(AND(L1140&lt;&gt;"",L1140&lt;=8))+--(AND(M1140&lt;&gt;"",M1140&lt;=8))+--(AND(N1140&lt;&gt;"",N1140&lt;=8))+--(AND(O1140&lt;&gt;"",O1140&lt;=8)))</f>
        <v/>
      </c>
    </row>
    <row r="1141" customFormat="false" ht="15" hidden="false" customHeight="false" outlineLevel="0" collapsed="false">
      <c r="AZ1141" s="5" t="str">
        <f aca="false">IF($B1141="","",SUMPRODUCT(($AL1141:$AO1141&lt;&gt;"")*(COUNTIF($AP1141:$AX1141,$AL1141:$AO1141)&gt;0)))</f>
        <v/>
      </c>
      <c r="BA1141" s="5" t="str">
        <f aca="false">IF($B1141="","",IF(AZ1141&gt;0,1,0))</f>
        <v/>
      </c>
      <c r="BB1141" s="5" t="str">
        <f aca="false">IF($AP1141="","",IF((($AP1141="Engineering and Technology")+($AP1141="Science and Mathematics")+($AP1141="Computer Science, IT and Allied Fields")+($AP1141="Life Sciences /Medicine and Healthcare")+($AP1141="Paramedical")+($AP1141="Architecture")+($AP1141="Environmental Service")+($AP1141="Agriculture, Food Industry and Forestry"))&gt;0,"Science",IF((($AP1141="Banking and Finance")+($AP1141="Management and Administration")+($AP1141="Marketing")+($AP1141="Sales")+($AP1141="Entrepreneurship")+($AP1141="Hospitality and Tourism"))&gt;0,"Commerce",IF((($AP1141="Social Sciences and Humanities")+($AP1141="Law Studies")+($AP1141="Education and Training")+($AP1141="Art, Design")+($AP1141="Entertainment and Mass Media")+($AP1141="Community and Social Service")+($AP1141="Personal Care and Services")+($AP1141="Government and Public Administration")+($AP1141="Defence/ Protective Service")+($AP1141="Sports"))&gt;0,"Arts / Humanities",""))))</f>
        <v/>
      </c>
      <c r="BC1141" s="5" t="str">
        <f aca="false">IF($AL1141="","",IF((($AL1141="Engineering and Technology")+($AL1141="Science and Mathematics")+($AL1141="Computer Science, IT and Allied Fields")+($AL1141="Life Sciences /Medicine and Healthcare")+($AL1141="Paramedical")+($AL1141="Architecture")+($AL1141="Environmental Service")+($AL1141="Agriculture, Food Industry and Forestry"))&gt;0,"Science",IF((($AL1141="Banking and Finance")+($AL1141="Management and Administration")+($AL1141="Marketing")+($AL1141="Sales")+($AL1141="Entrepreneurship")+($AL1141="Hospitality and Tourism"))&gt;0,"Commerce",IF((($AL1141="Social Sciences and Humanities")+($AL1141="Law Studies")+($AL1141="Education and Training")+($AL1141="Art, Design")+($AL1141="Entertainment and Mass Media")+($AL1141="Community and Social Service")+($AL1141="Personal Care and Services")+($AL1141="Government and Public Administration")+($AL1141="Defence/ Protective Service")+($AL1141="Sports"))&gt;0,"Arts / Humanities",""))))</f>
        <v/>
      </c>
      <c r="BD1141" s="5" t="str">
        <f aca="false">IF($B1141="","",--(F1141&gt;=10)+--(G1141&gt;=10)+--(H1141&gt;=10)+--(I1141&gt;=10)+--(J1141&gt;=10)+--(K1141&gt;=10)+--(L1141&gt;=10)+--(M1141&gt;=10)+--(N1141&gt;=10)+--(O1141&gt;=10))</f>
        <v/>
      </c>
      <c r="BE1141" s="5" t="str">
        <f aca="false">IF($B1141="","",--(AND(F1141&lt;&gt;"",F1141&lt;=8))+--(AND(G1141&lt;&gt;"",G1141&lt;=8))+--(AND(H1141&lt;&gt;"",H1141&lt;=8))+--(AND(I1141&lt;&gt;"",I1141&lt;=8))+--(AND(J1141&lt;&gt;"",J1141&lt;=8))+--(AND(K1141&lt;&gt;"",K1141&lt;=8))+--(AND(L1141&lt;&gt;"",L1141&lt;=8))+--(AND(M1141&lt;&gt;"",M1141&lt;=8))+--(AND(N1141&lt;&gt;"",N1141&lt;=8))+--(AND(O1141&lt;&gt;"",O1141&lt;=8)))</f>
        <v/>
      </c>
    </row>
    <row r="1142" customFormat="false" ht="15" hidden="false" customHeight="false" outlineLevel="0" collapsed="false">
      <c r="AZ1142" s="5" t="str">
        <f aca="false">IF($B1142="","",SUMPRODUCT(($AL1142:$AO1142&lt;&gt;"")*(COUNTIF($AP1142:$AX1142,$AL1142:$AO1142)&gt;0)))</f>
        <v/>
      </c>
      <c r="BA1142" s="5" t="str">
        <f aca="false">IF($B1142="","",IF(AZ1142&gt;0,1,0))</f>
        <v/>
      </c>
      <c r="BB1142" s="5" t="str">
        <f aca="false">IF($AP1142="","",IF((($AP1142="Engineering and Technology")+($AP1142="Science and Mathematics")+($AP1142="Computer Science, IT and Allied Fields")+($AP1142="Life Sciences /Medicine and Healthcare")+($AP1142="Paramedical")+($AP1142="Architecture")+($AP1142="Environmental Service")+($AP1142="Agriculture, Food Industry and Forestry"))&gt;0,"Science",IF((($AP1142="Banking and Finance")+($AP1142="Management and Administration")+($AP1142="Marketing")+($AP1142="Sales")+($AP1142="Entrepreneurship")+($AP1142="Hospitality and Tourism"))&gt;0,"Commerce",IF((($AP1142="Social Sciences and Humanities")+($AP1142="Law Studies")+($AP1142="Education and Training")+($AP1142="Art, Design")+($AP1142="Entertainment and Mass Media")+($AP1142="Community and Social Service")+($AP1142="Personal Care and Services")+($AP1142="Government and Public Administration")+($AP1142="Defence/ Protective Service")+($AP1142="Sports"))&gt;0,"Arts / Humanities",""))))</f>
        <v/>
      </c>
      <c r="BC1142" s="5" t="str">
        <f aca="false">IF($AL1142="","",IF((($AL1142="Engineering and Technology")+($AL1142="Science and Mathematics")+($AL1142="Computer Science, IT and Allied Fields")+($AL1142="Life Sciences /Medicine and Healthcare")+($AL1142="Paramedical")+($AL1142="Architecture")+($AL1142="Environmental Service")+($AL1142="Agriculture, Food Industry and Forestry"))&gt;0,"Science",IF((($AL1142="Banking and Finance")+($AL1142="Management and Administration")+($AL1142="Marketing")+($AL1142="Sales")+($AL1142="Entrepreneurship")+($AL1142="Hospitality and Tourism"))&gt;0,"Commerce",IF((($AL1142="Social Sciences and Humanities")+($AL1142="Law Studies")+($AL1142="Education and Training")+($AL1142="Art, Design")+($AL1142="Entertainment and Mass Media")+($AL1142="Community and Social Service")+($AL1142="Personal Care and Services")+($AL1142="Government and Public Administration")+($AL1142="Defence/ Protective Service")+($AL1142="Sports"))&gt;0,"Arts / Humanities",""))))</f>
        <v/>
      </c>
      <c r="BD1142" s="5" t="str">
        <f aca="false">IF($B1142="","",--(F1142&gt;=10)+--(G1142&gt;=10)+--(H1142&gt;=10)+--(I1142&gt;=10)+--(J1142&gt;=10)+--(K1142&gt;=10)+--(L1142&gt;=10)+--(M1142&gt;=10)+--(N1142&gt;=10)+--(O1142&gt;=10))</f>
        <v/>
      </c>
      <c r="BE1142" s="5" t="str">
        <f aca="false">IF($B1142="","",--(AND(F1142&lt;&gt;"",F1142&lt;=8))+--(AND(G1142&lt;&gt;"",G1142&lt;=8))+--(AND(H1142&lt;&gt;"",H1142&lt;=8))+--(AND(I1142&lt;&gt;"",I1142&lt;=8))+--(AND(J1142&lt;&gt;"",J1142&lt;=8))+--(AND(K1142&lt;&gt;"",K1142&lt;=8))+--(AND(L1142&lt;&gt;"",L1142&lt;=8))+--(AND(M1142&lt;&gt;"",M1142&lt;=8))+--(AND(N1142&lt;&gt;"",N1142&lt;=8))+--(AND(O1142&lt;&gt;"",O1142&lt;=8)))</f>
        <v/>
      </c>
    </row>
    <row r="1143" customFormat="false" ht="15" hidden="false" customHeight="false" outlineLevel="0" collapsed="false">
      <c r="AZ1143" s="5" t="str">
        <f aca="false">IF($B1143="","",SUMPRODUCT(($AL1143:$AO1143&lt;&gt;"")*(COUNTIF($AP1143:$AX1143,$AL1143:$AO1143)&gt;0)))</f>
        <v/>
      </c>
      <c r="BA1143" s="5" t="str">
        <f aca="false">IF($B1143="","",IF(AZ1143&gt;0,1,0))</f>
        <v/>
      </c>
      <c r="BB1143" s="5" t="str">
        <f aca="false">IF($AP1143="","",IF((($AP1143="Engineering and Technology")+($AP1143="Science and Mathematics")+($AP1143="Computer Science, IT and Allied Fields")+($AP1143="Life Sciences /Medicine and Healthcare")+($AP1143="Paramedical")+($AP1143="Architecture")+($AP1143="Environmental Service")+($AP1143="Agriculture, Food Industry and Forestry"))&gt;0,"Science",IF((($AP1143="Banking and Finance")+($AP1143="Management and Administration")+($AP1143="Marketing")+($AP1143="Sales")+($AP1143="Entrepreneurship")+($AP1143="Hospitality and Tourism"))&gt;0,"Commerce",IF((($AP1143="Social Sciences and Humanities")+($AP1143="Law Studies")+($AP1143="Education and Training")+($AP1143="Art, Design")+($AP1143="Entertainment and Mass Media")+($AP1143="Community and Social Service")+($AP1143="Personal Care and Services")+($AP1143="Government and Public Administration")+($AP1143="Defence/ Protective Service")+($AP1143="Sports"))&gt;0,"Arts / Humanities",""))))</f>
        <v/>
      </c>
      <c r="BC1143" s="5" t="str">
        <f aca="false">IF($AL1143="","",IF((($AL1143="Engineering and Technology")+($AL1143="Science and Mathematics")+($AL1143="Computer Science, IT and Allied Fields")+($AL1143="Life Sciences /Medicine and Healthcare")+($AL1143="Paramedical")+($AL1143="Architecture")+($AL1143="Environmental Service")+($AL1143="Agriculture, Food Industry and Forestry"))&gt;0,"Science",IF((($AL1143="Banking and Finance")+($AL1143="Management and Administration")+($AL1143="Marketing")+($AL1143="Sales")+($AL1143="Entrepreneurship")+($AL1143="Hospitality and Tourism"))&gt;0,"Commerce",IF((($AL1143="Social Sciences and Humanities")+($AL1143="Law Studies")+($AL1143="Education and Training")+($AL1143="Art, Design")+($AL1143="Entertainment and Mass Media")+($AL1143="Community and Social Service")+($AL1143="Personal Care and Services")+($AL1143="Government and Public Administration")+($AL1143="Defence/ Protective Service")+($AL1143="Sports"))&gt;0,"Arts / Humanities",""))))</f>
        <v/>
      </c>
      <c r="BD1143" s="5" t="str">
        <f aca="false">IF($B1143="","",--(F1143&gt;=10)+--(G1143&gt;=10)+--(H1143&gt;=10)+--(I1143&gt;=10)+--(J1143&gt;=10)+--(K1143&gt;=10)+--(L1143&gt;=10)+--(M1143&gt;=10)+--(N1143&gt;=10)+--(O1143&gt;=10))</f>
        <v/>
      </c>
      <c r="BE1143" s="5" t="str">
        <f aca="false">IF($B1143="","",--(AND(F1143&lt;&gt;"",F1143&lt;=8))+--(AND(G1143&lt;&gt;"",G1143&lt;=8))+--(AND(H1143&lt;&gt;"",H1143&lt;=8))+--(AND(I1143&lt;&gt;"",I1143&lt;=8))+--(AND(J1143&lt;&gt;"",J1143&lt;=8))+--(AND(K1143&lt;&gt;"",K1143&lt;=8))+--(AND(L1143&lt;&gt;"",L1143&lt;=8))+--(AND(M1143&lt;&gt;"",M1143&lt;=8))+--(AND(N1143&lt;&gt;"",N1143&lt;=8))+--(AND(O1143&lt;&gt;"",O1143&lt;=8)))</f>
        <v/>
      </c>
    </row>
    <row r="1144" customFormat="false" ht="15" hidden="false" customHeight="false" outlineLevel="0" collapsed="false">
      <c r="AZ1144" s="5" t="str">
        <f aca="false">IF($B1144="","",SUMPRODUCT(($AL1144:$AO1144&lt;&gt;"")*(COUNTIF($AP1144:$AX1144,$AL1144:$AO1144)&gt;0)))</f>
        <v/>
      </c>
      <c r="BA1144" s="5" t="str">
        <f aca="false">IF($B1144="","",IF(AZ1144&gt;0,1,0))</f>
        <v/>
      </c>
      <c r="BB1144" s="5" t="str">
        <f aca="false">IF($AP1144="","",IF((($AP1144="Engineering and Technology")+($AP1144="Science and Mathematics")+($AP1144="Computer Science, IT and Allied Fields")+($AP1144="Life Sciences /Medicine and Healthcare")+($AP1144="Paramedical")+($AP1144="Architecture")+($AP1144="Environmental Service")+($AP1144="Agriculture, Food Industry and Forestry"))&gt;0,"Science",IF((($AP1144="Banking and Finance")+($AP1144="Management and Administration")+($AP1144="Marketing")+($AP1144="Sales")+($AP1144="Entrepreneurship")+($AP1144="Hospitality and Tourism"))&gt;0,"Commerce",IF((($AP1144="Social Sciences and Humanities")+($AP1144="Law Studies")+($AP1144="Education and Training")+($AP1144="Art, Design")+($AP1144="Entertainment and Mass Media")+($AP1144="Community and Social Service")+($AP1144="Personal Care and Services")+($AP1144="Government and Public Administration")+($AP1144="Defence/ Protective Service")+($AP1144="Sports"))&gt;0,"Arts / Humanities",""))))</f>
        <v/>
      </c>
      <c r="BC1144" s="5" t="str">
        <f aca="false">IF($AL1144="","",IF((($AL1144="Engineering and Technology")+($AL1144="Science and Mathematics")+($AL1144="Computer Science, IT and Allied Fields")+($AL1144="Life Sciences /Medicine and Healthcare")+($AL1144="Paramedical")+($AL1144="Architecture")+($AL1144="Environmental Service")+($AL1144="Agriculture, Food Industry and Forestry"))&gt;0,"Science",IF((($AL1144="Banking and Finance")+($AL1144="Management and Administration")+($AL1144="Marketing")+($AL1144="Sales")+($AL1144="Entrepreneurship")+($AL1144="Hospitality and Tourism"))&gt;0,"Commerce",IF((($AL1144="Social Sciences and Humanities")+($AL1144="Law Studies")+($AL1144="Education and Training")+($AL1144="Art, Design")+($AL1144="Entertainment and Mass Media")+($AL1144="Community and Social Service")+($AL1144="Personal Care and Services")+($AL1144="Government and Public Administration")+($AL1144="Defence/ Protective Service")+($AL1144="Sports"))&gt;0,"Arts / Humanities",""))))</f>
        <v/>
      </c>
      <c r="BD1144" s="5" t="str">
        <f aca="false">IF($B1144="","",--(F1144&gt;=10)+--(G1144&gt;=10)+--(H1144&gt;=10)+--(I1144&gt;=10)+--(J1144&gt;=10)+--(K1144&gt;=10)+--(L1144&gt;=10)+--(M1144&gt;=10)+--(N1144&gt;=10)+--(O1144&gt;=10))</f>
        <v/>
      </c>
      <c r="BE1144" s="5" t="str">
        <f aca="false">IF($B1144="","",--(AND(F1144&lt;&gt;"",F1144&lt;=8))+--(AND(G1144&lt;&gt;"",G1144&lt;=8))+--(AND(H1144&lt;&gt;"",H1144&lt;=8))+--(AND(I1144&lt;&gt;"",I1144&lt;=8))+--(AND(J1144&lt;&gt;"",J1144&lt;=8))+--(AND(K1144&lt;&gt;"",K1144&lt;=8))+--(AND(L1144&lt;&gt;"",L1144&lt;=8))+--(AND(M1144&lt;&gt;"",M1144&lt;=8))+--(AND(N1144&lt;&gt;"",N1144&lt;=8))+--(AND(O1144&lt;&gt;"",O1144&lt;=8)))</f>
        <v/>
      </c>
    </row>
    <row r="1145" customFormat="false" ht="15" hidden="false" customHeight="false" outlineLevel="0" collapsed="false">
      <c r="AZ1145" s="5" t="str">
        <f aca="false">IF($B1145="","",SUMPRODUCT(($AL1145:$AO1145&lt;&gt;"")*(COUNTIF($AP1145:$AX1145,$AL1145:$AO1145)&gt;0)))</f>
        <v/>
      </c>
      <c r="BA1145" s="5" t="str">
        <f aca="false">IF($B1145="","",IF(AZ1145&gt;0,1,0))</f>
        <v/>
      </c>
      <c r="BB1145" s="5" t="str">
        <f aca="false">IF($AP1145="","",IF((($AP1145="Engineering and Technology")+($AP1145="Science and Mathematics")+($AP1145="Computer Science, IT and Allied Fields")+($AP1145="Life Sciences /Medicine and Healthcare")+($AP1145="Paramedical")+($AP1145="Architecture")+($AP1145="Environmental Service")+($AP1145="Agriculture, Food Industry and Forestry"))&gt;0,"Science",IF((($AP1145="Banking and Finance")+($AP1145="Management and Administration")+($AP1145="Marketing")+($AP1145="Sales")+($AP1145="Entrepreneurship")+($AP1145="Hospitality and Tourism"))&gt;0,"Commerce",IF((($AP1145="Social Sciences and Humanities")+($AP1145="Law Studies")+($AP1145="Education and Training")+($AP1145="Art, Design")+($AP1145="Entertainment and Mass Media")+($AP1145="Community and Social Service")+($AP1145="Personal Care and Services")+($AP1145="Government and Public Administration")+($AP1145="Defence/ Protective Service")+($AP1145="Sports"))&gt;0,"Arts / Humanities",""))))</f>
        <v/>
      </c>
      <c r="BC1145" s="5" t="str">
        <f aca="false">IF($AL1145="","",IF((($AL1145="Engineering and Technology")+($AL1145="Science and Mathematics")+($AL1145="Computer Science, IT and Allied Fields")+($AL1145="Life Sciences /Medicine and Healthcare")+($AL1145="Paramedical")+($AL1145="Architecture")+($AL1145="Environmental Service")+($AL1145="Agriculture, Food Industry and Forestry"))&gt;0,"Science",IF((($AL1145="Banking and Finance")+($AL1145="Management and Administration")+($AL1145="Marketing")+($AL1145="Sales")+($AL1145="Entrepreneurship")+($AL1145="Hospitality and Tourism"))&gt;0,"Commerce",IF((($AL1145="Social Sciences and Humanities")+($AL1145="Law Studies")+($AL1145="Education and Training")+($AL1145="Art, Design")+($AL1145="Entertainment and Mass Media")+($AL1145="Community and Social Service")+($AL1145="Personal Care and Services")+($AL1145="Government and Public Administration")+($AL1145="Defence/ Protective Service")+($AL1145="Sports"))&gt;0,"Arts / Humanities",""))))</f>
        <v/>
      </c>
      <c r="BD1145" s="5" t="str">
        <f aca="false">IF($B1145="","",--(F1145&gt;=10)+--(G1145&gt;=10)+--(H1145&gt;=10)+--(I1145&gt;=10)+--(J1145&gt;=10)+--(K1145&gt;=10)+--(L1145&gt;=10)+--(M1145&gt;=10)+--(N1145&gt;=10)+--(O1145&gt;=10))</f>
        <v/>
      </c>
      <c r="BE1145" s="5" t="str">
        <f aca="false">IF($B1145="","",--(AND(F1145&lt;&gt;"",F1145&lt;=8))+--(AND(G1145&lt;&gt;"",G1145&lt;=8))+--(AND(H1145&lt;&gt;"",H1145&lt;=8))+--(AND(I1145&lt;&gt;"",I1145&lt;=8))+--(AND(J1145&lt;&gt;"",J1145&lt;=8))+--(AND(K1145&lt;&gt;"",K1145&lt;=8))+--(AND(L1145&lt;&gt;"",L1145&lt;=8))+--(AND(M1145&lt;&gt;"",M1145&lt;=8))+--(AND(N1145&lt;&gt;"",N1145&lt;=8))+--(AND(O1145&lt;&gt;"",O1145&lt;=8)))</f>
        <v/>
      </c>
    </row>
    <row r="1146" customFormat="false" ht="15" hidden="false" customHeight="false" outlineLevel="0" collapsed="false">
      <c r="AZ1146" s="5" t="str">
        <f aca="false">IF($B1146="","",SUMPRODUCT(($AL1146:$AO1146&lt;&gt;"")*(COUNTIF($AP1146:$AX1146,$AL1146:$AO1146)&gt;0)))</f>
        <v/>
      </c>
      <c r="BA1146" s="5" t="str">
        <f aca="false">IF($B1146="","",IF(AZ1146&gt;0,1,0))</f>
        <v/>
      </c>
      <c r="BB1146" s="5" t="str">
        <f aca="false">IF($AP1146="","",IF((($AP1146="Engineering and Technology")+($AP1146="Science and Mathematics")+($AP1146="Computer Science, IT and Allied Fields")+($AP1146="Life Sciences /Medicine and Healthcare")+($AP1146="Paramedical")+($AP1146="Architecture")+($AP1146="Environmental Service")+($AP1146="Agriculture, Food Industry and Forestry"))&gt;0,"Science",IF((($AP1146="Banking and Finance")+($AP1146="Management and Administration")+($AP1146="Marketing")+($AP1146="Sales")+($AP1146="Entrepreneurship")+($AP1146="Hospitality and Tourism"))&gt;0,"Commerce",IF((($AP1146="Social Sciences and Humanities")+($AP1146="Law Studies")+($AP1146="Education and Training")+($AP1146="Art, Design")+($AP1146="Entertainment and Mass Media")+($AP1146="Community and Social Service")+($AP1146="Personal Care and Services")+($AP1146="Government and Public Administration")+($AP1146="Defence/ Protective Service")+($AP1146="Sports"))&gt;0,"Arts / Humanities",""))))</f>
        <v/>
      </c>
      <c r="BC1146" s="5" t="str">
        <f aca="false">IF($AL1146="","",IF((($AL1146="Engineering and Technology")+($AL1146="Science and Mathematics")+($AL1146="Computer Science, IT and Allied Fields")+($AL1146="Life Sciences /Medicine and Healthcare")+($AL1146="Paramedical")+($AL1146="Architecture")+($AL1146="Environmental Service")+($AL1146="Agriculture, Food Industry and Forestry"))&gt;0,"Science",IF((($AL1146="Banking and Finance")+($AL1146="Management and Administration")+($AL1146="Marketing")+($AL1146="Sales")+($AL1146="Entrepreneurship")+($AL1146="Hospitality and Tourism"))&gt;0,"Commerce",IF((($AL1146="Social Sciences and Humanities")+($AL1146="Law Studies")+($AL1146="Education and Training")+($AL1146="Art, Design")+($AL1146="Entertainment and Mass Media")+($AL1146="Community and Social Service")+($AL1146="Personal Care and Services")+($AL1146="Government and Public Administration")+($AL1146="Defence/ Protective Service")+($AL1146="Sports"))&gt;0,"Arts / Humanities",""))))</f>
        <v/>
      </c>
      <c r="BD1146" s="5" t="str">
        <f aca="false">IF($B1146="","",--(F1146&gt;=10)+--(G1146&gt;=10)+--(H1146&gt;=10)+--(I1146&gt;=10)+--(J1146&gt;=10)+--(K1146&gt;=10)+--(L1146&gt;=10)+--(M1146&gt;=10)+--(N1146&gt;=10)+--(O1146&gt;=10))</f>
        <v/>
      </c>
      <c r="BE1146" s="5" t="str">
        <f aca="false">IF($B1146="","",--(AND(F1146&lt;&gt;"",F1146&lt;=8))+--(AND(G1146&lt;&gt;"",G1146&lt;=8))+--(AND(H1146&lt;&gt;"",H1146&lt;=8))+--(AND(I1146&lt;&gt;"",I1146&lt;=8))+--(AND(J1146&lt;&gt;"",J1146&lt;=8))+--(AND(K1146&lt;&gt;"",K1146&lt;=8))+--(AND(L1146&lt;&gt;"",L1146&lt;=8))+--(AND(M1146&lt;&gt;"",M1146&lt;=8))+--(AND(N1146&lt;&gt;"",N1146&lt;=8))+--(AND(O1146&lt;&gt;"",O1146&lt;=8)))</f>
        <v/>
      </c>
    </row>
    <row r="1147" customFormat="false" ht="15" hidden="false" customHeight="false" outlineLevel="0" collapsed="false">
      <c r="AZ1147" s="5" t="str">
        <f aca="false">IF($B1147="","",SUMPRODUCT(($AL1147:$AO1147&lt;&gt;"")*(COUNTIF($AP1147:$AX1147,$AL1147:$AO1147)&gt;0)))</f>
        <v/>
      </c>
      <c r="BA1147" s="5" t="str">
        <f aca="false">IF($B1147="","",IF(AZ1147&gt;0,1,0))</f>
        <v/>
      </c>
      <c r="BB1147" s="5" t="str">
        <f aca="false">IF($AP1147="","",IF((($AP1147="Engineering and Technology")+($AP1147="Science and Mathematics")+($AP1147="Computer Science, IT and Allied Fields")+($AP1147="Life Sciences /Medicine and Healthcare")+($AP1147="Paramedical")+($AP1147="Architecture")+($AP1147="Environmental Service")+($AP1147="Agriculture, Food Industry and Forestry"))&gt;0,"Science",IF((($AP1147="Banking and Finance")+($AP1147="Management and Administration")+($AP1147="Marketing")+($AP1147="Sales")+($AP1147="Entrepreneurship")+($AP1147="Hospitality and Tourism"))&gt;0,"Commerce",IF((($AP1147="Social Sciences and Humanities")+($AP1147="Law Studies")+($AP1147="Education and Training")+($AP1147="Art, Design")+($AP1147="Entertainment and Mass Media")+($AP1147="Community and Social Service")+($AP1147="Personal Care and Services")+($AP1147="Government and Public Administration")+($AP1147="Defence/ Protective Service")+($AP1147="Sports"))&gt;0,"Arts / Humanities",""))))</f>
        <v/>
      </c>
      <c r="BC1147" s="5" t="str">
        <f aca="false">IF($AL1147="","",IF((($AL1147="Engineering and Technology")+($AL1147="Science and Mathematics")+($AL1147="Computer Science, IT and Allied Fields")+($AL1147="Life Sciences /Medicine and Healthcare")+($AL1147="Paramedical")+($AL1147="Architecture")+($AL1147="Environmental Service")+($AL1147="Agriculture, Food Industry and Forestry"))&gt;0,"Science",IF((($AL1147="Banking and Finance")+($AL1147="Management and Administration")+($AL1147="Marketing")+($AL1147="Sales")+($AL1147="Entrepreneurship")+($AL1147="Hospitality and Tourism"))&gt;0,"Commerce",IF((($AL1147="Social Sciences and Humanities")+($AL1147="Law Studies")+($AL1147="Education and Training")+($AL1147="Art, Design")+($AL1147="Entertainment and Mass Media")+($AL1147="Community and Social Service")+($AL1147="Personal Care and Services")+($AL1147="Government and Public Administration")+($AL1147="Defence/ Protective Service")+($AL1147="Sports"))&gt;0,"Arts / Humanities",""))))</f>
        <v/>
      </c>
      <c r="BD1147" s="5" t="str">
        <f aca="false">IF($B1147="","",--(F1147&gt;=10)+--(G1147&gt;=10)+--(H1147&gt;=10)+--(I1147&gt;=10)+--(J1147&gt;=10)+--(K1147&gt;=10)+--(L1147&gt;=10)+--(M1147&gt;=10)+--(N1147&gt;=10)+--(O1147&gt;=10))</f>
        <v/>
      </c>
      <c r="BE1147" s="5" t="str">
        <f aca="false">IF($B1147="","",--(AND(F1147&lt;&gt;"",F1147&lt;=8))+--(AND(G1147&lt;&gt;"",G1147&lt;=8))+--(AND(H1147&lt;&gt;"",H1147&lt;=8))+--(AND(I1147&lt;&gt;"",I1147&lt;=8))+--(AND(J1147&lt;&gt;"",J1147&lt;=8))+--(AND(K1147&lt;&gt;"",K1147&lt;=8))+--(AND(L1147&lt;&gt;"",L1147&lt;=8))+--(AND(M1147&lt;&gt;"",M1147&lt;=8))+--(AND(N1147&lt;&gt;"",N1147&lt;=8))+--(AND(O1147&lt;&gt;"",O1147&lt;=8)))</f>
        <v/>
      </c>
    </row>
    <row r="1148" customFormat="false" ht="15" hidden="false" customHeight="false" outlineLevel="0" collapsed="false">
      <c r="AZ1148" s="5" t="str">
        <f aca="false">IF($B1148="","",SUMPRODUCT(($AL1148:$AO1148&lt;&gt;"")*(COUNTIF($AP1148:$AX1148,$AL1148:$AO1148)&gt;0)))</f>
        <v/>
      </c>
      <c r="BA1148" s="5" t="str">
        <f aca="false">IF($B1148="","",IF(AZ1148&gt;0,1,0))</f>
        <v/>
      </c>
      <c r="BB1148" s="5" t="str">
        <f aca="false">IF($AP1148="","",IF((($AP1148="Engineering and Technology")+($AP1148="Science and Mathematics")+($AP1148="Computer Science, IT and Allied Fields")+($AP1148="Life Sciences /Medicine and Healthcare")+($AP1148="Paramedical")+($AP1148="Architecture")+($AP1148="Environmental Service")+($AP1148="Agriculture, Food Industry and Forestry"))&gt;0,"Science",IF((($AP1148="Banking and Finance")+($AP1148="Management and Administration")+($AP1148="Marketing")+($AP1148="Sales")+($AP1148="Entrepreneurship")+($AP1148="Hospitality and Tourism"))&gt;0,"Commerce",IF((($AP1148="Social Sciences and Humanities")+($AP1148="Law Studies")+($AP1148="Education and Training")+($AP1148="Art, Design")+($AP1148="Entertainment and Mass Media")+($AP1148="Community and Social Service")+($AP1148="Personal Care and Services")+($AP1148="Government and Public Administration")+($AP1148="Defence/ Protective Service")+($AP1148="Sports"))&gt;0,"Arts / Humanities",""))))</f>
        <v/>
      </c>
      <c r="BC1148" s="5" t="str">
        <f aca="false">IF($AL1148="","",IF((($AL1148="Engineering and Technology")+($AL1148="Science and Mathematics")+($AL1148="Computer Science, IT and Allied Fields")+($AL1148="Life Sciences /Medicine and Healthcare")+($AL1148="Paramedical")+($AL1148="Architecture")+($AL1148="Environmental Service")+($AL1148="Agriculture, Food Industry and Forestry"))&gt;0,"Science",IF((($AL1148="Banking and Finance")+($AL1148="Management and Administration")+($AL1148="Marketing")+($AL1148="Sales")+($AL1148="Entrepreneurship")+($AL1148="Hospitality and Tourism"))&gt;0,"Commerce",IF((($AL1148="Social Sciences and Humanities")+($AL1148="Law Studies")+($AL1148="Education and Training")+($AL1148="Art, Design")+($AL1148="Entertainment and Mass Media")+($AL1148="Community and Social Service")+($AL1148="Personal Care and Services")+($AL1148="Government and Public Administration")+($AL1148="Defence/ Protective Service")+($AL1148="Sports"))&gt;0,"Arts / Humanities",""))))</f>
        <v/>
      </c>
      <c r="BD1148" s="5" t="str">
        <f aca="false">IF($B1148="","",--(F1148&gt;=10)+--(G1148&gt;=10)+--(H1148&gt;=10)+--(I1148&gt;=10)+--(J1148&gt;=10)+--(K1148&gt;=10)+--(L1148&gt;=10)+--(M1148&gt;=10)+--(N1148&gt;=10)+--(O1148&gt;=10))</f>
        <v/>
      </c>
      <c r="BE1148" s="5" t="str">
        <f aca="false">IF($B1148="","",--(AND(F1148&lt;&gt;"",F1148&lt;=8))+--(AND(G1148&lt;&gt;"",G1148&lt;=8))+--(AND(H1148&lt;&gt;"",H1148&lt;=8))+--(AND(I1148&lt;&gt;"",I1148&lt;=8))+--(AND(J1148&lt;&gt;"",J1148&lt;=8))+--(AND(K1148&lt;&gt;"",K1148&lt;=8))+--(AND(L1148&lt;&gt;"",L1148&lt;=8))+--(AND(M1148&lt;&gt;"",M1148&lt;=8))+--(AND(N1148&lt;&gt;"",N1148&lt;=8))+--(AND(O1148&lt;&gt;"",O1148&lt;=8)))</f>
        <v/>
      </c>
    </row>
    <row r="1149" customFormat="false" ht="15" hidden="false" customHeight="false" outlineLevel="0" collapsed="false">
      <c r="AZ1149" s="5" t="str">
        <f aca="false">IF($B1149="","",SUMPRODUCT(($AL1149:$AO1149&lt;&gt;"")*(COUNTIF($AP1149:$AX1149,$AL1149:$AO1149)&gt;0)))</f>
        <v/>
      </c>
      <c r="BA1149" s="5" t="str">
        <f aca="false">IF($B1149="","",IF(AZ1149&gt;0,1,0))</f>
        <v/>
      </c>
      <c r="BB1149" s="5" t="str">
        <f aca="false">IF($AP1149="","",IF((($AP1149="Engineering and Technology")+($AP1149="Science and Mathematics")+($AP1149="Computer Science, IT and Allied Fields")+($AP1149="Life Sciences /Medicine and Healthcare")+($AP1149="Paramedical")+($AP1149="Architecture")+($AP1149="Environmental Service")+($AP1149="Agriculture, Food Industry and Forestry"))&gt;0,"Science",IF((($AP1149="Banking and Finance")+($AP1149="Management and Administration")+($AP1149="Marketing")+($AP1149="Sales")+($AP1149="Entrepreneurship")+($AP1149="Hospitality and Tourism"))&gt;0,"Commerce",IF((($AP1149="Social Sciences and Humanities")+($AP1149="Law Studies")+($AP1149="Education and Training")+($AP1149="Art, Design")+($AP1149="Entertainment and Mass Media")+($AP1149="Community and Social Service")+($AP1149="Personal Care and Services")+($AP1149="Government and Public Administration")+($AP1149="Defence/ Protective Service")+($AP1149="Sports"))&gt;0,"Arts / Humanities",""))))</f>
        <v/>
      </c>
      <c r="BC1149" s="5" t="str">
        <f aca="false">IF($AL1149="","",IF((($AL1149="Engineering and Technology")+($AL1149="Science and Mathematics")+($AL1149="Computer Science, IT and Allied Fields")+($AL1149="Life Sciences /Medicine and Healthcare")+($AL1149="Paramedical")+($AL1149="Architecture")+($AL1149="Environmental Service")+($AL1149="Agriculture, Food Industry and Forestry"))&gt;0,"Science",IF((($AL1149="Banking and Finance")+($AL1149="Management and Administration")+($AL1149="Marketing")+($AL1149="Sales")+($AL1149="Entrepreneurship")+($AL1149="Hospitality and Tourism"))&gt;0,"Commerce",IF((($AL1149="Social Sciences and Humanities")+($AL1149="Law Studies")+($AL1149="Education and Training")+($AL1149="Art, Design")+($AL1149="Entertainment and Mass Media")+($AL1149="Community and Social Service")+($AL1149="Personal Care and Services")+($AL1149="Government and Public Administration")+($AL1149="Defence/ Protective Service")+($AL1149="Sports"))&gt;0,"Arts / Humanities",""))))</f>
        <v/>
      </c>
      <c r="BD1149" s="5" t="str">
        <f aca="false">IF($B1149="","",--(F1149&gt;=10)+--(G1149&gt;=10)+--(H1149&gt;=10)+--(I1149&gt;=10)+--(J1149&gt;=10)+--(K1149&gt;=10)+--(L1149&gt;=10)+--(M1149&gt;=10)+--(N1149&gt;=10)+--(O1149&gt;=10))</f>
        <v/>
      </c>
      <c r="BE1149" s="5" t="str">
        <f aca="false">IF($B1149="","",--(AND(F1149&lt;&gt;"",F1149&lt;=8))+--(AND(G1149&lt;&gt;"",G1149&lt;=8))+--(AND(H1149&lt;&gt;"",H1149&lt;=8))+--(AND(I1149&lt;&gt;"",I1149&lt;=8))+--(AND(J1149&lt;&gt;"",J1149&lt;=8))+--(AND(K1149&lt;&gt;"",K1149&lt;=8))+--(AND(L1149&lt;&gt;"",L1149&lt;=8))+--(AND(M1149&lt;&gt;"",M1149&lt;=8))+--(AND(N1149&lt;&gt;"",N1149&lt;=8))+--(AND(O1149&lt;&gt;"",O1149&lt;=8)))</f>
        <v/>
      </c>
    </row>
    <row r="1150" customFormat="false" ht="15" hidden="false" customHeight="false" outlineLevel="0" collapsed="false">
      <c r="AZ1150" s="5" t="str">
        <f aca="false">IF($B1150="","",SUMPRODUCT(($AL1150:$AO1150&lt;&gt;"")*(COUNTIF($AP1150:$AX1150,$AL1150:$AO1150)&gt;0)))</f>
        <v/>
      </c>
      <c r="BA1150" s="5" t="str">
        <f aca="false">IF($B1150="","",IF(AZ1150&gt;0,1,0))</f>
        <v/>
      </c>
      <c r="BB1150" s="5" t="str">
        <f aca="false">IF($AP1150="","",IF((($AP1150="Engineering and Technology")+($AP1150="Science and Mathematics")+($AP1150="Computer Science, IT and Allied Fields")+($AP1150="Life Sciences /Medicine and Healthcare")+($AP1150="Paramedical")+($AP1150="Architecture")+($AP1150="Environmental Service")+($AP1150="Agriculture, Food Industry and Forestry"))&gt;0,"Science",IF((($AP1150="Banking and Finance")+($AP1150="Management and Administration")+($AP1150="Marketing")+($AP1150="Sales")+($AP1150="Entrepreneurship")+($AP1150="Hospitality and Tourism"))&gt;0,"Commerce",IF((($AP1150="Social Sciences and Humanities")+($AP1150="Law Studies")+($AP1150="Education and Training")+($AP1150="Art, Design")+($AP1150="Entertainment and Mass Media")+($AP1150="Community and Social Service")+($AP1150="Personal Care and Services")+($AP1150="Government and Public Administration")+($AP1150="Defence/ Protective Service")+($AP1150="Sports"))&gt;0,"Arts / Humanities",""))))</f>
        <v/>
      </c>
      <c r="BC1150" s="5" t="str">
        <f aca="false">IF($AL1150="","",IF((($AL1150="Engineering and Technology")+($AL1150="Science and Mathematics")+($AL1150="Computer Science, IT and Allied Fields")+($AL1150="Life Sciences /Medicine and Healthcare")+($AL1150="Paramedical")+($AL1150="Architecture")+($AL1150="Environmental Service")+($AL1150="Agriculture, Food Industry and Forestry"))&gt;0,"Science",IF((($AL1150="Banking and Finance")+($AL1150="Management and Administration")+($AL1150="Marketing")+($AL1150="Sales")+($AL1150="Entrepreneurship")+($AL1150="Hospitality and Tourism"))&gt;0,"Commerce",IF((($AL1150="Social Sciences and Humanities")+($AL1150="Law Studies")+($AL1150="Education and Training")+($AL1150="Art, Design")+($AL1150="Entertainment and Mass Media")+($AL1150="Community and Social Service")+($AL1150="Personal Care and Services")+($AL1150="Government and Public Administration")+($AL1150="Defence/ Protective Service")+($AL1150="Sports"))&gt;0,"Arts / Humanities",""))))</f>
        <v/>
      </c>
      <c r="BD1150" s="5" t="str">
        <f aca="false">IF($B1150="","",--(F1150&gt;=10)+--(G1150&gt;=10)+--(H1150&gt;=10)+--(I1150&gt;=10)+--(J1150&gt;=10)+--(K1150&gt;=10)+--(L1150&gt;=10)+--(M1150&gt;=10)+--(N1150&gt;=10)+--(O1150&gt;=10))</f>
        <v/>
      </c>
      <c r="BE1150" s="5" t="str">
        <f aca="false">IF($B1150="","",--(AND(F1150&lt;&gt;"",F1150&lt;=8))+--(AND(G1150&lt;&gt;"",G1150&lt;=8))+--(AND(H1150&lt;&gt;"",H1150&lt;=8))+--(AND(I1150&lt;&gt;"",I1150&lt;=8))+--(AND(J1150&lt;&gt;"",J1150&lt;=8))+--(AND(K1150&lt;&gt;"",K1150&lt;=8))+--(AND(L1150&lt;&gt;"",L1150&lt;=8))+--(AND(M1150&lt;&gt;"",M1150&lt;=8))+--(AND(N1150&lt;&gt;"",N1150&lt;=8))+--(AND(O1150&lt;&gt;"",O1150&lt;=8)))</f>
        <v/>
      </c>
    </row>
    <row r="1151" customFormat="false" ht="15" hidden="false" customHeight="false" outlineLevel="0" collapsed="false">
      <c r="AZ1151" s="5" t="str">
        <f aca="false">IF($B1151="","",SUMPRODUCT(($AL1151:$AO1151&lt;&gt;"")*(COUNTIF($AP1151:$AX1151,$AL1151:$AO1151)&gt;0)))</f>
        <v/>
      </c>
      <c r="BA1151" s="5" t="str">
        <f aca="false">IF($B1151="","",IF(AZ1151&gt;0,1,0))</f>
        <v/>
      </c>
      <c r="BB1151" s="5" t="str">
        <f aca="false">IF($AP1151="","",IF((($AP1151="Engineering and Technology")+($AP1151="Science and Mathematics")+($AP1151="Computer Science, IT and Allied Fields")+($AP1151="Life Sciences /Medicine and Healthcare")+($AP1151="Paramedical")+($AP1151="Architecture")+($AP1151="Environmental Service")+($AP1151="Agriculture, Food Industry and Forestry"))&gt;0,"Science",IF((($AP1151="Banking and Finance")+($AP1151="Management and Administration")+($AP1151="Marketing")+($AP1151="Sales")+($AP1151="Entrepreneurship")+($AP1151="Hospitality and Tourism"))&gt;0,"Commerce",IF((($AP1151="Social Sciences and Humanities")+($AP1151="Law Studies")+($AP1151="Education and Training")+($AP1151="Art, Design")+($AP1151="Entertainment and Mass Media")+($AP1151="Community and Social Service")+($AP1151="Personal Care and Services")+($AP1151="Government and Public Administration")+($AP1151="Defence/ Protective Service")+($AP1151="Sports"))&gt;0,"Arts / Humanities",""))))</f>
        <v/>
      </c>
      <c r="BC1151" s="5" t="str">
        <f aca="false">IF($AL1151="","",IF((($AL1151="Engineering and Technology")+($AL1151="Science and Mathematics")+($AL1151="Computer Science, IT and Allied Fields")+($AL1151="Life Sciences /Medicine and Healthcare")+($AL1151="Paramedical")+($AL1151="Architecture")+($AL1151="Environmental Service")+($AL1151="Agriculture, Food Industry and Forestry"))&gt;0,"Science",IF((($AL1151="Banking and Finance")+($AL1151="Management and Administration")+($AL1151="Marketing")+($AL1151="Sales")+($AL1151="Entrepreneurship")+($AL1151="Hospitality and Tourism"))&gt;0,"Commerce",IF((($AL1151="Social Sciences and Humanities")+($AL1151="Law Studies")+($AL1151="Education and Training")+($AL1151="Art, Design")+($AL1151="Entertainment and Mass Media")+($AL1151="Community and Social Service")+($AL1151="Personal Care and Services")+($AL1151="Government and Public Administration")+($AL1151="Defence/ Protective Service")+($AL1151="Sports"))&gt;0,"Arts / Humanities",""))))</f>
        <v/>
      </c>
      <c r="BD1151" s="5" t="str">
        <f aca="false">IF($B1151="","",--(F1151&gt;=10)+--(G1151&gt;=10)+--(H1151&gt;=10)+--(I1151&gt;=10)+--(J1151&gt;=10)+--(K1151&gt;=10)+--(L1151&gt;=10)+--(M1151&gt;=10)+--(N1151&gt;=10)+--(O1151&gt;=10))</f>
        <v/>
      </c>
      <c r="BE1151" s="5" t="str">
        <f aca="false">IF($B1151="","",--(AND(F1151&lt;&gt;"",F1151&lt;=8))+--(AND(G1151&lt;&gt;"",G1151&lt;=8))+--(AND(H1151&lt;&gt;"",H1151&lt;=8))+--(AND(I1151&lt;&gt;"",I1151&lt;=8))+--(AND(J1151&lt;&gt;"",J1151&lt;=8))+--(AND(K1151&lt;&gt;"",K1151&lt;=8))+--(AND(L1151&lt;&gt;"",L1151&lt;=8))+--(AND(M1151&lt;&gt;"",M1151&lt;=8))+--(AND(N1151&lt;&gt;"",N1151&lt;=8))+--(AND(O1151&lt;&gt;"",O1151&lt;=8)))</f>
        <v/>
      </c>
    </row>
    <row r="1152" customFormat="false" ht="15" hidden="false" customHeight="false" outlineLevel="0" collapsed="false">
      <c r="AZ1152" s="5" t="str">
        <f aca="false">IF($B1152="","",SUMPRODUCT(($AL1152:$AO1152&lt;&gt;"")*(COUNTIF($AP1152:$AX1152,$AL1152:$AO1152)&gt;0)))</f>
        <v/>
      </c>
      <c r="BA1152" s="5" t="str">
        <f aca="false">IF($B1152="","",IF(AZ1152&gt;0,1,0))</f>
        <v/>
      </c>
      <c r="BB1152" s="5" t="str">
        <f aca="false">IF($AP1152="","",IF((($AP1152="Engineering and Technology")+($AP1152="Science and Mathematics")+($AP1152="Computer Science, IT and Allied Fields")+($AP1152="Life Sciences /Medicine and Healthcare")+($AP1152="Paramedical")+($AP1152="Architecture")+($AP1152="Environmental Service")+($AP1152="Agriculture, Food Industry and Forestry"))&gt;0,"Science",IF((($AP1152="Banking and Finance")+($AP1152="Management and Administration")+($AP1152="Marketing")+($AP1152="Sales")+($AP1152="Entrepreneurship")+($AP1152="Hospitality and Tourism"))&gt;0,"Commerce",IF((($AP1152="Social Sciences and Humanities")+($AP1152="Law Studies")+($AP1152="Education and Training")+($AP1152="Art, Design")+($AP1152="Entertainment and Mass Media")+($AP1152="Community and Social Service")+($AP1152="Personal Care and Services")+($AP1152="Government and Public Administration")+($AP1152="Defence/ Protective Service")+($AP1152="Sports"))&gt;0,"Arts / Humanities",""))))</f>
        <v/>
      </c>
      <c r="BC1152" s="5" t="str">
        <f aca="false">IF($AL1152="","",IF((($AL1152="Engineering and Technology")+($AL1152="Science and Mathematics")+($AL1152="Computer Science, IT and Allied Fields")+($AL1152="Life Sciences /Medicine and Healthcare")+($AL1152="Paramedical")+($AL1152="Architecture")+($AL1152="Environmental Service")+($AL1152="Agriculture, Food Industry and Forestry"))&gt;0,"Science",IF((($AL1152="Banking and Finance")+($AL1152="Management and Administration")+($AL1152="Marketing")+($AL1152="Sales")+($AL1152="Entrepreneurship")+($AL1152="Hospitality and Tourism"))&gt;0,"Commerce",IF((($AL1152="Social Sciences and Humanities")+($AL1152="Law Studies")+($AL1152="Education and Training")+($AL1152="Art, Design")+($AL1152="Entertainment and Mass Media")+($AL1152="Community and Social Service")+($AL1152="Personal Care and Services")+($AL1152="Government and Public Administration")+($AL1152="Defence/ Protective Service")+($AL1152="Sports"))&gt;0,"Arts / Humanities",""))))</f>
        <v/>
      </c>
      <c r="BD1152" s="5" t="str">
        <f aca="false">IF($B1152="","",--(F1152&gt;=10)+--(G1152&gt;=10)+--(H1152&gt;=10)+--(I1152&gt;=10)+--(J1152&gt;=10)+--(K1152&gt;=10)+--(L1152&gt;=10)+--(M1152&gt;=10)+--(N1152&gt;=10)+--(O1152&gt;=10))</f>
        <v/>
      </c>
      <c r="BE1152" s="5" t="str">
        <f aca="false">IF($B1152="","",--(AND(F1152&lt;&gt;"",F1152&lt;=8))+--(AND(G1152&lt;&gt;"",G1152&lt;=8))+--(AND(H1152&lt;&gt;"",H1152&lt;=8))+--(AND(I1152&lt;&gt;"",I1152&lt;=8))+--(AND(J1152&lt;&gt;"",J1152&lt;=8))+--(AND(K1152&lt;&gt;"",K1152&lt;=8))+--(AND(L1152&lt;&gt;"",L1152&lt;=8))+--(AND(M1152&lt;&gt;"",M1152&lt;=8))+--(AND(N1152&lt;&gt;"",N1152&lt;=8))+--(AND(O1152&lt;&gt;"",O1152&lt;=8)))</f>
        <v/>
      </c>
    </row>
    <row r="1153" customFormat="false" ht="15" hidden="false" customHeight="false" outlineLevel="0" collapsed="false">
      <c r="AZ1153" s="5" t="str">
        <f aca="false">IF($B1153="","",SUMPRODUCT(($AL1153:$AO1153&lt;&gt;"")*(COUNTIF($AP1153:$AX1153,$AL1153:$AO1153)&gt;0)))</f>
        <v/>
      </c>
      <c r="BA1153" s="5" t="str">
        <f aca="false">IF($B1153="","",IF(AZ1153&gt;0,1,0))</f>
        <v/>
      </c>
      <c r="BB1153" s="5" t="str">
        <f aca="false">IF($AP1153="","",IF((($AP1153="Engineering and Technology")+($AP1153="Science and Mathematics")+($AP1153="Computer Science, IT and Allied Fields")+($AP1153="Life Sciences /Medicine and Healthcare")+($AP1153="Paramedical")+($AP1153="Architecture")+($AP1153="Environmental Service")+($AP1153="Agriculture, Food Industry and Forestry"))&gt;0,"Science",IF((($AP1153="Banking and Finance")+($AP1153="Management and Administration")+($AP1153="Marketing")+($AP1153="Sales")+($AP1153="Entrepreneurship")+($AP1153="Hospitality and Tourism"))&gt;0,"Commerce",IF((($AP1153="Social Sciences and Humanities")+($AP1153="Law Studies")+($AP1153="Education and Training")+($AP1153="Art, Design")+($AP1153="Entertainment and Mass Media")+($AP1153="Community and Social Service")+($AP1153="Personal Care and Services")+($AP1153="Government and Public Administration")+($AP1153="Defence/ Protective Service")+($AP1153="Sports"))&gt;0,"Arts / Humanities",""))))</f>
        <v/>
      </c>
      <c r="BC1153" s="5" t="str">
        <f aca="false">IF($AL1153="","",IF((($AL1153="Engineering and Technology")+($AL1153="Science and Mathematics")+($AL1153="Computer Science, IT and Allied Fields")+($AL1153="Life Sciences /Medicine and Healthcare")+($AL1153="Paramedical")+($AL1153="Architecture")+($AL1153="Environmental Service")+($AL1153="Agriculture, Food Industry and Forestry"))&gt;0,"Science",IF((($AL1153="Banking and Finance")+($AL1153="Management and Administration")+($AL1153="Marketing")+($AL1153="Sales")+($AL1153="Entrepreneurship")+($AL1153="Hospitality and Tourism"))&gt;0,"Commerce",IF((($AL1153="Social Sciences and Humanities")+($AL1153="Law Studies")+($AL1153="Education and Training")+($AL1153="Art, Design")+($AL1153="Entertainment and Mass Media")+($AL1153="Community and Social Service")+($AL1153="Personal Care and Services")+($AL1153="Government and Public Administration")+($AL1153="Defence/ Protective Service")+($AL1153="Sports"))&gt;0,"Arts / Humanities",""))))</f>
        <v/>
      </c>
      <c r="BD1153" s="5" t="str">
        <f aca="false">IF($B1153="","",--(F1153&gt;=10)+--(G1153&gt;=10)+--(H1153&gt;=10)+--(I1153&gt;=10)+--(J1153&gt;=10)+--(K1153&gt;=10)+--(L1153&gt;=10)+--(M1153&gt;=10)+--(N1153&gt;=10)+--(O1153&gt;=10))</f>
        <v/>
      </c>
      <c r="BE1153" s="5" t="str">
        <f aca="false">IF($B1153="","",--(AND(F1153&lt;&gt;"",F1153&lt;=8))+--(AND(G1153&lt;&gt;"",G1153&lt;=8))+--(AND(H1153&lt;&gt;"",H1153&lt;=8))+--(AND(I1153&lt;&gt;"",I1153&lt;=8))+--(AND(J1153&lt;&gt;"",J1153&lt;=8))+--(AND(K1153&lt;&gt;"",K1153&lt;=8))+--(AND(L1153&lt;&gt;"",L1153&lt;=8))+--(AND(M1153&lt;&gt;"",M1153&lt;=8))+--(AND(N1153&lt;&gt;"",N1153&lt;=8))+--(AND(O1153&lt;&gt;"",O1153&lt;=8)))</f>
        <v/>
      </c>
    </row>
    <row r="1154" customFormat="false" ht="15" hidden="false" customHeight="false" outlineLevel="0" collapsed="false">
      <c r="AZ1154" s="5" t="str">
        <f aca="false">IF($B1154="","",SUMPRODUCT(($AL1154:$AO1154&lt;&gt;"")*(COUNTIF($AP1154:$AX1154,$AL1154:$AO1154)&gt;0)))</f>
        <v/>
      </c>
      <c r="BA1154" s="5" t="str">
        <f aca="false">IF($B1154="","",IF(AZ1154&gt;0,1,0))</f>
        <v/>
      </c>
      <c r="BB1154" s="5" t="str">
        <f aca="false">IF($AP1154="","",IF((($AP1154="Engineering and Technology")+($AP1154="Science and Mathematics")+($AP1154="Computer Science, IT and Allied Fields")+($AP1154="Life Sciences /Medicine and Healthcare")+($AP1154="Paramedical")+($AP1154="Architecture")+($AP1154="Environmental Service")+($AP1154="Agriculture, Food Industry and Forestry"))&gt;0,"Science",IF((($AP1154="Banking and Finance")+($AP1154="Management and Administration")+($AP1154="Marketing")+($AP1154="Sales")+($AP1154="Entrepreneurship")+($AP1154="Hospitality and Tourism"))&gt;0,"Commerce",IF((($AP1154="Social Sciences and Humanities")+($AP1154="Law Studies")+($AP1154="Education and Training")+($AP1154="Art, Design")+($AP1154="Entertainment and Mass Media")+($AP1154="Community and Social Service")+($AP1154="Personal Care and Services")+($AP1154="Government and Public Administration")+($AP1154="Defence/ Protective Service")+($AP1154="Sports"))&gt;0,"Arts / Humanities",""))))</f>
        <v/>
      </c>
      <c r="BC1154" s="5" t="str">
        <f aca="false">IF($AL1154="","",IF((($AL1154="Engineering and Technology")+($AL1154="Science and Mathematics")+($AL1154="Computer Science, IT and Allied Fields")+($AL1154="Life Sciences /Medicine and Healthcare")+($AL1154="Paramedical")+($AL1154="Architecture")+($AL1154="Environmental Service")+($AL1154="Agriculture, Food Industry and Forestry"))&gt;0,"Science",IF((($AL1154="Banking and Finance")+($AL1154="Management and Administration")+($AL1154="Marketing")+($AL1154="Sales")+($AL1154="Entrepreneurship")+($AL1154="Hospitality and Tourism"))&gt;0,"Commerce",IF((($AL1154="Social Sciences and Humanities")+($AL1154="Law Studies")+($AL1154="Education and Training")+($AL1154="Art, Design")+($AL1154="Entertainment and Mass Media")+($AL1154="Community and Social Service")+($AL1154="Personal Care and Services")+($AL1154="Government and Public Administration")+($AL1154="Defence/ Protective Service")+($AL1154="Sports"))&gt;0,"Arts / Humanities",""))))</f>
        <v/>
      </c>
      <c r="BD1154" s="5" t="str">
        <f aca="false">IF($B1154="","",--(F1154&gt;=10)+--(G1154&gt;=10)+--(H1154&gt;=10)+--(I1154&gt;=10)+--(J1154&gt;=10)+--(K1154&gt;=10)+--(L1154&gt;=10)+--(M1154&gt;=10)+--(N1154&gt;=10)+--(O1154&gt;=10))</f>
        <v/>
      </c>
      <c r="BE1154" s="5" t="str">
        <f aca="false">IF($B1154="","",--(AND(F1154&lt;&gt;"",F1154&lt;=8))+--(AND(G1154&lt;&gt;"",G1154&lt;=8))+--(AND(H1154&lt;&gt;"",H1154&lt;=8))+--(AND(I1154&lt;&gt;"",I1154&lt;=8))+--(AND(J1154&lt;&gt;"",J1154&lt;=8))+--(AND(K1154&lt;&gt;"",K1154&lt;=8))+--(AND(L1154&lt;&gt;"",L1154&lt;=8))+--(AND(M1154&lt;&gt;"",M1154&lt;=8))+--(AND(N1154&lt;&gt;"",N1154&lt;=8))+--(AND(O1154&lt;&gt;"",O1154&lt;=8)))</f>
        <v/>
      </c>
    </row>
    <row r="1155" customFormat="false" ht="15" hidden="false" customHeight="false" outlineLevel="0" collapsed="false">
      <c r="AZ1155" s="5" t="str">
        <f aca="false">IF($B1155="","",SUMPRODUCT(($AL1155:$AO1155&lt;&gt;"")*(COUNTIF($AP1155:$AX1155,$AL1155:$AO1155)&gt;0)))</f>
        <v/>
      </c>
      <c r="BA1155" s="5" t="str">
        <f aca="false">IF($B1155="","",IF(AZ1155&gt;0,1,0))</f>
        <v/>
      </c>
      <c r="BB1155" s="5" t="str">
        <f aca="false">IF($AP1155="","",IF((($AP1155="Engineering and Technology")+($AP1155="Science and Mathematics")+($AP1155="Computer Science, IT and Allied Fields")+($AP1155="Life Sciences /Medicine and Healthcare")+($AP1155="Paramedical")+($AP1155="Architecture")+($AP1155="Environmental Service")+($AP1155="Agriculture, Food Industry and Forestry"))&gt;0,"Science",IF((($AP1155="Banking and Finance")+($AP1155="Management and Administration")+($AP1155="Marketing")+($AP1155="Sales")+($AP1155="Entrepreneurship")+($AP1155="Hospitality and Tourism"))&gt;0,"Commerce",IF((($AP1155="Social Sciences and Humanities")+($AP1155="Law Studies")+($AP1155="Education and Training")+($AP1155="Art, Design")+($AP1155="Entertainment and Mass Media")+($AP1155="Community and Social Service")+($AP1155="Personal Care and Services")+($AP1155="Government and Public Administration")+($AP1155="Defence/ Protective Service")+($AP1155="Sports"))&gt;0,"Arts / Humanities",""))))</f>
        <v/>
      </c>
      <c r="BC1155" s="5" t="str">
        <f aca="false">IF($AL1155="","",IF((($AL1155="Engineering and Technology")+($AL1155="Science and Mathematics")+($AL1155="Computer Science, IT and Allied Fields")+($AL1155="Life Sciences /Medicine and Healthcare")+($AL1155="Paramedical")+($AL1155="Architecture")+($AL1155="Environmental Service")+($AL1155="Agriculture, Food Industry and Forestry"))&gt;0,"Science",IF((($AL1155="Banking and Finance")+($AL1155="Management and Administration")+($AL1155="Marketing")+($AL1155="Sales")+($AL1155="Entrepreneurship")+($AL1155="Hospitality and Tourism"))&gt;0,"Commerce",IF((($AL1155="Social Sciences and Humanities")+($AL1155="Law Studies")+($AL1155="Education and Training")+($AL1155="Art, Design")+($AL1155="Entertainment and Mass Media")+($AL1155="Community and Social Service")+($AL1155="Personal Care and Services")+($AL1155="Government and Public Administration")+($AL1155="Defence/ Protective Service")+($AL1155="Sports"))&gt;0,"Arts / Humanities",""))))</f>
        <v/>
      </c>
      <c r="BD1155" s="5" t="str">
        <f aca="false">IF($B1155="","",--(F1155&gt;=10)+--(G1155&gt;=10)+--(H1155&gt;=10)+--(I1155&gt;=10)+--(J1155&gt;=10)+--(K1155&gt;=10)+--(L1155&gt;=10)+--(M1155&gt;=10)+--(N1155&gt;=10)+--(O1155&gt;=10))</f>
        <v/>
      </c>
      <c r="BE1155" s="5" t="str">
        <f aca="false">IF($B1155="","",--(AND(F1155&lt;&gt;"",F1155&lt;=8))+--(AND(G1155&lt;&gt;"",G1155&lt;=8))+--(AND(H1155&lt;&gt;"",H1155&lt;=8))+--(AND(I1155&lt;&gt;"",I1155&lt;=8))+--(AND(J1155&lt;&gt;"",J1155&lt;=8))+--(AND(K1155&lt;&gt;"",K1155&lt;=8))+--(AND(L1155&lt;&gt;"",L1155&lt;=8))+--(AND(M1155&lt;&gt;"",M1155&lt;=8))+--(AND(N1155&lt;&gt;"",N1155&lt;=8))+--(AND(O1155&lt;&gt;"",O1155&lt;=8)))</f>
        <v/>
      </c>
    </row>
    <row r="1156" customFormat="false" ht="15" hidden="false" customHeight="false" outlineLevel="0" collapsed="false">
      <c r="AZ1156" s="5" t="str">
        <f aca="false">IF($B1156="","",SUMPRODUCT(($AL1156:$AO1156&lt;&gt;"")*(COUNTIF($AP1156:$AX1156,$AL1156:$AO1156)&gt;0)))</f>
        <v/>
      </c>
      <c r="BA1156" s="5" t="str">
        <f aca="false">IF($B1156="","",IF(AZ1156&gt;0,1,0))</f>
        <v/>
      </c>
      <c r="BB1156" s="5" t="str">
        <f aca="false">IF($AP1156="","",IF((($AP1156="Engineering and Technology")+($AP1156="Science and Mathematics")+($AP1156="Computer Science, IT and Allied Fields")+($AP1156="Life Sciences /Medicine and Healthcare")+($AP1156="Paramedical")+($AP1156="Architecture")+($AP1156="Environmental Service")+($AP1156="Agriculture, Food Industry and Forestry"))&gt;0,"Science",IF((($AP1156="Banking and Finance")+($AP1156="Management and Administration")+($AP1156="Marketing")+($AP1156="Sales")+($AP1156="Entrepreneurship")+($AP1156="Hospitality and Tourism"))&gt;0,"Commerce",IF((($AP1156="Social Sciences and Humanities")+($AP1156="Law Studies")+($AP1156="Education and Training")+($AP1156="Art, Design")+($AP1156="Entertainment and Mass Media")+($AP1156="Community and Social Service")+($AP1156="Personal Care and Services")+($AP1156="Government and Public Administration")+($AP1156="Defence/ Protective Service")+($AP1156="Sports"))&gt;0,"Arts / Humanities",""))))</f>
        <v/>
      </c>
      <c r="BC1156" s="5" t="str">
        <f aca="false">IF($AL1156="","",IF((($AL1156="Engineering and Technology")+($AL1156="Science and Mathematics")+($AL1156="Computer Science, IT and Allied Fields")+($AL1156="Life Sciences /Medicine and Healthcare")+($AL1156="Paramedical")+($AL1156="Architecture")+($AL1156="Environmental Service")+($AL1156="Agriculture, Food Industry and Forestry"))&gt;0,"Science",IF((($AL1156="Banking and Finance")+($AL1156="Management and Administration")+($AL1156="Marketing")+($AL1156="Sales")+($AL1156="Entrepreneurship")+($AL1156="Hospitality and Tourism"))&gt;0,"Commerce",IF((($AL1156="Social Sciences and Humanities")+($AL1156="Law Studies")+($AL1156="Education and Training")+($AL1156="Art, Design")+($AL1156="Entertainment and Mass Media")+($AL1156="Community and Social Service")+($AL1156="Personal Care and Services")+($AL1156="Government and Public Administration")+($AL1156="Defence/ Protective Service")+($AL1156="Sports"))&gt;0,"Arts / Humanities",""))))</f>
        <v/>
      </c>
      <c r="BD1156" s="5" t="str">
        <f aca="false">IF($B1156="","",--(F1156&gt;=10)+--(G1156&gt;=10)+--(H1156&gt;=10)+--(I1156&gt;=10)+--(J1156&gt;=10)+--(K1156&gt;=10)+--(L1156&gt;=10)+--(M1156&gt;=10)+--(N1156&gt;=10)+--(O1156&gt;=10))</f>
        <v/>
      </c>
      <c r="BE1156" s="5" t="str">
        <f aca="false">IF($B1156="","",--(AND(F1156&lt;&gt;"",F1156&lt;=8))+--(AND(G1156&lt;&gt;"",G1156&lt;=8))+--(AND(H1156&lt;&gt;"",H1156&lt;=8))+--(AND(I1156&lt;&gt;"",I1156&lt;=8))+--(AND(J1156&lt;&gt;"",J1156&lt;=8))+--(AND(K1156&lt;&gt;"",K1156&lt;=8))+--(AND(L1156&lt;&gt;"",L1156&lt;=8))+--(AND(M1156&lt;&gt;"",M1156&lt;=8))+--(AND(N1156&lt;&gt;"",N1156&lt;=8))+--(AND(O1156&lt;&gt;"",O1156&lt;=8)))</f>
        <v/>
      </c>
    </row>
    <row r="1157" customFormat="false" ht="15" hidden="false" customHeight="false" outlineLevel="0" collapsed="false">
      <c r="AZ1157" s="5" t="str">
        <f aca="false">IF($B1157="","",SUMPRODUCT(($AL1157:$AO1157&lt;&gt;"")*(COUNTIF($AP1157:$AX1157,$AL1157:$AO1157)&gt;0)))</f>
        <v/>
      </c>
      <c r="BA1157" s="5" t="str">
        <f aca="false">IF($B1157="","",IF(AZ1157&gt;0,1,0))</f>
        <v/>
      </c>
      <c r="BB1157" s="5" t="str">
        <f aca="false">IF($AP1157="","",IF((($AP1157="Engineering and Technology")+($AP1157="Science and Mathematics")+($AP1157="Computer Science, IT and Allied Fields")+($AP1157="Life Sciences /Medicine and Healthcare")+($AP1157="Paramedical")+($AP1157="Architecture")+($AP1157="Environmental Service")+($AP1157="Agriculture, Food Industry and Forestry"))&gt;0,"Science",IF((($AP1157="Banking and Finance")+($AP1157="Management and Administration")+($AP1157="Marketing")+($AP1157="Sales")+($AP1157="Entrepreneurship")+($AP1157="Hospitality and Tourism"))&gt;0,"Commerce",IF((($AP1157="Social Sciences and Humanities")+($AP1157="Law Studies")+($AP1157="Education and Training")+($AP1157="Art, Design")+($AP1157="Entertainment and Mass Media")+($AP1157="Community and Social Service")+($AP1157="Personal Care and Services")+($AP1157="Government and Public Administration")+($AP1157="Defence/ Protective Service")+($AP1157="Sports"))&gt;0,"Arts / Humanities",""))))</f>
        <v/>
      </c>
      <c r="BC1157" s="5" t="str">
        <f aca="false">IF($AL1157="","",IF((($AL1157="Engineering and Technology")+($AL1157="Science and Mathematics")+($AL1157="Computer Science, IT and Allied Fields")+($AL1157="Life Sciences /Medicine and Healthcare")+($AL1157="Paramedical")+($AL1157="Architecture")+($AL1157="Environmental Service")+($AL1157="Agriculture, Food Industry and Forestry"))&gt;0,"Science",IF((($AL1157="Banking and Finance")+($AL1157="Management and Administration")+($AL1157="Marketing")+($AL1157="Sales")+($AL1157="Entrepreneurship")+($AL1157="Hospitality and Tourism"))&gt;0,"Commerce",IF((($AL1157="Social Sciences and Humanities")+($AL1157="Law Studies")+($AL1157="Education and Training")+($AL1157="Art, Design")+($AL1157="Entertainment and Mass Media")+($AL1157="Community and Social Service")+($AL1157="Personal Care and Services")+($AL1157="Government and Public Administration")+($AL1157="Defence/ Protective Service")+($AL1157="Sports"))&gt;0,"Arts / Humanities",""))))</f>
        <v/>
      </c>
      <c r="BD1157" s="5" t="str">
        <f aca="false">IF($B1157="","",--(F1157&gt;=10)+--(G1157&gt;=10)+--(H1157&gt;=10)+--(I1157&gt;=10)+--(J1157&gt;=10)+--(K1157&gt;=10)+--(L1157&gt;=10)+--(M1157&gt;=10)+--(N1157&gt;=10)+--(O1157&gt;=10))</f>
        <v/>
      </c>
      <c r="BE1157" s="5" t="str">
        <f aca="false">IF($B1157="","",--(AND(F1157&lt;&gt;"",F1157&lt;=8))+--(AND(G1157&lt;&gt;"",G1157&lt;=8))+--(AND(H1157&lt;&gt;"",H1157&lt;=8))+--(AND(I1157&lt;&gt;"",I1157&lt;=8))+--(AND(J1157&lt;&gt;"",J1157&lt;=8))+--(AND(K1157&lt;&gt;"",K1157&lt;=8))+--(AND(L1157&lt;&gt;"",L1157&lt;=8))+--(AND(M1157&lt;&gt;"",M1157&lt;=8))+--(AND(N1157&lt;&gt;"",N1157&lt;=8))+--(AND(O1157&lt;&gt;"",O1157&lt;=8)))</f>
        <v/>
      </c>
    </row>
    <row r="1158" customFormat="false" ht="15" hidden="false" customHeight="false" outlineLevel="0" collapsed="false">
      <c r="AZ1158" s="5" t="str">
        <f aca="false">IF($B1158="","",SUMPRODUCT(($AL1158:$AO1158&lt;&gt;"")*(COUNTIF($AP1158:$AX1158,$AL1158:$AO1158)&gt;0)))</f>
        <v/>
      </c>
      <c r="BA1158" s="5" t="str">
        <f aca="false">IF($B1158="","",IF(AZ1158&gt;0,1,0))</f>
        <v/>
      </c>
      <c r="BB1158" s="5" t="str">
        <f aca="false">IF($AP1158="","",IF((($AP1158="Engineering and Technology")+($AP1158="Science and Mathematics")+($AP1158="Computer Science, IT and Allied Fields")+($AP1158="Life Sciences /Medicine and Healthcare")+($AP1158="Paramedical")+($AP1158="Architecture")+($AP1158="Environmental Service")+($AP1158="Agriculture, Food Industry and Forestry"))&gt;0,"Science",IF((($AP1158="Banking and Finance")+($AP1158="Management and Administration")+($AP1158="Marketing")+($AP1158="Sales")+($AP1158="Entrepreneurship")+($AP1158="Hospitality and Tourism"))&gt;0,"Commerce",IF((($AP1158="Social Sciences and Humanities")+($AP1158="Law Studies")+($AP1158="Education and Training")+($AP1158="Art, Design")+($AP1158="Entertainment and Mass Media")+($AP1158="Community and Social Service")+($AP1158="Personal Care and Services")+($AP1158="Government and Public Administration")+($AP1158="Defence/ Protective Service")+($AP1158="Sports"))&gt;0,"Arts / Humanities",""))))</f>
        <v/>
      </c>
      <c r="BC1158" s="5" t="str">
        <f aca="false">IF($AL1158="","",IF((($AL1158="Engineering and Technology")+($AL1158="Science and Mathematics")+($AL1158="Computer Science, IT and Allied Fields")+($AL1158="Life Sciences /Medicine and Healthcare")+($AL1158="Paramedical")+($AL1158="Architecture")+($AL1158="Environmental Service")+($AL1158="Agriculture, Food Industry and Forestry"))&gt;0,"Science",IF((($AL1158="Banking and Finance")+($AL1158="Management and Administration")+($AL1158="Marketing")+($AL1158="Sales")+($AL1158="Entrepreneurship")+($AL1158="Hospitality and Tourism"))&gt;0,"Commerce",IF((($AL1158="Social Sciences and Humanities")+($AL1158="Law Studies")+($AL1158="Education and Training")+($AL1158="Art, Design")+($AL1158="Entertainment and Mass Media")+($AL1158="Community and Social Service")+($AL1158="Personal Care and Services")+($AL1158="Government and Public Administration")+($AL1158="Defence/ Protective Service")+($AL1158="Sports"))&gt;0,"Arts / Humanities",""))))</f>
        <v/>
      </c>
      <c r="BD1158" s="5" t="str">
        <f aca="false">IF($B1158="","",--(F1158&gt;=10)+--(G1158&gt;=10)+--(H1158&gt;=10)+--(I1158&gt;=10)+--(J1158&gt;=10)+--(K1158&gt;=10)+--(L1158&gt;=10)+--(M1158&gt;=10)+--(N1158&gt;=10)+--(O1158&gt;=10))</f>
        <v/>
      </c>
      <c r="BE1158" s="5" t="str">
        <f aca="false">IF($B1158="","",--(AND(F1158&lt;&gt;"",F1158&lt;=8))+--(AND(G1158&lt;&gt;"",G1158&lt;=8))+--(AND(H1158&lt;&gt;"",H1158&lt;=8))+--(AND(I1158&lt;&gt;"",I1158&lt;=8))+--(AND(J1158&lt;&gt;"",J1158&lt;=8))+--(AND(K1158&lt;&gt;"",K1158&lt;=8))+--(AND(L1158&lt;&gt;"",L1158&lt;=8))+--(AND(M1158&lt;&gt;"",M1158&lt;=8))+--(AND(N1158&lt;&gt;"",N1158&lt;=8))+--(AND(O1158&lt;&gt;"",O1158&lt;=8)))</f>
        <v/>
      </c>
    </row>
    <row r="1159" customFormat="false" ht="15" hidden="false" customHeight="false" outlineLevel="0" collapsed="false">
      <c r="AZ1159" s="5" t="str">
        <f aca="false">IF($B1159="","",SUMPRODUCT(($AL1159:$AO1159&lt;&gt;"")*(COUNTIF($AP1159:$AX1159,$AL1159:$AO1159)&gt;0)))</f>
        <v/>
      </c>
      <c r="BA1159" s="5" t="str">
        <f aca="false">IF($B1159="","",IF(AZ1159&gt;0,1,0))</f>
        <v/>
      </c>
      <c r="BB1159" s="5" t="str">
        <f aca="false">IF($AP1159="","",IF((($AP1159="Engineering and Technology")+($AP1159="Science and Mathematics")+($AP1159="Computer Science, IT and Allied Fields")+($AP1159="Life Sciences /Medicine and Healthcare")+($AP1159="Paramedical")+($AP1159="Architecture")+($AP1159="Environmental Service")+($AP1159="Agriculture, Food Industry and Forestry"))&gt;0,"Science",IF((($AP1159="Banking and Finance")+($AP1159="Management and Administration")+($AP1159="Marketing")+($AP1159="Sales")+($AP1159="Entrepreneurship")+($AP1159="Hospitality and Tourism"))&gt;0,"Commerce",IF((($AP1159="Social Sciences and Humanities")+($AP1159="Law Studies")+($AP1159="Education and Training")+($AP1159="Art, Design")+($AP1159="Entertainment and Mass Media")+($AP1159="Community and Social Service")+($AP1159="Personal Care and Services")+($AP1159="Government and Public Administration")+($AP1159="Defence/ Protective Service")+($AP1159="Sports"))&gt;0,"Arts / Humanities",""))))</f>
        <v/>
      </c>
      <c r="BC1159" s="5" t="str">
        <f aca="false">IF($AL1159="","",IF((($AL1159="Engineering and Technology")+($AL1159="Science and Mathematics")+($AL1159="Computer Science, IT and Allied Fields")+($AL1159="Life Sciences /Medicine and Healthcare")+($AL1159="Paramedical")+($AL1159="Architecture")+($AL1159="Environmental Service")+($AL1159="Agriculture, Food Industry and Forestry"))&gt;0,"Science",IF((($AL1159="Banking and Finance")+($AL1159="Management and Administration")+($AL1159="Marketing")+($AL1159="Sales")+($AL1159="Entrepreneurship")+($AL1159="Hospitality and Tourism"))&gt;0,"Commerce",IF((($AL1159="Social Sciences and Humanities")+($AL1159="Law Studies")+($AL1159="Education and Training")+($AL1159="Art, Design")+($AL1159="Entertainment and Mass Media")+($AL1159="Community and Social Service")+($AL1159="Personal Care and Services")+($AL1159="Government and Public Administration")+($AL1159="Defence/ Protective Service")+($AL1159="Sports"))&gt;0,"Arts / Humanities",""))))</f>
        <v/>
      </c>
      <c r="BD1159" s="5" t="str">
        <f aca="false">IF($B1159="","",--(F1159&gt;=10)+--(G1159&gt;=10)+--(H1159&gt;=10)+--(I1159&gt;=10)+--(J1159&gt;=10)+--(K1159&gt;=10)+--(L1159&gt;=10)+--(M1159&gt;=10)+--(N1159&gt;=10)+--(O1159&gt;=10))</f>
        <v/>
      </c>
      <c r="BE1159" s="5" t="str">
        <f aca="false">IF($B1159="","",--(AND(F1159&lt;&gt;"",F1159&lt;=8))+--(AND(G1159&lt;&gt;"",G1159&lt;=8))+--(AND(H1159&lt;&gt;"",H1159&lt;=8))+--(AND(I1159&lt;&gt;"",I1159&lt;=8))+--(AND(J1159&lt;&gt;"",J1159&lt;=8))+--(AND(K1159&lt;&gt;"",K1159&lt;=8))+--(AND(L1159&lt;&gt;"",L1159&lt;=8))+--(AND(M1159&lt;&gt;"",M1159&lt;=8))+--(AND(N1159&lt;&gt;"",N1159&lt;=8))+--(AND(O1159&lt;&gt;"",O1159&lt;=8)))</f>
        <v/>
      </c>
    </row>
    <row r="1160" customFormat="false" ht="15" hidden="false" customHeight="false" outlineLevel="0" collapsed="false">
      <c r="AZ1160" s="5" t="str">
        <f aca="false">IF($B1160="","",SUMPRODUCT(($AL1160:$AO1160&lt;&gt;"")*(COUNTIF($AP1160:$AX1160,$AL1160:$AO1160)&gt;0)))</f>
        <v/>
      </c>
      <c r="BA1160" s="5" t="str">
        <f aca="false">IF($B1160="","",IF(AZ1160&gt;0,1,0))</f>
        <v/>
      </c>
      <c r="BB1160" s="5" t="str">
        <f aca="false">IF($AP1160="","",IF((($AP1160="Engineering and Technology")+($AP1160="Science and Mathematics")+($AP1160="Computer Science, IT and Allied Fields")+($AP1160="Life Sciences /Medicine and Healthcare")+($AP1160="Paramedical")+($AP1160="Architecture")+($AP1160="Environmental Service")+($AP1160="Agriculture, Food Industry and Forestry"))&gt;0,"Science",IF((($AP1160="Banking and Finance")+($AP1160="Management and Administration")+($AP1160="Marketing")+($AP1160="Sales")+($AP1160="Entrepreneurship")+($AP1160="Hospitality and Tourism"))&gt;0,"Commerce",IF((($AP1160="Social Sciences and Humanities")+($AP1160="Law Studies")+($AP1160="Education and Training")+($AP1160="Art, Design")+($AP1160="Entertainment and Mass Media")+($AP1160="Community and Social Service")+($AP1160="Personal Care and Services")+($AP1160="Government and Public Administration")+($AP1160="Defence/ Protective Service")+($AP1160="Sports"))&gt;0,"Arts / Humanities",""))))</f>
        <v/>
      </c>
      <c r="BC1160" s="5" t="str">
        <f aca="false">IF($AL1160="","",IF((($AL1160="Engineering and Technology")+($AL1160="Science and Mathematics")+($AL1160="Computer Science, IT and Allied Fields")+($AL1160="Life Sciences /Medicine and Healthcare")+($AL1160="Paramedical")+($AL1160="Architecture")+($AL1160="Environmental Service")+($AL1160="Agriculture, Food Industry and Forestry"))&gt;0,"Science",IF((($AL1160="Banking and Finance")+($AL1160="Management and Administration")+($AL1160="Marketing")+($AL1160="Sales")+($AL1160="Entrepreneurship")+($AL1160="Hospitality and Tourism"))&gt;0,"Commerce",IF((($AL1160="Social Sciences and Humanities")+($AL1160="Law Studies")+($AL1160="Education and Training")+($AL1160="Art, Design")+($AL1160="Entertainment and Mass Media")+($AL1160="Community and Social Service")+($AL1160="Personal Care and Services")+($AL1160="Government and Public Administration")+($AL1160="Defence/ Protective Service")+($AL1160="Sports"))&gt;0,"Arts / Humanities",""))))</f>
        <v/>
      </c>
      <c r="BD1160" s="5" t="str">
        <f aca="false">IF($B1160="","",--(F1160&gt;=10)+--(G1160&gt;=10)+--(H1160&gt;=10)+--(I1160&gt;=10)+--(J1160&gt;=10)+--(K1160&gt;=10)+--(L1160&gt;=10)+--(M1160&gt;=10)+--(N1160&gt;=10)+--(O1160&gt;=10))</f>
        <v/>
      </c>
      <c r="BE1160" s="5" t="str">
        <f aca="false">IF($B1160="","",--(AND(F1160&lt;&gt;"",F1160&lt;=8))+--(AND(G1160&lt;&gt;"",G1160&lt;=8))+--(AND(H1160&lt;&gt;"",H1160&lt;=8))+--(AND(I1160&lt;&gt;"",I1160&lt;=8))+--(AND(J1160&lt;&gt;"",J1160&lt;=8))+--(AND(K1160&lt;&gt;"",K1160&lt;=8))+--(AND(L1160&lt;&gt;"",L1160&lt;=8))+--(AND(M1160&lt;&gt;"",M1160&lt;=8))+--(AND(N1160&lt;&gt;"",N1160&lt;=8))+--(AND(O1160&lt;&gt;"",O1160&lt;=8)))</f>
        <v/>
      </c>
    </row>
    <row r="1161" customFormat="false" ht="15" hidden="false" customHeight="false" outlineLevel="0" collapsed="false">
      <c r="AZ1161" s="5" t="str">
        <f aca="false">IF($B1161="","",SUMPRODUCT(($AL1161:$AO1161&lt;&gt;"")*(COUNTIF($AP1161:$AX1161,$AL1161:$AO1161)&gt;0)))</f>
        <v/>
      </c>
      <c r="BA1161" s="5" t="str">
        <f aca="false">IF($B1161="","",IF(AZ1161&gt;0,1,0))</f>
        <v/>
      </c>
      <c r="BB1161" s="5" t="str">
        <f aca="false">IF($AP1161="","",IF((($AP1161="Engineering and Technology")+($AP1161="Science and Mathematics")+($AP1161="Computer Science, IT and Allied Fields")+($AP1161="Life Sciences /Medicine and Healthcare")+($AP1161="Paramedical")+($AP1161="Architecture")+($AP1161="Environmental Service")+($AP1161="Agriculture, Food Industry and Forestry"))&gt;0,"Science",IF((($AP1161="Banking and Finance")+($AP1161="Management and Administration")+($AP1161="Marketing")+($AP1161="Sales")+($AP1161="Entrepreneurship")+($AP1161="Hospitality and Tourism"))&gt;0,"Commerce",IF((($AP1161="Social Sciences and Humanities")+($AP1161="Law Studies")+($AP1161="Education and Training")+($AP1161="Art, Design")+($AP1161="Entertainment and Mass Media")+($AP1161="Community and Social Service")+($AP1161="Personal Care and Services")+($AP1161="Government and Public Administration")+($AP1161="Defence/ Protective Service")+($AP1161="Sports"))&gt;0,"Arts / Humanities",""))))</f>
        <v/>
      </c>
      <c r="BC1161" s="5" t="str">
        <f aca="false">IF($AL1161="","",IF((($AL1161="Engineering and Technology")+($AL1161="Science and Mathematics")+($AL1161="Computer Science, IT and Allied Fields")+($AL1161="Life Sciences /Medicine and Healthcare")+($AL1161="Paramedical")+($AL1161="Architecture")+($AL1161="Environmental Service")+($AL1161="Agriculture, Food Industry and Forestry"))&gt;0,"Science",IF((($AL1161="Banking and Finance")+($AL1161="Management and Administration")+($AL1161="Marketing")+($AL1161="Sales")+($AL1161="Entrepreneurship")+($AL1161="Hospitality and Tourism"))&gt;0,"Commerce",IF((($AL1161="Social Sciences and Humanities")+($AL1161="Law Studies")+($AL1161="Education and Training")+($AL1161="Art, Design")+($AL1161="Entertainment and Mass Media")+($AL1161="Community and Social Service")+($AL1161="Personal Care and Services")+($AL1161="Government and Public Administration")+($AL1161="Defence/ Protective Service")+($AL1161="Sports"))&gt;0,"Arts / Humanities",""))))</f>
        <v/>
      </c>
      <c r="BD1161" s="5" t="str">
        <f aca="false">IF($B1161="","",--(F1161&gt;=10)+--(G1161&gt;=10)+--(H1161&gt;=10)+--(I1161&gt;=10)+--(J1161&gt;=10)+--(K1161&gt;=10)+--(L1161&gt;=10)+--(M1161&gt;=10)+--(N1161&gt;=10)+--(O1161&gt;=10))</f>
        <v/>
      </c>
      <c r="BE1161" s="5" t="str">
        <f aca="false">IF($B1161="","",--(AND(F1161&lt;&gt;"",F1161&lt;=8))+--(AND(G1161&lt;&gt;"",G1161&lt;=8))+--(AND(H1161&lt;&gt;"",H1161&lt;=8))+--(AND(I1161&lt;&gt;"",I1161&lt;=8))+--(AND(J1161&lt;&gt;"",J1161&lt;=8))+--(AND(K1161&lt;&gt;"",K1161&lt;=8))+--(AND(L1161&lt;&gt;"",L1161&lt;=8))+--(AND(M1161&lt;&gt;"",M1161&lt;=8))+--(AND(N1161&lt;&gt;"",N1161&lt;=8))+--(AND(O1161&lt;&gt;"",O1161&lt;=8)))</f>
        <v/>
      </c>
    </row>
    <row r="1162" customFormat="false" ht="15" hidden="false" customHeight="false" outlineLevel="0" collapsed="false">
      <c r="AZ1162" s="5" t="str">
        <f aca="false">IF($B1162="","",SUMPRODUCT(($AL1162:$AO1162&lt;&gt;"")*(COUNTIF($AP1162:$AX1162,$AL1162:$AO1162)&gt;0)))</f>
        <v/>
      </c>
      <c r="BA1162" s="5" t="str">
        <f aca="false">IF($B1162="","",IF(AZ1162&gt;0,1,0))</f>
        <v/>
      </c>
      <c r="BB1162" s="5" t="str">
        <f aca="false">IF($AP1162="","",IF((($AP1162="Engineering and Technology")+($AP1162="Science and Mathematics")+($AP1162="Computer Science, IT and Allied Fields")+($AP1162="Life Sciences /Medicine and Healthcare")+($AP1162="Paramedical")+($AP1162="Architecture")+($AP1162="Environmental Service")+($AP1162="Agriculture, Food Industry and Forestry"))&gt;0,"Science",IF((($AP1162="Banking and Finance")+($AP1162="Management and Administration")+($AP1162="Marketing")+($AP1162="Sales")+($AP1162="Entrepreneurship")+($AP1162="Hospitality and Tourism"))&gt;0,"Commerce",IF((($AP1162="Social Sciences and Humanities")+($AP1162="Law Studies")+($AP1162="Education and Training")+($AP1162="Art, Design")+($AP1162="Entertainment and Mass Media")+($AP1162="Community and Social Service")+($AP1162="Personal Care and Services")+($AP1162="Government and Public Administration")+($AP1162="Defence/ Protective Service")+($AP1162="Sports"))&gt;0,"Arts / Humanities",""))))</f>
        <v/>
      </c>
      <c r="BC1162" s="5" t="str">
        <f aca="false">IF($AL1162="","",IF((($AL1162="Engineering and Technology")+($AL1162="Science and Mathematics")+($AL1162="Computer Science, IT and Allied Fields")+($AL1162="Life Sciences /Medicine and Healthcare")+($AL1162="Paramedical")+($AL1162="Architecture")+($AL1162="Environmental Service")+($AL1162="Agriculture, Food Industry and Forestry"))&gt;0,"Science",IF((($AL1162="Banking and Finance")+($AL1162="Management and Administration")+($AL1162="Marketing")+($AL1162="Sales")+($AL1162="Entrepreneurship")+($AL1162="Hospitality and Tourism"))&gt;0,"Commerce",IF((($AL1162="Social Sciences and Humanities")+($AL1162="Law Studies")+($AL1162="Education and Training")+($AL1162="Art, Design")+($AL1162="Entertainment and Mass Media")+($AL1162="Community and Social Service")+($AL1162="Personal Care and Services")+($AL1162="Government and Public Administration")+($AL1162="Defence/ Protective Service")+($AL1162="Sports"))&gt;0,"Arts / Humanities",""))))</f>
        <v/>
      </c>
      <c r="BD1162" s="5" t="str">
        <f aca="false">IF($B1162="","",--(F1162&gt;=10)+--(G1162&gt;=10)+--(H1162&gt;=10)+--(I1162&gt;=10)+--(J1162&gt;=10)+--(K1162&gt;=10)+--(L1162&gt;=10)+--(M1162&gt;=10)+--(N1162&gt;=10)+--(O1162&gt;=10))</f>
        <v/>
      </c>
      <c r="BE1162" s="5" t="str">
        <f aca="false">IF($B1162="","",--(AND(F1162&lt;&gt;"",F1162&lt;=8))+--(AND(G1162&lt;&gt;"",G1162&lt;=8))+--(AND(H1162&lt;&gt;"",H1162&lt;=8))+--(AND(I1162&lt;&gt;"",I1162&lt;=8))+--(AND(J1162&lt;&gt;"",J1162&lt;=8))+--(AND(K1162&lt;&gt;"",K1162&lt;=8))+--(AND(L1162&lt;&gt;"",L1162&lt;=8))+--(AND(M1162&lt;&gt;"",M1162&lt;=8))+--(AND(N1162&lt;&gt;"",N1162&lt;=8))+--(AND(O1162&lt;&gt;"",O1162&lt;=8)))</f>
        <v/>
      </c>
    </row>
    <row r="1163" customFormat="false" ht="15" hidden="false" customHeight="false" outlineLevel="0" collapsed="false">
      <c r="AZ1163" s="5" t="str">
        <f aca="false">IF($B1163="","",SUMPRODUCT(($AL1163:$AO1163&lt;&gt;"")*(COUNTIF($AP1163:$AX1163,$AL1163:$AO1163)&gt;0)))</f>
        <v/>
      </c>
      <c r="BA1163" s="5" t="str">
        <f aca="false">IF($B1163="","",IF(AZ1163&gt;0,1,0))</f>
        <v/>
      </c>
      <c r="BB1163" s="5" t="str">
        <f aca="false">IF($AP1163="","",IF((($AP1163="Engineering and Technology")+($AP1163="Science and Mathematics")+($AP1163="Computer Science, IT and Allied Fields")+($AP1163="Life Sciences /Medicine and Healthcare")+($AP1163="Paramedical")+($AP1163="Architecture")+($AP1163="Environmental Service")+($AP1163="Agriculture, Food Industry and Forestry"))&gt;0,"Science",IF((($AP1163="Banking and Finance")+($AP1163="Management and Administration")+($AP1163="Marketing")+($AP1163="Sales")+($AP1163="Entrepreneurship")+($AP1163="Hospitality and Tourism"))&gt;0,"Commerce",IF((($AP1163="Social Sciences and Humanities")+($AP1163="Law Studies")+($AP1163="Education and Training")+($AP1163="Art, Design")+($AP1163="Entertainment and Mass Media")+($AP1163="Community and Social Service")+($AP1163="Personal Care and Services")+($AP1163="Government and Public Administration")+($AP1163="Defence/ Protective Service")+($AP1163="Sports"))&gt;0,"Arts / Humanities",""))))</f>
        <v/>
      </c>
      <c r="BC1163" s="5" t="str">
        <f aca="false">IF($AL1163="","",IF((($AL1163="Engineering and Technology")+($AL1163="Science and Mathematics")+($AL1163="Computer Science, IT and Allied Fields")+($AL1163="Life Sciences /Medicine and Healthcare")+($AL1163="Paramedical")+($AL1163="Architecture")+($AL1163="Environmental Service")+($AL1163="Agriculture, Food Industry and Forestry"))&gt;0,"Science",IF((($AL1163="Banking and Finance")+($AL1163="Management and Administration")+($AL1163="Marketing")+($AL1163="Sales")+($AL1163="Entrepreneurship")+($AL1163="Hospitality and Tourism"))&gt;0,"Commerce",IF((($AL1163="Social Sciences and Humanities")+($AL1163="Law Studies")+($AL1163="Education and Training")+($AL1163="Art, Design")+($AL1163="Entertainment and Mass Media")+($AL1163="Community and Social Service")+($AL1163="Personal Care and Services")+($AL1163="Government and Public Administration")+($AL1163="Defence/ Protective Service")+($AL1163="Sports"))&gt;0,"Arts / Humanities",""))))</f>
        <v/>
      </c>
      <c r="BD1163" s="5" t="str">
        <f aca="false">IF($B1163="","",--(F1163&gt;=10)+--(G1163&gt;=10)+--(H1163&gt;=10)+--(I1163&gt;=10)+--(J1163&gt;=10)+--(K1163&gt;=10)+--(L1163&gt;=10)+--(M1163&gt;=10)+--(N1163&gt;=10)+--(O1163&gt;=10))</f>
        <v/>
      </c>
      <c r="BE1163" s="5" t="str">
        <f aca="false">IF($B1163="","",--(AND(F1163&lt;&gt;"",F1163&lt;=8))+--(AND(G1163&lt;&gt;"",G1163&lt;=8))+--(AND(H1163&lt;&gt;"",H1163&lt;=8))+--(AND(I1163&lt;&gt;"",I1163&lt;=8))+--(AND(J1163&lt;&gt;"",J1163&lt;=8))+--(AND(K1163&lt;&gt;"",K1163&lt;=8))+--(AND(L1163&lt;&gt;"",L1163&lt;=8))+--(AND(M1163&lt;&gt;"",M1163&lt;=8))+--(AND(N1163&lt;&gt;"",N1163&lt;=8))+--(AND(O1163&lt;&gt;"",O1163&lt;=8)))</f>
        <v/>
      </c>
    </row>
    <row r="1164" customFormat="false" ht="15" hidden="false" customHeight="false" outlineLevel="0" collapsed="false">
      <c r="AZ1164" s="5" t="str">
        <f aca="false">IF($B1164="","",SUMPRODUCT(($AL1164:$AO1164&lt;&gt;"")*(COUNTIF($AP1164:$AX1164,$AL1164:$AO1164)&gt;0)))</f>
        <v/>
      </c>
      <c r="BA1164" s="5" t="str">
        <f aca="false">IF($B1164="","",IF(AZ1164&gt;0,1,0))</f>
        <v/>
      </c>
      <c r="BB1164" s="5" t="str">
        <f aca="false">IF($AP1164="","",IF((($AP1164="Engineering and Technology")+($AP1164="Science and Mathematics")+($AP1164="Computer Science, IT and Allied Fields")+($AP1164="Life Sciences /Medicine and Healthcare")+($AP1164="Paramedical")+($AP1164="Architecture")+($AP1164="Environmental Service")+($AP1164="Agriculture, Food Industry and Forestry"))&gt;0,"Science",IF((($AP1164="Banking and Finance")+($AP1164="Management and Administration")+($AP1164="Marketing")+($AP1164="Sales")+($AP1164="Entrepreneurship")+($AP1164="Hospitality and Tourism"))&gt;0,"Commerce",IF((($AP1164="Social Sciences and Humanities")+($AP1164="Law Studies")+($AP1164="Education and Training")+($AP1164="Art, Design")+($AP1164="Entertainment and Mass Media")+($AP1164="Community and Social Service")+($AP1164="Personal Care and Services")+($AP1164="Government and Public Administration")+($AP1164="Defence/ Protective Service")+($AP1164="Sports"))&gt;0,"Arts / Humanities",""))))</f>
        <v/>
      </c>
      <c r="BC1164" s="5" t="str">
        <f aca="false">IF($AL1164="","",IF((($AL1164="Engineering and Technology")+($AL1164="Science and Mathematics")+($AL1164="Computer Science, IT and Allied Fields")+($AL1164="Life Sciences /Medicine and Healthcare")+($AL1164="Paramedical")+($AL1164="Architecture")+($AL1164="Environmental Service")+($AL1164="Agriculture, Food Industry and Forestry"))&gt;0,"Science",IF((($AL1164="Banking and Finance")+($AL1164="Management and Administration")+($AL1164="Marketing")+($AL1164="Sales")+($AL1164="Entrepreneurship")+($AL1164="Hospitality and Tourism"))&gt;0,"Commerce",IF((($AL1164="Social Sciences and Humanities")+($AL1164="Law Studies")+($AL1164="Education and Training")+($AL1164="Art, Design")+($AL1164="Entertainment and Mass Media")+($AL1164="Community and Social Service")+($AL1164="Personal Care and Services")+($AL1164="Government and Public Administration")+($AL1164="Defence/ Protective Service")+($AL1164="Sports"))&gt;0,"Arts / Humanities",""))))</f>
        <v/>
      </c>
      <c r="BD1164" s="5" t="str">
        <f aca="false">IF($B1164="","",--(F1164&gt;=10)+--(G1164&gt;=10)+--(H1164&gt;=10)+--(I1164&gt;=10)+--(J1164&gt;=10)+--(K1164&gt;=10)+--(L1164&gt;=10)+--(M1164&gt;=10)+--(N1164&gt;=10)+--(O1164&gt;=10))</f>
        <v/>
      </c>
      <c r="BE1164" s="5" t="str">
        <f aca="false">IF($B1164="","",--(AND(F1164&lt;&gt;"",F1164&lt;=8))+--(AND(G1164&lt;&gt;"",G1164&lt;=8))+--(AND(H1164&lt;&gt;"",H1164&lt;=8))+--(AND(I1164&lt;&gt;"",I1164&lt;=8))+--(AND(J1164&lt;&gt;"",J1164&lt;=8))+--(AND(K1164&lt;&gt;"",K1164&lt;=8))+--(AND(L1164&lt;&gt;"",L1164&lt;=8))+--(AND(M1164&lt;&gt;"",M1164&lt;=8))+--(AND(N1164&lt;&gt;"",N1164&lt;=8))+--(AND(O1164&lt;&gt;"",O1164&lt;=8)))</f>
        <v/>
      </c>
    </row>
    <row r="1165" customFormat="false" ht="15" hidden="false" customHeight="false" outlineLevel="0" collapsed="false">
      <c r="AZ1165" s="5" t="str">
        <f aca="false">IF($B1165="","",SUMPRODUCT(($AL1165:$AO1165&lt;&gt;"")*(COUNTIF($AP1165:$AX1165,$AL1165:$AO1165)&gt;0)))</f>
        <v/>
      </c>
      <c r="BA1165" s="5" t="str">
        <f aca="false">IF($B1165="","",IF(AZ1165&gt;0,1,0))</f>
        <v/>
      </c>
      <c r="BB1165" s="5" t="str">
        <f aca="false">IF($AP1165="","",IF((($AP1165="Engineering and Technology")+($AP1165="Science and Mathematics")+($AP1165="Computer Science, IT and Allied Fields")+($AP1165="Life Sciences /Medicine and Healthcare")+($AP1165="Paramedical")+($AP1165="Architecture")+($AP1165="Environmental Service")+($AP1165="Agriculture, Food Industry and Forestry"))&gt;0,"Science",IF((($AP1165="Banking and Finance")+($AP1165="Management and Administration")+($AP1165="Marketing")+($AP1165="Sales")+($AP1165="Entrepreneurship")+($AP1165="Hospitality and Tourism"))&gt;0,"Commerce",IF((($AP1165="Social Sciences and Humanities")+($AP1165="Law Studies")+($AP1165="Education and Training")+($AP1165="Art, Design")+($AP1165="Entertainment and Mass Media")+($AP1165="Community and Social Service")+($AP1165="Personal Care and Services")+($AP1165="Government and Public Administration")+($AP1165="Defence/ Protective Service")+($AP1165="Sports"))&gt;0,"Arts / Humanities",""))))</f>
        <v/>
      </c>
      <c r="BC1165" s="5" t="str">
        <f aca="false">IF($AL1165="","",IF((($AL1165="Engineering and Technology")+($AL1165="Science and Mathematics")+($AL1165="Computer Science, IT and Allied Fields")+($AL1165="Life Sciences /Medicine and Healthcare")+($AL1165="Paramedical")+($AL1165="Architecture")+($AL1165="Environmental Service")+($AL1165="Agriculture, Food Industry and Forestry"))&gt;0,"Science",IF((($AL1165="Banking and Finance")+($AL1165="Management and Administration")+($AL1165="Marketing")+($AL1165="Sales")+($AL1165="Entrepreneurship")+($AL1165="Hospitality and Tourism"))&gt;0,"Commerce",IF((($AL1165="Social Sciences and Humanities")+($AL1165="Law Studies")+($AL1165="Education and Training")+($AL1165="Art, Design")+($AL1165="Entertainment and Mass Media")+($AL1165="Community and Social Service")+($AL1165="Personal Care and Services")+($AL1165="Government and Public Administration")+($AL1165="Defence/ Protective Service")+($AL1165="Sports"))&gt;0,"Arts / Humanities",""))))</f>
        <v/>
      </c>
      <c r="BD1165" s="5" t="str">
        <f aca="false">IF($B1165="","",--(F1165&gt;=10)+--(G1165&gt;=10)+--(H1165&gt;=10)+--(I1165&gt;=10)+--(J1165&gt;=10)+--(K1165&gt;=10)+--(L1165&gt;=10)+--(M1165&gt;=10)+--(N1165&gt;=10)+--(O1165&gt;=10))</f>
        <v/>
      </c>
      <c r="BE1165" s="5" t="str">
        <f aca="false">IF($B1165="","",--(AND(F1165&lt;&gt;"",F1165&lt;=8))+--(AND(G1165&lt;&gt;"",G1165&lt;=8))+--(AND(H1165&lt;&gt;"",H1165&lt;=8))+--(AND(I1165&lt;&gt;"",I1165&lt;=8))+--(AND(J1165&lt;&gt;"",J1165&lt;=8))+--(AND(K1165&lt;&gt;"",K1165&lt;=8))+--(AND(L1165&lt;&gt;"",L1165&lt;=8))+--(AND(M1165&lt;&gt;"",M1165&lt;=8))+--(AND(N1165&lt;&gt;"",N1165&lt;=8))+--(AND(O1165&lt;&gt;"",O1165&lt;=8)))</f>
        <v/>
      </c>
    </row>
    <row r="1166" customFormat="false" ht="15" hidden="false" customHeight="false" outlineLevel="0" collapsed="false">
      <c r="AZ1166" s="5" t="str">
        <f aca="false">IF($B1166="","",SUMPRODUCT(($AL1166:$AO1166&lt;&gt;"")*(COUNTIF($AP1166:$AX1166,$AL1166:$AO1166)&gt;0)))</f>
        <v/>
      </c>
      <c r="BA1166" s="5" t="str">
        <f aca="false">IF($B1166="","",IF(AZ1166&gt;0,1,0))</f>
        <v/>
      </c>
      <c r="BB1166" s="5" t="str">
        <f aca="false">IF($AP1166="","",IF((($AP1166="Engineering and Technology")+($AP1166="Science and Mathematics")+($AP1166="Computer Science, IT and Allied Fields")+($AP1166="Life Sciences /Medicine and Healthcare")+($AP1166="Paramedical")+($AP1166="Architecture")+($AP1166="Environmental Service")+($AP1166="Agriculture, Food Industry and Forestry"))&gt;0,"Science",IF((($AP1166="Banking and Finance")+($AP1166="Management and Administration")+($AP1166="Marketing")+($AP1166="Sales")+($AP1166="Entrepreneurship")+($AP1166="Hospitality and Tourism"))&gt;0,"Commerce",IF((($AP1166="Social Sciences and Humanities")+($AP1166="Law Studies")+($AP1166="Education and Training")+($AP1166="Art, Design")+($AP1166="Entertainment and Mass Media")+($AP1166="Community and Social Service")+($AP1166="Personal Care and Services")+($AP1166="Government and Public Administration")+($AP1166="Defence/ Protective Service")+($AP1166="Sports"))&gt;0,"Arts / Humanities",""))))</f>
        <v/>
      </c>
      <c r="BC1166" s="5" t="str">
        <f aca="false">IF($AL1166="","",IF((($AL1166="Engineering and Technology")+($AL1166="Science and Mathematics")+($AL1166="Computer Science, IT and Allied Fields")+($AL1166="Life Sciences /Medicine and Healthcare")+($AL1166="Paramedical")+($AL1166="Architecture")+($AL1166="Environmental Service")+($AL1166="Agriculture, Food Industry and Forestry"))&gt;0,"Science",IF((($AL1166="Banking and Finance")+($AL1166="Management and Administration")+($AL1166="Marketing")+($AL1166="Sales")+($AL1166="Entrepreneurship")+($AL1166="Hospitality and Tourism"))&gt;0,"Commerce",IF((($AL1166="Social Sciences and Humanities")+($AL1166="Law Studies")+($AL1166="Education and Training")+($AL1166="Art, Design")+($AL1166="Entertainment and Mass Media")+($AL1166="Community and Social Service")+($AL1166="Personal Care and Services")+($AL1166="Government and Public Administration")+($AL1166="Defence/ Protective Service")+($AL1166="Sports"))&gt;0,"Arts / Humanities",""))))</f>
        <v/>
      </c>
      <c r="BD1166" s="5" t="str">
        <f aca="false">IF($B1166="","",--(F1166&gt;=10)+--(G1166&gt;=10)+--(H1166&gt;=10)+--(I1166&gt;=10)+--(J1166&gt;=10)+--(K1166&gt;=10)+--(L1166&gt;=10)+--(M1166&gt;=10)+--(N1166&gt;=10)+--(O1166&gt;=10))</f>
        <v/>
      </c>
      <c r="BE1166" s="5" t="str">
        <f aca="false">IF($B1166="","",--(AND(F1166&lt;&gt;"",F1166&lt;=8))+--(AND(G1166&lt;&gt;"",G1166&lt;=8))+--(AND(H1166&lt;&gt;"",H1166&lt;=8))+--(AND(I1166&lt;&gt;"",I1166&lt;=8))+--(AND(J1166&lt;&gt;"",J1166&lt;=8))+--(AND(K1166&lt;&gt;"",K1166&lt;=8))+--(AND(L1166&lt;&gt;"",L1166&lt;=8))+--(AND(M1166&lt;&gt;"",M1166&lt;=8))+--(AND(N1166&lt;&gt;"",N1166&lt;=8))+--(AND(O1166&lt;&gt;"",O1166&lt;=8)))</f>
        <v/>
      </c>
    </row>
    <row r="1167" customFormat="false" ht="15" hidden="false" customHeight="false" outlineLevel="0" collapsed="false">
      <c r="AZ1167" s="5" t="str">
        <f aca="false">IF($B1167="","",SUMPRODUCT(($AL1167:$AO1167&lt;&gt;"")*(COUNTIF($AP1167:$AX1167,$AL1167:$AO1167)&gt;0)))</f>
        <v/>
      </c>
      <c r="BA1167" s="5" t="str">
        <f aca="false">IF($B1167="","",IF(AZ1167&gt;0,1,0))</f>
        <v/>
      </c>
      <c r="BB1167" s="5" t="str">
        <f aca="false">IF($AP1167="","",IF((($AP1167="Engineering and Technology")+($AP1167="Science and Mathematics")+($AP1167="Computer Science, IT and Allied Fields")+($AP1167="Life Sciences /Medicine and Healthcare")+($AP1167="Paramedical")+($AP1167="Architecture")+($AP1167="Environmental Service")+($AP1167="Agriculture, Food Industry and Forestry"))&gt;0,"Science",IF((($AP1167="Banking and Finance")+($AP1167="Management and Administration")+($AP1167="Marketing")+($AP1167="Sales")+($AP1167="Entrepreneurship")+($AP1167="Hospitality and Tourism"))&gt;0,"Commerce",IF((($AP1167="Social Sciences and Humanities")+($AP1167="Law Studies")+($AP1167="Education and Training")+($AP1167="Art, Design")+($AP1167="Entertainment and Mass Media")+($AP1167="Community and Social Service")+($AP1167="Personal Care and Services")+($AP1167="Government and Public Administration")+($AP1167="Defence/ Protective Service")+($AP1167="Sports"))&gt;0,"Arts / Humanities",""))))</f>
        <v/>
      </c>
      <c r="BC1167" s="5" t="str">
        <f aca="false">IF($AL1167="","",IF((($AL1167="Engineering and Technology")+($AL1167="Science and Mathematics")+($AL1167="Computer Science, IT and Allied Fields")+($AL1167="Life Sciences /Medicine and Healthcare")+($AL1167="Paramedical")+($AL1167="Architecture")+($AL1167="Environmental Service")+($AL1167="Agriculture, Food Industry and Forestry"))&gt;0,"Science",IF((($AL1167="Banking and Finance")+($AL1167="Management and Administration")+($AL1167="Marketing")+($AL1167="Sales")+($AL1167="Entrepreneurship")+($AL1167="Hospitality and Tourism"))&gt;0,"Commerce",IF((($AL1167="Social Sciences and Humanities")+($AL1167="Law Studies")+($AL1167="Education and Training")+($AL1167="Art, Design")+($AL1167="Entertainment and Mass Media")+($AL1167="Community and Social Service")+($AL1167="Personal Care and Services")+($AL1167="Government and Public Administration")+($AL1167="Defence/ Protective Service")+($AL1167="Sports"))&gt;0,"Arts / Humanities",""))))</f>
        <v/>
      </c>
      <c r="BD1167" s="5" t="str">
        <f aca="false">IF($B1167="","",--(F1167&gt;=10)+--(G1167&gt;=10)+--(H1167&gt;=10)+--(I1167&gt;=10)+--(J1167&gt;=10)+--(K1167&gt;=10)+--(L1167&gt;=10)+--(M1167&gt;=10)+--(N1167&gt;=10)+--(O1167&gt;=10))</f>
        <v/>
      </c>
      <c r="BE1167" s="5" t="str">
        <f aca="false">IF($B1167="","",--(AND(F1167&lt;&gt;"",F1167&lt;=8))+--(AND(G1167&lt;&gt;"",G1167&lt;=8))+--(AND(H1167&lt;&gt;"",H1167&lt;=8))+--(AND(I1167&lt;&gt;"",I1167&lt;=8))+--(AND(J1167&lt;&gt;"",J1167&lt;=8))+--(AND(K1167&lt;&gt;"",K1167&lt;=8))+--(AND(L1167&lt;&gt;"",L1167&lt;=8))+--(AND(M1167&lt;&gt;"",M1167&lt;=8))+--(AND(N1167&lt;&gt;"",N1167&lt;=8))+--(AND(O1167&lt;&gt;"",O1167&lt;=8)))</f>
        <v/>
      </c>
    </row>
    <row r="1168" customFormat="false" ht="15" hidden="false" customHeight="false" outlineLevel="0" collapsed="false">
      <c r="AZ1168" s="5" t="str">
        <f aca="false">IF($B1168="","",SUMPRODUCT(($AL1168:$AO1168&lt;&gt;"")*(COUNTIF($AP1168:$AX1168,$AL1168:$AO1168)&gt;0)))</f>
        <v/>
      </c>
      <c r="BA1168" s="5" t="str">
        <f aca="false">IF($B1168="","",IF(AZ1168&gt;0,1,0))</f>
        <v/>
      </c>
      <c r="BB1168" s="5" t="str">
        <f aca="false">IF($AP1168="","",IF((($AP1168="Engineering and Technology")+($AP1168="Science and Mathematics")+($AP1168="Computer Science, IT and Allied Fields")+($AP1168="Life Sciences /Medicine and Healthcare")+($AP1168="Paramedical")+($AP1168="Architecture")+($AP1168="Environmental Service")+($AP1168="Agriculture, Food Industry and Forestry"))&gt;0,"Science",IF((($AP1168="Banking and Finance")+($AP1168="Management and Administration")+($AP1168="Marketing")+($AP1168="Sales")+($AP1168="Entrepreneurship")+($AP1168="Hospitality and Tourism"))&gt;0,"Commerce",IF((($AP1168="Social Sciences and Humanities")+($AP1168="Law Studies")+($AP1168="Education and Training")+($AP1168="Art, Design")+($AP1168="Entertainment and Mass Media")+($AP1168="Community and Social Service")+($AP1168="Personal Care and Services")+($AP1168="Government and Public Administration")+($AP1168="Defence/ Protective Service")+($AP1168="Sports"))&gt;0,"Arts / Humanities",""))))</f>
        <v/>
      </c>
      <c r="BC1168" s="5" t="str">
        <f aca="false">IF($AL1168="","",IF((($AL1168="Engineering and Technology")+($AL1168="Science and Mathematics")+($AL1168="Computer Science, IT and Allied Fields")+($AL1168="Life Sciences /Medicine and Healthcare")+($AL1168="Paramedical")+($AL1168="Architecture")+($AL1168="Environmental Service")+($AL1168="Agriculture, Food Industry and Forestry"))&gt;0,"Science",IF((($AL1168="Banking and Finance")+($AL1168="Management and Administration")+($AL1168="Marketing")+($AL1168="Sales")+($AL1168="Entrepreneurship")+($AL1168="Hospitality and Tourism"))&gt;0,"Commerce",IF((($AL1168="Social Sciences and Humanities")+($AL1168="Law Studies")+($AL1168="Education and Training")+($AL1168="Art, Design")+($AL1168="Entertainment and Mass Media")+($AL1168="Community and Social Service")+($AL1168="Personal Care and Services")+($AL1168="Government and Public Administration")+($AL1168="Defence/ Protective Service")+($AL1168="Sports"))&gt;0,"Arts / Humanities",""))))</f>
        <v/>
      </c>
      <c r="BD1168" s="5" t="str">
        <f aca="false">IF($B1168="","",--(F1168&gt;=10)+--(G1168&gt;=10)+--(H1168&gt;=10)+--(I1168&gt;=10)+--(J1168&gt;=10)+--(K1168&gt;=10)+--(L1168&gt;=10)+--(M1168&gt;=10)+--(N1168&gt;=10)+--(O1168&gt;=10))</f>
        <v/>
      </c>
      <c r="BE1168" s="5" t="str">
        <f aca="false">IF($B1168="","",--(AND(F1168&lt;&gt;"",F1168&lt;=8))+--(AND(G1168&lt;&gt;"",G1168&lt;=8))+--(AND(H1168&lt;&gt;"",H1168&lt;=8))+--(AND(I1168&lt;&gt;"",I1168&lt;=8))+--(AND(J1168&lt;&gt;"",J1168&lt;=8))+--(AND(K1168&lt;&gt;"",K1168&lt;=8))+--(AND(L1168&lt;&gt;"",L1168&lt;=8))+--(AND(M1168&lt;&gt;"",M1168&lt;=8))+--(AND(N1168&lt;&gt;"",N1168&lt;=8))+--(AND(O1168&lt;&gt;"",O1168&lt;=8)))</f>
        <v/>
      </c>
    </row>
    <row r="1169" customFormat="false" ht="15" hidden="false" customHeight="false" outlineLevel="0" collapsed="false">
      <c r="AZ1169" s="5" t="str">
        <f aca="false">IF($B1169="","",SUMPRODUCT(($AL1169:$AO1169&lt;&gt;"")*(COUNTIF($AP1169:$AX1169,$AL1169:$AO1169)&gt;0)))</f>
        <v/>
      </c>
      <c r="BA1169" s="5" t="str">
        <f aca="false">IF($B1169="","",IF(AZ1169&gt;0,1,0))</f>
        <v/>
      </c>
      <c r="BB1169" s="5" t="str">
        <f aca="false">IF($AP1169="","",IF((($AP1169="Engineering and Technology")+($AP1169="Science and Mathematics")+($AP1169="Computer Science, IT and Allied Fields")+($AP1169="Life Sciences /Medicine and Healthcare")+($AP1169="Paramedical")+($AP1169="Architecture")+($AP1169="Environmental Service")+($AP1169="Agriculture, Food Industry and Forestry"))&gt;0,"Science",IF((($AP1169="Banking and Finance")+($AP1169="Management and Administration")+($AP1169="Marketing")+($AP1169="Sales")+($AP1169="Entrepreneurship")+($AP1169="Hospitality and Tourism"))&gt;0,"Commerce",IF((($AP1169="Social Sciences and Humanities")+($AP1169="Law Studies")+($AP1169="Education and Training")+($AP1169="Art, Design")+($AP1169="Entertainment and Mass Media")+($AP1169="Community and Social Service")+($AP1169="Personal Care and Services")+($AP1169="Government and Public Administration")+($AP1169="Defence/ Protective Service")+($AP1169="Sports"))&gt;0,"Arts / Humanities",""))))</f>
        <v/>
      </c>
      <c r="BC1169" s="5" t="str">
        <f aca="false">IF($AL1169="","",IF((($AL1169="Engineering and Technology")+($AL1169="Science and Mathematics")+($AL1169="Computer Science, IT and Allied Fields")+($AL1169="Life Sciences /Medicine and Healthcare")+($AL1169="Paramedical")+($AL1169="Architecture")+($AL1169="Environmental Service")+($AL1169="Agriculture, Food Industry and Forestry"))&gt;0,"Science",IF((($AL1169="Banking and Finance")+($AL1169="Management and Administration")+($AL1169="Marketing")+($AL1169="Sales")+($AL1169="Entrepreneurship")+($AL1169="Hospitality and Tourism"))&gt;0,"Commerce",IF((($AL1169="Social Sciences and Humanities")+($AL1169="Law Studies")+($AL1169="Education and Training")+($AL1169="Art, Design")+($AL1169="Entertainment and Mass Media")+($AL1169="Community and Social Service")+($AL1169="Personal Care and Services")+($AL1169="Government and Public Administration")+($AL1169="Defence/ Protective Service")+($AL1169="Sports"))&gt;0,"Arts / Humanities",""))))</f>
        <v/>
      </c>
      <c r="BD1169" s="5" t="str">
        <f aca="false">IF($B1169="","",--(F1169&gt;=10)+--(G1169&gt;=10)+--(H1169&gt;=10)+--(I1169&gt;=10)+--(J1169&gt;=10)+--(K1169&gt;=10)+--(L1169&gt;=10)+--(M1169&gt;=10)+--(N1169&gt;=10)+--(O1169&gt;=10))</f>
        <v/>
      </c>
      <c r="BE1169" s="5" t="str">
        <f aca="false">IF($B1169="","",--(AND(F1169&lt;&gt;"",F1169&lt;=8))+--(AND(G1169&lt;&gt;"",G1169&lt;=8))+--(AND(H1169&lt;&gt;"",H1169&lt;=8))+--(AND(I1169&lt;&gt;"",I1169&lt;=8))+--(AND(J1169&lt;&gt;"",J1169&lt;=8))+--(AND(K1169&lt;&gt;"",K1169&lt;=8))+--(AND(L1169&lt;&gt;"",L1169&lt;=8))+--(AND(M1169&lt;&gt;"",M1169&lt;=8))+--(AND(N1169&lt;&gt;"",N1169&lt;=8))+--(AND(O1169&lt;&gt;"",O1169&lt;=8)))</f>
        <v/>
      </c>
    </row>
    <row r="1170" customFormat="false" ht="15" hidden="false" customHeight="false" outlineLevel="0" collapsed="false">
      <c r="AZ1170" s="5" t="str">
        <f aca="false">IF($B1170="","",SUMPRODUCT(($AL1170:$AO1170&lt;&gt;"")*(COUNTIF($AP1170:$AX1170,$AL1170:$AO1170)&gt;0)))</f>
        <v/>
      </c>
      <c r="BA1170" s="5" t="str">
        <f aca="false">IF($B1170="","",IF(AZ1170&gt;0,1,0))</f>
        <v/>
      </c>
      <c r="BB1170" s="5" t="str">
        <f aca="false">IF($AP1170="","",IF((($AP1170="Engineering and Technology")+($AP1170="Science and Mathematics")+($AP1170="Computer Science, IT and Allied Fields")+($AP1170="Life Sciences /Medicine and Healthcare")+($AP1170="Paramedical")+($AP1170="Architecture")+($AP1170="Environmental Service")+($AP1170="Agriculture, Food Industry and Forestry"))&gt;0,"Science",IF((($AP1170="Banking and Finance")+($AP1170="Management and Administration")+($AP1170="Marketing")+($AP1170="Sales")+($AP1170="Entrepreneurship")+($AP1170="Hospitality and Tourism"))&gt;0,"Commerce",IF((($AP1170="Social Sciences and Humanities")+($AP1170="Law Studies")+($AP1170="Education and Training")+($AP1170="Art, Design")+($AP1170="Entertainment and Mass Media")+($AP1170="Community and Social Service")+($AP1170="Personal Care and Services")+($AP1170="Government and Public Administration")+($AP1170="Defence/ Protective Service")+($AP1170="Sports"))&gt;0,"Arts / Humanities",""))))</f>
        <v/>
      </c>
      <c r="BC1170" s="5" t="str">
        <f aca="false">IF($AL1170="","",IF((($AL1170="Engineering and Technology")+($AL1170="Science and Mathematics")+($AL1170="Computer Science, IT and Allied Fields")+($AL1170="Life Sciences /Medicine and Healthcare")+($AL1170="Paramedical")+($AL1170="Architecture")+($AL1170="Environmental Service")+($AL1170="Agriculture, Food Industry and Forestry"))&gt;0,"Science",IF((($AL1170="Banking and Finance")+($AL1170="Management and Administration")+($AL1170="Marketing")+($AL1170="Sales")+($AL1170="Entrepreneurship")+($AL1170="Hospitality and Tourism"))&gt;0,"Commerce",IF((($AL1170="Social Sciences and Humanities")+($AL1170="Law Studies")+($AL1170="Education and Training")+($AL1170="Art, Design")+($AL1170="Entertainment and Mass Media")+($AL1170="Community and Social Service")+($AL1170="Personal Care and Services")+($AL1170="Government and Public Administration")+($AL1170="Defence/ Protective Service")+($AL1170="Sports"))&gt;0,"Arts / Humanities",""))))</f>
        <v/>
      </c>
      <c r="BD1170" s="5" t="str">
        <f aca="false">IF($B1170="","",--(F1170&gt;=10)+--(G1170&gt;=10)+--(H1170&gt;=10)+--(I1170&gt;=10)+--(J1170&gt;=10)+--(K1170&gt;=10)+--(L1170&gt;=10)+--(M1170&gt;=10)+--(N1170&gt;=10)+--(O1170&gt;=10))</f>
        <v/>
      </c>
      <c r="BE1170" s="5" t="str">
        <f aca="false">IF($B1170="","",--(AND(F1170&lt;&gt;"",F1170&lt;=8))+--(AND(G1170&lt;&gt;"",G1170&lt;=8))+--(AND(H1170&lt;&gt;"",H1170&lt;=8))+--(AND(I1170&lt;&gt;"",I1170&lt;=8))+--(AND(J1170&lt;&gt;"",J1170&lt;=8))+--(AND(K1170&lt;&gt;"",K1170&lt;=8))+--(AND(L1170&lt;&gt;"",L1170&lt;=8))+--(AND(M1170&lt;&gt;"",M1170&lt;=8))+--(AND(N1170&lt;&gt;"",N1170&lt;=8))+--(AND(O1170&lt;&gt;"",O1170&lt;=8)))</f>
        <v/>
      </c>
    </row>
    <row r="1171" customFormat="false" ht="15" hidden="false" customHeight="false" outlineLevel="0" collapsed="false">
      <c r="AZ1171" s="5" t="str">
        <f aca="false">IF($B1171="","",SUMPRODUCT(($AL1171:$AO1171&lt;&gt;"")*(COUNTIF($AP1171:$AX1171,$AL1171:$AO1171)&gt;0)))</f>
        <v/>
      </c>
      <c r="BA1171" s="5" t="str">
        <f aca="false">IF($B1171="","",IF(AZ1171&gt;0,1,0))</f>
        <v/>
      </c>
      <c r="BB1171" s="5" t="str">
        <f aca="false">IF($AP1171="","",IF((($AP1171="Engineering and Technology")+($AP1171="Science and Mathematics")+($AP1171="Computer Science, IT and Allied Fields")+($AP1171="Life Sciences /Medicine and Healthcare")+($AP1171="Paramedical")+($AP1171="Architecture")+($AP1171="Environmental Service")+($AP1171="Agriculture, Food Industry and Forestry"))&gt;0,"Science",IF((($AP1171="Banking and Finance")+($AP1171="Management and Administration")+($AP1171="Marketing")+($AP1171="Sales")+($AP1171="Entrepreneurship")+($AP1171="Hospitality and Tourism"))&gt;0,"Commerce",IF((($AP1171="Social Sciences and Humanities")+($AP1171="Law Studies")+($AP1171="Education and Training")+($AP1171="Art, Design")+($AP1171="Entertainment and Mass Media")+($AP1171="Community and Social Service")+($AP1171="Personal Care and Services")+($AP1171="Government and Public Administration")+($AP1171="Defence/ Protective Service")+($AP1171="Sports"))&gt;0,"Arts / Humanities",""))))</f>
        <v/>
      </c>
      <c r="BC1171" s="5" t="str">
        <f aca="false">IF($AL1171="","",IF((($AL1171="Engineering and Technology")+($AL1171="Science and Mathematics")+($AL1171="Computer Science, IT and Allied Fields")+($AL1171="Life Sciences /Medicine and Healthcare")+($AL1171="Paramedical")+($AL1171="Architecture")+($AL1171="Environmental Service")+($AL1171="Agriculture, Food Industry and Forestry"))&gt;0,"Science",IF((($AL1171="Banking and Finance")+($AL1171="Management and Administration")+($AL1171="Marketing")+($AL1171="Sales")+($AL1171="Entrepreneurship")+($AL1171="Hospitality and Tourism"))&gt;0,"Commerce",IF((($AL1171="Social Sciences and Humanities")+($AL1171="Law Studies")+($AL1171="Education and Training")+($AL1171="Art, Design")+($AL1171="Entertainment and Mass Media")+($AL1171="Community and Social Service")+($AL1171="Personal Care and Services")+($AL1171="Government and Public Administration")+($AL1171="Defence/ Protective Service")+($AL1171="Sports"))&gt;0,"Arts / Humanities",""))))</f>
        <v/>
      </c>
      <c r="BD1171" s="5" t="str">
        <f aca="false">IF($B1171="","",--(F1171&gt;=10)+--(G1171&gt;=10)+--(H1171&gt;=10)+--(I1171&gt;=10)+--(J1171&gt;=10)+--(K1171&gt;=10)+--(L1171&gt;=10)+--(M1171&gt;=10)+--(N1171&gt;=10)+--(O1171&gt;=10))</f>
        <v/>
      </c>
      <c r="BE1171" s="5" t="str">
        <f aca="false">IF($B1171="","",--(AND(F1171&lt;&gt;"",F1171&lt;=8))+--(AND(G1171&lt;&gt;"",G1171&lt;=8))+--(AND(H1171&lt;&gt;"",H1171&lt;=8))+--(AND(I1171&lt;&gt;"",I1171&lt;=8))+--(AND(J1171&lt;&gt;"",J1171&lt;=8))+--(AND(K1171&lt;&gt;"",K1171&lt;=8))+--(AND(L1171&lt;&gt;"",L1171&lt;=8))+--(AND(M1171&lt;&gt;"",M1171&lt;=8))+--(AND(N1171&lt;&gt;"",N1171&lt;=8))+--(AND(O1171&lt;&gt;"",O1171&lt;=8)))</f>
        <v/>
      </c>
    </row>
    <row r="1172" customFormat="false" ht="15" hidden="false" customHeight="false" outlineLevel="0" collapsed="false">
      <c r="AZ1172" s="5" t="str">
        <f aca="false">IF($B1172="","",SUMPRODUCT(($AL1172:$AO1172&lt;&gt;"")*(COUNTIF($AP1172:$AX1172,$AL1172:$AO1172)&gt;0)))</f>
        <v/>
      </c>
      <c r="BA1172" s="5" t="str">
        <f aca="false">IF($B1172="","",IF(AZ1172&gt;0,1,0))</f>
        <v/>
      </c>
      <c r="BB1172" s="5" t="str">
        <f aca="false">IF($AP1172="","",IF((($AP1172="Engineering and Technology")+($AP1172="Science and Mathematics")+($AP1172="Computer Science, IT and Allied Fields")+($AP1172="Life Sciences /Medicine and Healthcare")+($AP1172="Paramedical")+($AP1172="Architecture")+($AP1172="Environmental Service")+($AP1172="Agriculture, Food Industry and Forestry"))&gt;0,"Science",IF((($AP1172="Banking and Finance")+($AP1172="Management and Administration")+($AP1172="Marketing")+($AP1172="Sales")+($AP1172="Entrepreneurship")+($AP1172="Hospitality and Tourism"))&gt;0,"Commerce",IF((($AP1172="Social Sciences and Humanities")+($AP1172="Law Studies")+($AP1172="Education and Training")+($AP1172="Art, Design")+($AP1172="Entertainment and Mass Media")+($AP1172="Community and Social Service")+($AP1172="Personal Care and Services")+($AP1172="Government and Public Administration")+($AP1172="Defence/ Protective Service")+($AP1172="Sports"))&gt;0,"Arts / Humanities",""))))</f>
        <v/>
      </c>
      <c r="BC1172" s="5" t="str">
        <f aca="false">IF($AL1172="","",IF((($AL1172="Engineering and Technology")+($AL1172="Science and Mathematics")+($AL1172="Computer Science, IT and Allied Fields")+($AL1172="Life Sciences /Medicine and Healthcare")+($AL1172="Paramedical")+($AL1172="Architecture")+($AL1172="Environmental Service")+($AL1172="Agriculture, Food Industry and Forestry"))&gt;0,"Science",IF((($AL1172="Banking and Finance")+($AL1172="Management and Administration")+($AL1172="Marketing")+($AL1172="Sales")+($AL1172="Entrepreneurship")+($AL1172="Hospitality and Tourism"))&gt;0,"Commerce",IF((($AL1172="Social Sciences and Humanities")+($AL1172="Law Studies")+($AL1172="Education and Training")+($AL1172="Art, Design")+($AL1172="Entertainment and Mass Media")+($AL1172="Community and Social Service")+($AL1172="Personal Care and Services")+($AL1172="Government and Public Administration")+($AL1172="Defence/ Protective Service")+($AL1172="Sports"))&gt;0,"Arts / Humanities",""))))</f>
        <v/>
      </c>
      <c r="BD1172" s="5" t="str">
        <f aca="false">IF($B1172="","",--(F1172&gt;=10)+--(G1172&gt;=10)+--(H1172&gt;=10)+--(I1172&gt;=10)+--(J1172&gt;=10)+--(K1172&gt;=10)+--(L1172&gt;=10)+--(M1172&gt;=10)+--(N1172&gt;=10)+--(O1172&gt;=10))</f>
        <v/>
      </c>
      <c r="BE1172" s="5" t="str">
        <f aca="false">IF($B1172="","",--(AND(F1172&lt;&gt;"",F1172&lt;=8))+--(AND(G1172&lt;&gt;"",G1172&lt;=8))+--(AND(H1172&lt;&gt;"",H1172&lt;=8))+--(AND(I1172&lt;&gt;"",I1172&lt;=8))+--(AND(J1172&lt;&gt;"",J1172&lt;=8))+--(AND(K1172&lt;&gt;"",K1172&lt;=8))+--(AND(L1172&lt;&gt;"",L1172&lt;=8))+--(AND(M1172&lt;&gt;"",M1172&lt;=8))+--(AND(N1172&lt;&gt;"",N1172&lt;=8))+--(AND(O1172&lt;&gt;"",O1172&lt;=8)))</f>
        <v/>
      </c>
    </row>
    <row r="1173" customFormat="false" ht="15" hidden="false" customHeight="false" outlineLevel="0" collapsed="false">
      <c r="AZ1173" s="5" t="str">
        <f aca="false">IF($B1173="","",SUMPRODUCT(($AL1173:$AO1173&lt;&gt;"")*(COUNTIF($AP1173:$AX1173,$AL1173:$AO1173)&gt;0)))</f>
        <v/>
      </c>
      <c r="BA1173" s="5" t="str">
        <f aca="false">IF($B1173="","",IF(AZ1173&gt;0,1,0))</f>
        <v/>
      </c>
      <c r="BB1173" s="5" t="str">
        <f aca="false">IF($AP1173="","",IF((($AP1173="Engineering and Technology")+($AP1173="Science and Mathematics")+($AP1173="Computer Science, IT and Allied Fields")+($AP1173="Life Sciences /Medicine and Healthcare")+($AP1173="Paramedical")+($AP1173="Architecture")+($AP1173="Environmental Service")+($AP1173="Agriculture, Food Industry and Forestry"))&gt;0,"Science",IF((($AP1173="Banking and Finance")+($AP1173="Management and Administration")+($AP1173="Marketing")+($AP1173="Sales")+($AP1173="Entrepreneurship")+($AP1173="Hospitality and Tourism"))&gt;0,"Commerce",IF((($AP1173="Social Sciences and Humanities")+($AP1173="Law Studies")+($AP1173="Education and Training")+($AP1173="Art, Design")+($AP1173="Entertainment and Mass Media")+($AP1173="Community and Social Service")+($AP1173="Personal Care and Services")+($AP1173="Government and Public Administration")+($AP1173="Defence/ Protective Service")+($AP1173="Sports"))&gt;0,"Arts / Humanities",""))))</f>
        <v/>
      </c>
      <c r="BC1173" s="5" t="str">
        <f aca="false">IF($AL1173="","",IF((($AL1173="Engineering and Technology")+($AL1173="Science and Mathematics")+($AL1173="Computer Science, IT and Allied Fields")+($AL1173="Life Sciences /Medicine and Healthcare")+($AL1173="Paramedical")+($AL1173="Architecture")+($AL1173="Environmental Service")+($AL1173="Agriculture, Food Industry and Forestry"))&gt;0,"Science",IF((($AL1173="Banking and Finance")+($AL1173="Management and Administration")+($AL1173="Marketing")+($AL1173="Sales")+($AL1173="Entrepreneurship")+($AL1173="Hospitality and Tourism"))&gt;0,"Commerce",IF((($AL1173="Social Sciences and Humanities")+($AL1173="Law Studies")+($AL1173="Education and Training")+($AL1173="Art, Design")+($AL1173="Entertainment and Mass Media")+($AL1173="Community and Social Service")+($AL1173="Personal Care and Services")+($AL1173="Government and Public Administration")+($AL1173="Defence/ Protective Service")+($AL1173="Sports"))&gt;0,"Arts / Humanities",""))))</f>
        <v/>
      </c>
      <c r="BD1173" s="5" t="str">
        <f aca="false">IF($B1173="","",--(F1173&gt;=10)+--(G1173&gt;=10)+--(H1173&gt;=10)+--(I1173&gt;=10)+--(J1173&gt;=10)+--(K1173&gt;=10)+--(L1173&gt;=10)+--(M1173&gt;=10)+--(N1173&gt;=10)+--(O1173&gt;=10))</f>
        <v/>
      </c>
      <c r="BE1173" s="5" t="str">
        <f aca="false">IF($B1173="","",--(AND(F1173&lt;&gt;"",F1173&lt;=8))+--(AND(G1173&lt;&gt;"",G1173&lt;=8))+--(AND(H1173&lt;&gt;"",H1173&lt;=8))+--(AND(I1173&lt;&gt;"",I1173&lt;=8))+--(AND(J1173&lt;&gt;"",J1173&lt;=8))+--(AND(K1173&lt;&gt;"",K1173&lt;=8))+--(AND(L1173&lt;&gt;"",L1173&lt;=8))+--(AND(M1173&lt;&gt;"",M1173&lt;=8))+--(AND(N1173&lt;&gt;"",N1173&lt;=8))+--(AND(O1173&lt;&gt;"",O1173&lt;=8)))</f>
        <v/>
      </c>
    </row>
    <row r="1174" customFormat="false" ht="15" hidden="false" customHeight="false" outlineLevel="0" collapsed="false">
      <c r="AZ1174" s="5" t="str">
        <f aca="false">IF($B1174="","",SUMPRODUCT(($AL1174:$AO1174&lt;&gt;"")*(COUNTIF($AP1174:$AX1174,$AL1174:$AO1174)&gt;0)))</f>
        <v/>
      </c>
      <c r="BA1174" s="5" t="str">
        <f aca="false">IF($B1174="","",IF(AZ1174&gt;0,1,0))</f>
        <v/>
      </c>
      <c r="BB1174" s="5" t="str">
        <f aca="false">IF($AP1174="","",IF((($AP1174="Engineering and Technology")+($AP1174="Science and Mathematics")+($AP1174="Computer Science, IT and Allied Fields")+($AP1174="Life Sciences /Medicine and Healthcare")+($AP1174="Paramedical")+($AP1174="Architecture")+($AP1174="Environmental Service")+($AP1174="Agriculture, Food Industry and Forestry"))&gt;0,"Science",IF((($AP1174="Banking and Finance")+($AP1174="Management and Administration")+($AP1174="Marketing")+($AP1174="Sales")+($AP1174="Entrepreneurship")+($AP1174="Hospitality and Tourism"))&gt;0,"Commerce",IF((($AP1174="Social Sciences and Humanities")+($AP1174="Law Studies")+($AP1174="Education and Training")+($AP1174="Art, Design")+($AP1174="Entertainment and Mass Media")+($AP1174="Community and Social Service")+($AP1174="Personal Care and Services")+($AP1174="Government and Public Administration")+($AP1174="Defence/ Protective Service")+($AP1174="Sports"))&gt;0,"Arts / Humanities",""))))</f>
        <v/>
      </c>
      <c r="BC1174" s="5" t="str">
        <f aca="false">IF($AL1174="","",IF((($AL1174="Engineering and Technology")+($AL1174="Science and Mathematics")+($AL1174="Computer Science, IT and Allied Fields")+($AL1174="Life Sciences /Medicine and Healthcare")+($AL1174="Paramedical")+($AL1174="Architecture")+($AL1174="Environmental Service")+($AL1174="Agriculture, Food Industry and Forestry"))&gt;0,"Science",IF((($AL1174="Banking and Finance")+($AL1174="Management and Administration")+($AL1174="Marketing")+($AL1174="Sales")+($AL1174="Entrepreneurship")+($AL1174="Hospitality and Tourism"))&gt;0,"Commerce",IF((($AL1174="Social Sciences and Humanities")+($AL1174="Law Studies")+($AL1174="Education and Training")+($AL1174="Art, Design")+($AL1174="Entertainment and Mass Media")+($AL1174="Community and Social Service")+($AL1174="Personal Care and Services")+($AL1174="Government and Public Administration")+($AL1174="Defence/ Protective Service")+($AL1174="Sports"))&gt;0,"Arts / Humanities",""))))</f>
        <v/>
      </c>
      <c r="BD1174" s="5" t="str">
        <f aca="false">IF($B1174="","",--(F1174&gt;=10)+--(G1174&gt;=10)+--(H1174&gt;=10)+--(I1174&gt;=10)+--(J1174&gt;=10)+--(K1174&gt;=10)+--(L1174&gt;=10)+--(M1174&gt;=10)+--(N1174&gt;=10)+--(O1174&gt;=10))</f>
        <v/>
      </c>
      <c r="BE1174" s="5" t="str">
        <f aca="false">IF($B1174="","",--(AND(F1174&lt;&gt;"",F1174&lt;=8))+--(AND(G1174&lt;&gt;"",G1174&lt;=8))+--(AND(H1174&lt;&gt;"",H1174&lt;=8))+--(AND(I1174&lt;&gt;"",I1174&lt;=8))+--(AND(J1174&lt;&gt;"",J1174&lt;=8))+--(AND(K1174&lt;&gt;"",K1174&lt;=8))+--(AND(L1174&lt;&gt;"",L1174&lt;=8))+--(AND(M1174&lt;&gt;"",M1174&lt;=8))+--(AND(N1174&lt;&gt;"",N1174&lt;=8))+--(AND(O1174&lt;&gt;"",O1174&lt;=8)))</f>
        <v/>
      </c>
    </row>
    <row r="1175" customFormat="false" ht="15" hidden="false" customHeight="false" outlineLevel="0" collapsed="false">
      <c r="AZ1175" s="5" t="str">
        <f aca="false">IF($B1175="","",SUMPRODUCT(($AL1175:$AO1175&lt;&gt;"")*(COUNTIF($AP1175:$AX1175,$AL1175:$AO1175)&gt;0)))</f>
        <v/>
      </c>
      <c r="BA1175" s="5" t="str">
        <f aca="false">IF($B1175="","",IF(AZ1175&gt;0,1,0))</f>
        <v/>
      </c>
      <c r="BB1175" s="5" t="str">
        <f aca="false">IF($AP1175="","",IF((($AP1175="Engineering and Technology")+($AP1175="Science and Mathematics")+($AP1175="Computer Science, IT and Allied Fields")+($AP1175="Life Sciences /Medicine and Healthcare")+($AP1175="Paramedical")+($AP1175="Architecture")+($AP1175="Environmental Service")+($AP1175="Agriculture, Food Industry and Forestry"))&gt;0,"Science",IF((($AP1175="Banking and Finance")+($AP1175="Management and Administration")+($AP1175="Marketing")+($AP1175="Sales")+($AP1175="Entrepreneurship")+($AP1175="Hospitality and Tourism"))&gt;0,"Commerce",IF((($AP1175="Social Sciences and Humanities")+($AP1175="Law Studies")+($AP1175="Education and Training")+($AP1175="Art, Design")+($AP1175="Entertainment and Mass Media")+($AP1175="Community and Social Service")+($AP1175="Personal Care and Services")+($AP1175="Government and Public Administration")+($AP1175="Defence/ Protective Service")+($AP1175="Sports"))&gt;0,"Arts / Humanities",""))))</f>
        <v/>
      </c>
      <c r="BC1175" s="5" t="str">
        <f aca="false">IF($AL1175="","",IF((($AL1175="Engineering and Technology")+($AL1175="Science and Mathematics")+($AL1175="Computer Science, IT and Allied Fields")+($AL1175="Life Sciences /Medicine and Healthcare")+($AL1175="Paramedical")+($AL1175="Architecture")+($AL1175="Environmental Service")+($AL1175="Agriculture, Food Industry and Forestry"))&gt;0,"Science",IF((($AL1175="Banking and Finance")+($AL1175="Management and Administration")+($AL1175="Marketing")+($AL1175="Sales")+($AL1175="Entrepreneurship")+($AL1175="Hospitality and Tourism"))&gt;0,"Commerce",IF((($AL1175="Social Sciences and Humanities")+($AL1175="Law Studies")+($AL1175="Education and Training")+($AL1175="Art, Design")+($AL1175="Entertainment and Mass Media")+($AL1175="Community and Social Service")+($AL1175="Personal Care and Services")+($AL1175="Government and Public Administration")+($AL1175="Defence/ Protective Service")+($AL1175="Sports"))&gt;0,"Arts / Humanities",""))))</f>
        <v/>
      </c>
      <c r="BD1175" s="5" t="str">
        <f aca="false">IF($B1175="","",--(F1175&gt;=10)+--(G1175&gt;=10)+--(H1175&gt;=10)+--(I1175&gt;=10)+--(J1175&gt;=10)+--(K1175&gt;=10)+--(L1175&gt;=10)+--(M1175&gt;=10)+--(N1175&gt;=10)+--(O1175&gt;=10))</f>
        <v/>
      </c>
      <c r="BE1175" s="5" t="str">
        <f aca="false">IF($B1175="","",--(AND(F1175&lt;&gt;"",F1175&lt;=8))+--(AND(G1175&lt;&gt;"",G1175&lt;=8))+--(AND(H1175&lt;&gt;"",H1175&lt;=8))+--(AND(I1175&lt;&gt;"",I1175&lt;=8))+--(AND(J1175&lt;&gt;"",J1175&lt;=8))+--(AND(K1175&lt;&gt;"",K1175&lt;=8))+--(AND(L1175&lt;&gt;"",L1175&lt;=8))+--(AND(M1175&lt;&gt;"",M1175&lt;=8))+--(AND(N1175&lt;&gt;"",N1175&lt;=8))+--(AND(O1175&lt;&gt;"",O1175&lt;=8)))</f>
        <v/>
      </c>
    </row>
    <row r="1176" customFormat="false" ht="15" hidden="false" customHeight="false" outlineLevel="0" collapsed="false">
      <c r="AZ1176" s="5" t="str">
        <f aca="false">IF($B1176="","",SUMPRODUCT(($AL1176:$AO1176&lt;&gt;"")*(COUNTIF($AP1176:$AX1176,$AL1176:$AO1176)&gt;0)))</f>
        <v/>
      </c>
      <c r="BA1176" s="5" t="str">
        <f aca="false">IF($B1176="","",IF(AZ1176&gt;0,1,0))</f>
        <v/>
      </c>
      <c r="BB1176" s="5" t="str">
        <f aca="false">IF($AP1176="","",IF((($AP1176="Engineering and Technology")+($AP1176="Science and Mathematics")+($AP1176="Computer Science, IT and Allied Fields")+($AP1176="Life Sciences /Medicine and Healthcare")+($AP1176="Paramedical")+($AP1176="Architecture")+($AP1176="Environmental Service")+($AP1176="Agriculture, Food Industry and Forestry"))&gt;0,"Science",IF((($AP1176="Banking and Finance")+($AP1176="Management and Administration")+($AP1176="Marketing")+($AP1176="Sales")+($AP1176="Entrepreneurship")+($AP1176="Hospitality and Tourism"))&gt;0,"Commerce",IF((($AP1176="Social Sciences and Humanities")+($AP1176="Law Studies")+($AP1176="Education and Training")+($AP1176="Art, Design")+($AP1176="Entertainment and Mass Media")+($AP1176="Community and Social Service")+($AP1176="Personal Care and Services")+($AP1176="Government and Public Administration")+($AP1176="Defence/ Protective Service")+($AP1176="Sports"))&gt;0,"Arts / Humanities",""))))</f>
        <v/>
      </c>
      <c r="BC1176" s="5" t="str">
        <f aca="false">IF($AL1176="","",IF((($AL1176="Engineering and Technology")+($AL1176="Science and Mathematics")+($AL1176="Computer Science, IT and Allied Fields")+($AL1176="Life Sciences /Medicine and Healthcare")+($AL1176="Paramedical")+($AL1176="Architecture")+($AL1176="Environmental Service")+($AL1176="Agriculture, Food Industry and Forestry"))&gt;0,"Science",IF((($AL1176="Banking and Finance")+($AL1176="Management and Administration")+($AL1176="Marketing")+($AL1176="Sales")+($AL1176="Entrepreneurship")+($AL1176="Hospitality and Tourism"))&gt;0,"Commerce",IF((($AL1176="Social Sciences and Humanities")+($AL1176="Law Studies")+($AL1176="Education and Training")+($AL1176="Art, Design")+($AL1176="Entertainment and Mass Media")+($AL1176="Community and Social Service")+($AL1176="Personal Care and Services")+($AL1176="Government and Public Administration")+($AL1176="Defence/ Protective Service")+($AL1176="Sports"))&gt;0,"Arts / Humanities",""))))</f>
        <v/>
      </c>
      <c r="BD1176" s="5" t="str">
        <f aca="false">IF($B1176="","",--(F1176&gt;=10)+--(G1176&gt;=10)+--(H1176&gt;=10)+--(I1176&gt;=10)+--(J1176&gt;=10)+--(K1176&gt;=10)+--(L1176&gt;=10)+--(M1176&gt;=10)+--(N1176&gt;=10)+--(O1176&gt;=10))</f>
        <v/>
      </c>
      <c r="BE1176" s="5" t="str">
        <f aca="false">IF($B1176="","",--(AND(F1176&lt;&gt;"",F1176&lt;=8))+--(AND(G1176&lt;&gt;"",G1176&lt;=8))+--(AND(H1176&lt;&gt;"",H1176&lt;=8))+--(AND(I1176&lt;&gt;"",I1176&lt;=8))+--(AND(J1176&lt;&gt;"",J1176&lt;=8))+--(AND(K1176&lt;&gt;"",K1176&lt;=8))+--(AND(L1176&lt;&gt;"",L1176&lt;=8))+--(AND(M1176&lt;&gt;"",M1176&lt;=8))+--(AND(N1176&lt;&gt;"",N1176&lt;=8))+--(AND(O1176&lt;&gt;"",O1176&lt;=8)))</f>
        <v/>
      </c>
    </row>
    <row r="1177" customFormat="false" ht="15" hidden="false" customHeight="false" outlineLevel="0" collapsed="false">
      <c r="AZ1177" s="5" t="str">
        <f aca="false">IF($B1177="","",SUMPRODUCT(($AL1177:$AO1177&lt;&gt;"")*(COUNTIF($AP1177:$AX1177,$AL1177:$AO1177)&gt;0)))</f>
        <v/>
      </c>
      <c r="BA1177" s="5" t="str">
        <f aca="false">IF($B1177="","",IF(AZ1177&gt;0,1,0))</f>
        <v/>
      </c>
      <c r="BB1177" s="5" t="str">
        <f aca="false">IF($AP1177="","",IF((($AP1177="Engineering and Technology")+($AP1177="Science and Mathematics")+($AP1177="Computer Science, IT and Allied Fields")+($AP1177="Life Sciences /Medicine and Healthcare")+($AP1177="Paramedical")+($AP1177="Architecture")+($AP1177="Environmental Service")+($AP1177="Agriculture, Food Industry and Forestry"))&gt;0,"Science",IF((($AP1177="Banking and Finance")+($AP1177="Management and Administration")+($AP1177="Marketing")+($AP1177="Sales")+($AP1177="Entrepreneurship")+($AP1177="Hospitality and Tourism"))&gt;0,"Commerce",IF((($AP1177="Social Sciences and Humanities")+($AP1177="Law Studies")+($AP1177="Education and Training")+($AP1177="Art, Design")+($AP1177="Entertainment and Mass Media")+($AP1177="Community and Social Service")+($AP1177="Personal Care and Services")+($AP1177="Government and Public Administration")+($AP1177="Defence/ Protective Service")+($AP1177="Sports"))&gt;0,"Arts / Humanities",""))))</f>
        <v/>
      </c>
      <c r="BC1177" s="5" t="str">
        <f aca="false">IF($AL1177="","",IF((($AL1177="Engineering and Technology")+($AL1177="Science and Mathematics")+($AL1177="Computer Science, IT and Allied Fields")+($AL1177="Life Sciences /Medicine and Healthcare")+($AL1177="Paramedical")+($AL1177="Architecture")+($AL1177="Environmental Service")+($AL1177="Agriculture, Food Industry and Forestry"))&gt;0,"Science",IF((($AL1177="Banking and Finance")+($AL1177="Management and Administration")+($AL1177="Marketing")+($AL1177="Sales")+($AL1177="Entrepreneurship")+($AL1177="Hospitality and Tourism"))&gt;0,"Commerce",IF((($AL1177="Social Sciences and Humanities")+($AL1177="Law Studies")+($AL1177="Education and Training")+($AL1177="Art, Design")+($AL1177="Entertainment and Mass Media")+($AL1177="Community and Social Service")+($AL1177="Personal Care and Services")+($AL1177="Government and Public Administration")+($AL1177="Defence/ Protective Service")+($AL1177="Sports"))&gt;0,"Arts / Humanities",""))))</f>
        <v/>
      </c>
      <c r="BD1177" s="5" t="str">
        <f aca="false">IF($B1177="","",--(F1177&gt;=10)+--(G1177&gt;=10)+--(H1177&gt;=10)+--(I1177&gt;=10)+--(J1177&gt;=10)+--(K1177&gt;=10)+--(L1177&gt;=10)+--(M1177&gt;=10)+--(N1177&gt;=10)+--(O1177&gt;=10))</f>
        <v/>
      </c>
      <c r="BE1177" s="5" t="str">
        <f aca="false">IF($B1177="","",--(AND(F1177&lt;&gt;"",F1177&lt;=8))+--(AND(G1177&lt;&gt;"",G1177&lt;=8))+--(AND(H1177&lt;&gt;"",H1177&lt;=8))+--(AND(I1177&lt;&gt;"",I1177&lt;=8))+--(AND(J1177&lt;&gt;"",J1177&lt;=8))+--(AND(K1177&lt;&gt;"",K1177&lt;=8))+--(AND(L1177&lt;&gt;"",L1177&lt;=8))+--(AND(M1177&lt;&gt;"",M1177&lt;=8))+--(AND(N1177&lt;&gt;"",N1177&lt;=8))+--(AND(O1177&lt;&gt;"",O1177&lt;=8)))</f>
        <v/>
      </c>
    </row>
    <row r="1178" customFormat="false" ht="15" hidden="false" customHeight="false" outlineLevel="0" collapsed="false">
      <c r="AZ1178" s="5" t="str">
        <f aca="false">IF($B1178="","",SUMPRODUCT(($AL1178:$AO1178&lt;&gt;"")*(COUNTIF($AP1178:$AX1178,$AL1178:$AO1178)&gt;0)))</f>
        <v/>
      </c>
      <c r="BA1178" s="5" t="str">
        <f aca="false">IF($B1178="","",IF(AZ1178&gt;0,1,0))</f>
        <v/>
      </c>
      <c r="BB1178" s="5" t="str">
        <f aca="false">IF($AP1178="","",IF((($AP1178="Engineering and Technology")+($AP1178="Science and Mathematics")+($AP1178="Computer Science, IT and Allied Fields")+($AP1178="Life Sciences /Medicine and Healthcare")+($AP1178="Paramedical")+($AP1178="Architecture")+($AP1178="Environmental Service")+($AP1178="Agriculture, Food Industry and Forestry"))&gt;0,"Science",IF((($AP1178="Banking and Finance")+($AP1178="Management and Administration")+($AP1178="Marketing")+($AP1178="Sales")+($AP1178="Entrepreneurship")+($AP1178="Hospitality and Tourism"))&gt;0,"Commerce",IF((($AP1178="Social Sciences and Humanities")+($AP1178="Law Studies")+($AP1178="Education and Training")+($AP1178="Art, Design")+($AP1178="Entertainment and Mass Media")+($AP1178="Community and Social Service")+($AP1178="Personal Care and Services")+($AP1178="Government and Public Administration")+($AP1178="Defence/ Protective Service")+($AP1178="Sports"))&gt;0,"Arts / Humanities",""))))</f>
        <v/>
      </c>
      <c r="BC1178" s="5" t="str">
        <f aca="false">IF($AL1178="","",IF((($AL1178="Engineering and Technology")+($AL1178="Science and Mathematics")+($AL1178="Computer Science, IT and Allied Fields")+($AL1178="Life Sciences /Medicine and Healthcare")+($AL1178="Paramedical")+($AL1178="Architecture")+($AL1178="Environmental Service")+($AL1178="Agriculture, Food Industry and Forestry"))&gt;0,"Science",IF((($AL1178="Banking and Finance")+($AL1178="Management and Administration")+($AL1178="Marketing")+($AL1178="Sales")+($AL1178="Entrepreneurship")+($AL1178="Hospitality and Tourism"))&gt;0,"Commerce",IF((($AL1178="Social Sciences and Humanities")+($AL1178="Law Studies")+($AL1178="Education and Training")+($AL1178="Art, Design")+($AL1178="Entertainment and Mass Media")+($AL1178="Community and Social Service")+($AL1178="Personal Care and Services")+($AL1178="Government and Public Administration")+($AL1178="Defence/ Protective Service")+($AL1178="Sports"))&gt;0,"Arts / Humanities",""))))</f>
        <v/>
      </c>
      <c r="BD1178" s="5" t="str">
        <f aca="false">IF($B1178="","",--(F1178&gt;=10)+--(G1178&gt;=10)+--(H1178&gt;=10)+--(I1178&gt;=10)+--(J1178&gt;=10)+--(K1178&gt;=10)+--(L1178&gt;=10)+--(M1178&gt;=10)+--(N1178&gt;=10)+--(O1178&gt;=10))</f>
        <v/>
      </c>
      <c r="BE1178" s="5" t="str">
        <f aca="false">IF($B1178="","",--(AND(F1178&lt;&gt;"",F1178&lt;=8))+--(AND(G1178&lt;&gt;"",G1178&lt;=8))+--(AND(H1178&lt;&gt;"",H1178&lt;=8))+--(AND(I1178&lt;&gt;"",I1178&lt;=8))+--(AND(J1178&lt;&gt;"",J1178&lt;=8))+--(AND(K1178&lt;&gt;"",K1178&lt;=8))+--(AND(L1178&lt;&gt;"",L1178&lt;=8))+--(AND(M1178&lt;&gt;"",M1178&lt;=8))+--(AND(N1178&lt;&gt;"",N1178&lt;=8))+--(AND(O1178&lt;&gt;"",O1178&lt;=8)))</f>
        <v/>
      </c>
    </row>
    <row r="1179" customFormat="false" ht="15" hidden="false" customHeight="false" outlineLevel="0" collapsed="false">
      <c r="AZ1179" s="5" t="str">
        <f aca="false">IF($B1179="","",SUMPRODUCT(($AL1179:$AO1179&lt;&gt;"")*(COUNTIF($AP1179:$AX1179,$AL1179:$AO1179)&gt;0)))</f>
        <v/>
      </c>
      <c r="BA1179" s="5" t="str">
        <f aca="false">IF($B1179="","",IF(AZ1179&gt;0,1,0))</f>
        <v/>
      </c>
      <c r="BB1179" s="5" t="str">
        <f aca="false">IF($AP1179="","",IF((($AP1179="Engineering and Technology")+($AP1179="Science and Mathematics")+($AP1179="Computer Science, IT and Allied Fields")+($AP1179="Life Sciences /Medicine and Healthcare")+($AP1179="Paramedical")+($AP1179="Architecture")+($AP1179="Environmental Service")+($AP1179="Agriculture, Food Industry and Forestry"))&gt;0,"Science",IF((($AP1179="Banking and Finance")+($AP1179="Management and Administration")+($AP1179="Marketing")+($AP1179="Sales")+($AP1179="Entrepreneurship")+($AP1179="Hospitality and Tourism"))&gt;0,"Commerce",IF((($AP1179="Social Sciences and Humanities")+($AP1179="Law Studies")+($AP1179="Education and Training")+($AP1179="Art, Design")+($AP1179="Entertainment and Mass Media")+($AP1179="Community and Social Service")+($AP1179="Personal Care and Services")+($AP1179="Government and Public Administration")+($AP1179="Defence/ Protective Service")+($AP1179="Sports"))&gt;0,"Arts / Humanities",""))))</f>
        <v/>
      </c>
      <c r="BC1179" s="5" t="str">
        <f aca="false">IF($AL1179="","",IF((($AL1179="Engineering and Technology")+($AL1179="Science and Mathematics")+($AL1179="Computer Science, IT and Allied Fields")+($AL1179="Life Sciences /Medicine and Healthcare")+($AL1179="Paramedical")+($AL1179="Architecture")+($AL1179="Environmental Service")+($AL1179="Agriculture, Food Industry and Forestry"))&gt;0,"Science",IF((($AL1179="Banking and Finance")+($AL1179="Management and Administration")+($AL1179="Marketing")+($AL1179="Sales")+($AL1179="Entrepreneurship")+($AL1179="Hospitality and Tourism"))&gt;0,"Commerce",IF((($AL1179="Social Sciences and Humanities")+($AL1179="Law Studies")+($AL1179="Education and Training")+($AL1179="Art, Design")+($AL1179="Entertainment and Mass Media")+($AL1179="Community and Social Service")+($AL1179="Personal Care and Services")+($AL1179="Government and Public Administration")+($AL1179="Defence/ Protective Service")+($AL1179="Sports"))&gt;0,"Arts / Humanities",""))))</f>
        <v/>
      </c>
      <c r="BD1179" s="5" t="str">
        <f aca="false">IF($B1179="","",--(F1179&gt;=10)+--(G1179&gt;=10)+--(H1179&gt;=10)+--(I1179&gt;=10)+--(J1179&gt;=10)+--(K1179&gt;=10)+--(L1179&gt;=10)+--(M1179&gt;=10)+--(N1179&gt;=10)+--(O1179&gt;=10))</f>
        <v/>
      </c>
      <c r="BE1179" s="5" t="str">
        <f aca="false">IF($B1179="","",--(AND(F1179&lt;&gt;"",F1179&lt;=8))+--(AND(G1179&lt;&gt;"",G1179&lt;=8))+--(AND(H1179&lt;&gt;"",H1179&lt;=8))+--(AND(I1179&lt;&gt;"",I1179&lt;=8))+--(AND(J1179&lt;&gt;"",J1179&lt;=8))+--(AND(K1179&lt;&gt;"",K1179&lt;=8))+--(AND(L1179&lt;&gt;"",L1179&lt;=8))+--(AND(M1179&lt;&gt;"",M1179&lt;=8))+--(AND(N1179&lt;&gt;"",N1179&lt;=8))+--(AND(O1179&lt;&gt;"",O1179&lt;=8)))</f>
        <v/>
      </c>
    </row>
    <row r="1180" customFormat="false" ht="15" hidden="false" customHeight="false" outlineLevel="0" collapsed="false">
      <c r="AZ1180" s="5" t="str">
        <f aca="false">IF($B1180="","",SUMPRODUCT(($AL1180:$AO1180&lt;&gt;"")*(COUNTIF($AP1180:$AX1180,$AL1180:$AO1180)&gt;0)))</f>
        <v/>
      </c>
      <c r="BA1180" s="5" t="str">
        <f aca="false">IF($B1180="","",IF(AZ1180&gt;0,1,0))</f>
        <v/>
      </c>
      <c r="BB1180" s="5" t="str">
        <f aca="false">IF($AP1180="","",IF((($AP1180="Engineering and Technology")+($AP1180="Science and Mathematics")+($AP1180="Computer Science, IT and Allied Fields")+($AP1180="Life Sciences /Medicine and Healthcare")+($AP1180="Paramedical")+($AP1180="Architecture")+($AP1180="Environmental Service")+($AP1180="Agriculture, Food Industry and Forestry"))&gt;0,"Science",IF((($AP1180="Banking and Finance")+($AP1180="Management and Administration")+($AP1180="Marketing")+($AP1180="Sales")+($AP1180="Entrepreneurship")+($AP1180="Hospitality and Tourism"))&gt;0,"Commerce",IF((($AP1180="Social Sciences and Humanities")+($AP1180="Law Studies")+($AP1180="Education and Training")+($AP1180="Art, Design")+($AP1180="Entertainment and Mass Media")+($AP1180="Community and Social Service")+($AP1180="Personal Care and Services")+($AP1180="Government and Public Administration")+($AP1180="Defence/ Protective Service")+($AP1180="Sports"))&gt;0,"Arts / Humanities",""))))</f>
        <v/>
      </c>
      <c r="BC1180" s="5" t="str">
        <f aca="false">IF($AL1180="","",IF((($AL1180="Engineering and Technology")+($AL1180="Science and Mathematics")+($AL1180="Computer Science, IT and Allied Fields")+($AL1180="Life Sciences /Medicine and Healthcare")+($AL1180="Paramedical")+($AL1180="Architecture")+($AL1180="Environmental Service")+($AL1180="Agriculture, Food Industry and Forestry"))&gt;0,"Science",IF((($AL1180="Banking and Finance")+($AL1180="Management and Administration")+($AL1180="Marketing")+($AL1180="Sales")+($AL1180="Entrepreneurship")+($AL1180="Hospitality and Tourism"))&gt;0,"Commerce",IF((($AL1180="Social Sciences and Humanities")+($AL1180="Law Studies")+($AL1180="Education and Training")+($AL1180="Art, Design")+($AL1180="Entertainment and Mass Media")+($AL1180="Community and Social Service")+($AL1180="Personal Care and Services")+($AL1180="Government and Public Administration")+($AL1180="Defence/ Protective Service")+($AL1180="Sports"))&gt;0,"Arts / Humanities",""))))</f>
        <v/>
      </c>
      <c r="BD1180" s="5" t="str">
        <f aca="false">IF($B1180="","",--(F1180&gt;=10)+--(G1180&gt;=10)+--(H1180&gt;=10)+--(I1180&gt;=10)+--(J1180&gt;=10)+--(K1180&gt;=10)+--(L1180&gt;=10)+--(M1180&gt;=10)+--(N1180&gt;=10)+--(O1180&gt;=10))</f>
        <v/>
      </c>
      <c r="BE1180" s="5" t="str">
        <f aca="false">IF($B1180="","",--(AND(F1180&lt;&gt;"",F1180&lt;=8))+--(AND(G1180&lt;&gt;"",G1180&lt;=8))+--(AND(H1180&lt;&gt;"",H1180&lt;=8))+--(AND(I1180&lt;&gt;"",I1180&lt;=8))+--(AND(J1180&lt;&gt;"",J1180&lt;=8))+--(AND(K1180&lt;&gt;"",K1180&lt;=8))+--(AND(L1180&lt;&gt;"",L1180&lt;=8))+--(AND(M1180&lt;&gt;"",M1180&lt;=8))+--(AND(N1180&lt;&gt;"",N1180&lt;=8))+--(AND(O1180&lt;&gt;"",O1180&lt;=8)))</f>
        <v/>
      </c>
    </row>
    <row r="1181" customFormat="false" ht="15" hidden="false" customHeight="false" outlineLevel="0" collapsed="false">
      <c r="AZ1181" s="5" t="str">
        <f aca="false">IF($B1181="","",SUMPRODUCT(($AL1181:$AO1181&lt;&gt;"")*(COUNTIF($AP1181:$AX1181,$AL1181:$AO1181)&gt;0)))</f>
        <v/>
      </c>
      <c r="BA1181" s="5" t="str">
        <f aca="false">IF($B1181="","",IF(AZ1181&gt;0,1,0))</f>
        <v/>
      </c>
      <c r="BB1181" s="5" t="str">
        <f aca="false">IF($AP1181="","",IF((($AP1181="Engineering and Technology")+($AP1181="Science and Mathematics")+($AP1181="Computer Science, IT and Allied Fields")+($AP1181="Life Sciences /Medicine and Healthcare")+($AP1181="Paramedical")+($AP1181="Architecture")+($AP1181="Environmental Service")+($AP1181="Agriculture, Food Industry and Forestry"))&gt;0,"Science",IF((($AP1181="Banking and Finance")+($AP1181="Management and Administration")+($AP1181="Marketing")+($AP1181="Sales")+($AP1181="Entrepreneurship")+($AP1181="Hospitality and Tourism"))&gt;0,"Commerce",IF((($AP1181="Social Sciences and Humanities")+($AP1181="Law Studies")+($AP1181="Education and Training")+($AP1181="Art, Design")+($AP1181="Entertainment and Mass Media")+($AP1181="Community and Social Service")+($AP1181="Personal Care and Services")+($AP1181="Government and Public Administration")+($AP1181="Defence/ Protective Service")+($AP1181="Sports"))&gt;0,"Arts / Humanities",""))))</f>
        <v/>
      </c>
      <c r="BC1181" s="5" t="str">
        <f aca="false">IF($AL1181="","",IF((($AL1181="Engineering and Technology")+($AL1181="Science and Mathematics")+($AL1181="Computer Science, IT and Allied Fields")+($AL1181="Life Sciences /Medicine and Healthcare")+($AL1181="Paramedical")+($AL1181="Architecture")+($AL1181="Environmental Service")+($AL1181="Agriculture, Food Industry and Forestry"))&gt;0,"Science",IF((($AL1181="Banking and Finance")+($AL1181="Management and Administration")+($AL1181="Marketing")+($AL1181="Sales")+($AL1181="Entrepreneurship")+($AL1181="Hospitality and Tourism"))&gt;0,"Commerce",IF((($AL1181="Social Sciences and Humanities")+($AL1181="Law Studies")+($AL1181="Education and Training")+($AL1181="Art, Design")+($AL1181="Entertainment and Mass Media")+($AL1181="Community and Social Service")+($AL1181="Personal Care and Services")+($AL1181="Government and Public Administration")+($AL1181="Defence/ Protective Service")+($AL1181="Sports"))&gt;0,"Arts / Humanities",""))))</f>
        <v/>
      </c>
      <c r="BD1181" s="5" t="str">
        <f aca="false">IF($B1181="","",--(F1181&gt;=10)+--(G1181&gt;=10)+--(H1181&gt;=10)+--(I1181&gt;=10)+--(J1181&gt;=10)+--(K1181&gt;=10)+--(L1181&gt;=10)+--(M1181&gt;=10)+--(N1181&gt;=10)+--(O1181&gt;=10))</f>
        <v/>
      </c>
      <c r="BE1181" s="5" t="str">
        <f aca="false">IF($B1181="","",--(AND(F1181&lt;&gt;"",F1181&lt;=8))+--(AND(G1181&lt;&gt;"",G1181&lt;=8))+--(AND(H1181&lt;&gt;"",H1181&lt;=8))+--(AND(I1181&lt;&gt;"",I1181&lt;=8))+--(AND(J1181&lt;&gt;"",J1181&lt;=8))+--(AND(K1181&lt;&gt;"",K1181&lt;=8))+--(AND(L1181&lt;&gt;"",L1181&lt;=8))+--(AND(M1181&lt;&gt;"",M1181&lt;=8))+--(AND(N1181&lt;&gt;"",N1181&lt;=8))+--(AND(O1181&lt;&gt;"",O1181&lt;=8)))</f>
        <v/>
      </c>
    </row>
    <row r="1182" customFormat="false" ht="15" hidden="false" customHeight="false" outlineLevel="0" collapsed="false">
      <c r="AZ1182" s="5" t="str">
        <f aca="false">IF($B1182="","",SUMPRODUCT(($AL1182:$AO1182&lt;&gt;"")*(COUNTIF($AP1182:$AX1182,$AL1182:$AO1182)&gt;0)))</f>
        <v/>
      </c>
      <c r="BA1182" s="5" t="str">
        <f aca="false">IF($B1182="","",IF(AZ1182&gt;0,1,0))</f>
        <v/>
      </c>
      <c r="BB1182" s="5" t="str">
        <f aca="false">IF($AP1182="","",IF((($AP1182="Engineering and Technology")+($AP1182="Science and Mathematics")+($AP1182="Computer Science, IT and Allied Fields")+($AP1182="Life Sciences /Medicine and Healthcare")+($AP1182="Paramedical")+($AP1182="Architecture")+($AP1182="Environmental Service")+($AP1182="Agriculture, Food Industry and Forestry"))&gt;0,"Science",IF((($AP1182="Banking and Finance")+($AP1182="Management and Administration")+($AP1182="Marketing")+($AP1182="Sales")+($AP1182="Entrepreneurship")+($AP1182="Hospitality and Tourism"))&gt;0,"Commerce",IF((($AP1182="Social Sciences and Humanities")+($AP1182="Law Studies")+($AP1182="Education and Training")+($AP1182="Art, Design")+($AP1182="Entertainment and Mass Media")+($AP1182="Community and Social Service")+($AP1182="Personal Care and Services")+($AP1182="Government and Public Administration")+($AP1182="Defence/ Protective Service")+($AP1182="Sports"))&gt;0,"Arts / Humanities",""))))</f>
        <v/>
      </c>
      <c r="BC1182" s="5" t="str">
        <f aca="false">IF($AL1182="","",IF((($AL1182="Engineering and Technology")+($AL1182="Science and Mathematics")+($AL1182="Computer Science, IT and Allied Fields")+($AL1182="Life Sciences /Medicine and Healthcare")+($AL1182="Paramedical")+($AL1182="Architecture")+($AL1182="Environmental Service")+($AL1182="Agriculture, Food Industry and Forestry"))&gt;0,"Science",IF((($AL1182="Banking and Finance")+($AL1182="Management and Administration")+($AL1182="Marketing")+($AL1182="Sales")+($AL1182="Entrepreneurship")+($AL1182="Hospitality and Tourism"))&gt;0,"Commerce",IF((($AL1182="Social Sciences and Humanities")+($AL1182="Law Studies")+($AL1182="Education and Training")+($AL1182="Art, Design")+($AL1182="Entertainment and Mass Media")+($AL1182="Community and Social Service")+($AL1182="Personal Care and Services")+($AL1182="Government and Public Administration")+($AL1182="Defence/ Protective Service")+($AL1182="Sports"))&gt;0,"Arts / Humanities",""))))</f>
        <v/>
      </c>
      <c r="BD1182" s="5" t="str">
        <f aca="false">IF($B1182="","",--(F1182&gt;=10)+--(G1182&gt;=10)+--(H1182&gt;=10)+--(I1182&gt;=10)+--(J1182&gt;=10)+--(K1182&gt;=10)+--(L1182&gt;=10)+--(M1182&gt;=10)+--(N1182&gt;=10)+--(O1182&gt;=10))</f>
        <v/>
      </c>
      <c r="BE1182" s="5" t="str">
        <f aca="false">IF($B1182="","",--(AND(F1182&lt;&gt;"",F1182&lt;=8))+--(AND(G1182&lt;&gt;"",G1182&lt;=8))+--(AND(H1182&lt;&gt;"",H1182&lt;=8))+--(AND(I1182&lt;&gt;"",I1182&lt;=8))+--(AND(J1182&lt;&gt;"",J1182&lt;=8))+--(AND(K1182&lt;&gt;"",K1182&lt;=8))+--(AND(L1182&lt;&gt;"",L1182&lt;=8))+--(AND(M1182&lt;&gt;"",M1182&lt;=8))+--(AND(N1182&lt;&gt;"",N1182&lt;=8))+--(AND(O1182&lt;&gt;"",O1182&lt;=8)))</f>
        <v/>
      </c>
    </row>
    <row r="1183" customFormat="false" ht="15" hidden="false" customHeight="false" outlineLevel="0" collapsed="false">
      <c r="AZ1183" s="5" t="str">
        <f aca="false">IF($B1183="","",SUMPRODUCT(($AL1183:$AO1183&lt;&gt;"")*(COUNTIF($AP1183:$AX1183,$AL1183:$AO1183)&gt;0)))</f>
        <v/>
      </c>
      <c r="BA1183" s="5" t="str">
        <f aca="false">IF($B1183="","",IF(AZ1183&gt;0,1,0))</f>
        <v/>
      </c>
      <c r="BB1183" s="5" t="str">
        <f aca="false">IF($AP1183="","",IF((($AP1183="Engineering and Technology")+($AP1183="Science and Mathematics")+($AP1183="Computer Science, IT and Allied Fields")+($AP1183="Life Sciences /Medicine and Healthcare")+($AP1183="Paramedical")+($AP1183="Architecture")+($AP1183="Environmental Service")+($AP1183="Agriculture, Food Industry and Forestry"))&gt;0,"Science",IF((($AP1183="Banking and Finance")+($AP1183="Management and Administration")+($AP1183="Marketing")+($AP1183="Sales")+($AP1183="Entrepreneurship")+($AP1183="Hospitality and Tourism"))&gt;0,"Commerce",IF((($AP1183="Social Sciences and Humanities")+($AP1183="Law Studies")+($AP1183="Education and Training")+($AP1183="Art, Design")+($AP1183="Entertainment and Mass Media")+($AP1183="Community and Social Service")+($AP1183="Personal Care and Services")+($AP1183="Government and Public Administration")+($AP1183="Defence/ Protective Service")+($AP1183="Sports"))&gt;0,"Arts / Humanities",""))))</f>
        <v/>
      </c>
      <c r="BC1183" s="5" t="str">
        <f aca="false">IF($AL1183="","",IF((($AL1183="Engineering and Technology")+($AL1183="Science and Mathematics")+($AL1183="Computer Science, IT and Allied Fields")+($AL1183="Life Sciences /Medicine and Healthcare")+($AL1183="Paramedical")+($AL1183="Architecture")+($AL1183="Environmental Service")+($AL1183="Agriculture, Food Industry and Forestry"))&gt;0,"Science",IF((($AL1183="Banking and Finance")+($AL1183="Management and Administration")+($AL1183="Marketing")+($AL1183="Sales")+($AL1183="Entrepreneurship")+($AL1183="Hospitality and Tourism"))&gt;0,"Commerce",IF((($AL1183="Social Sciences and Humanities")+($AL1183="Law Studies")+($AL1183="Education and Training")+($AL1183="Art, Design")+($AL1183="Entertainment and Mass Media")+($AL1183="Community and Social Service")+($AL1183="Personal Care and Services")+($AL1183="Government and Public Administration")+($AL1183="Defence/ Protective Service")+($AL1183="Sports"))&gt;0,"Arts / Humanities",""))))</f>
        <v/>
      </c>
      <c r="BD1183" s="5" t="str">
        <f aca="false">IF($B1183="","",--(F1183&gt;=10)+--(G1183&gt;=10)+--(H1183&gt;=10)+--(I1183&gt;=10)+--(J1183&gt;=10)+--(K1183&gt;=10)+--(L1183&gt;=10)+--(M1183&gt;=10)+--(N1183&gt;=10)+--(O1183&gt;=10))</f>
        <v/>
      </c>
      <c r="BE1183" s="5" t="str">
        <f aca="false">IF($B1183="","",--(AND(F1183&lt;&gt;"",F1183&lt;=8))+--(AND(G1183&lt;&gt;"",G1183&lt;=8))+--(AND(H1183&lt;&gt;"",H1183&lt;=8))+--(AND(I1183&lt;&gt;"",I1183&lt;=8))+--(AND(J1183&lt;&gt;"",J1183&lt;=8))+--(AND(K1183&lt;&gt;"",K1183&lt;=8))+--(AND(L1183&lt;&gt;"",L1183&lt;=8))+--(AND(M1183&lt;&gt;"",M1183&lt;=8))+--(AND(N1183&lt;&gt;"",N1183&lt;=8))+--(AND(O1183&lt;&gt;"",O1183&lt;=8)))</f>
        <v/>
      </c>
    </row>
    <row r="1184" customFormat="false" ht="15" hidden="false" customHeight="false" outlineLevel="0" collapsed="false">
      <c r="AZ1184" s="5" t="str">
        <f aca="false">IF($B1184="","",SUMPRODUCT(($AL1184:$AO1184&lt;&gt;"")*(COUNTIF($AP1184:$AX1184,$AL1184:$AO1184)&gt;0)))</f>
        <v/>
      </c>
      <c r="BA1184" s="5" t="str">
        <f aca="false">IF($B1184="","",IF(AZ1184&gt;0,1,0))</f>
        <v/>
      </c>
      <c r="BB1184" s="5" t="str">
        <f aca="false">IF($AP1184="","",IF((($AP1184="Engineering and Technology")+($AP1184="Science and Mathematics")+($AP1184="Computer Science, IT and Allied Fields")+($AP1184="Life Sciences /Medicine and Healthcare")+($AP1184="Paramedical")+($AP1184="Architecture")+($AP1184="Environmental Service")+($AP1184="Agriculture, Food Industry and Forestry"))&gt;0,"Science",IF((($AP1184="Banking and Finance")+($AP1184="Management and Administration")+($AP1184="Marketing")+($AP1184="Sales")+($AP1184="Entrepreneurship")+($AP1184="Hospitality and Tourism"))&gt;0,"Commerce",IF((($AP1184="Social Sciences and Humanities")+($AP1184="Law Studies")+($AP1184="Education and Training")+($AP1184="Art, Design")+($AP1184="Entertainment and Mass Media")+($AP1184="Community and Social Service")+($AP1184="Personal Care and Services")+($AP1184="Government and Public Administration")+($AP1184="Defence/ Protective Service")+($AP1184="Sports"))&gt;0,"Arts / Humanities",""))))</f>
        <v/>
      </c>
      <c r="BC1184" s="5" t="str">
        <f aca="false">IF($AL1184="","",IF((($AL1184="Engineering and Technology")+($AL1184="Science and Mathematics")+($AL1184="Computer Science, IT and Allied Fields")+($AL1184="Life Sciences /Medicine and Healthcare")+($AL1184="Paramedical")+($AL1184="Architecture")+($AL1184="Environmental Service")+($AL1184="Agriculture, Food Industry and Forestry"))&gt;0,"Science",IF((($AL1184="Banking and Finance")+($AL1184="Management and Administration")+($AL1184="Marketing")+($AL1184="Sales")+($AL1184="Entrepreneurship")+($AL1184="Hospitality and Tourism"))&gt;0,"Commerce",IF((($AL1184="Social Sciences and Humanities")+($AL1184="Law Studies")+($AL1184="Education and Training")+($AL1184="Art, Design")+($AL1184="Entertainment and Mass Media")+($AL1184="Community and Social Service")+($AL1184="Personal Care and Services")+($AL1184="Government and Public Administration")+($AL1184="Defence/ Protective Service")+($AL1184="Sports"))&gt;0,"Arts / Humanities",""))))</f>
        <v/>
      </c>
      <c r="BD1184" s="5" t="str">
        <f aca="false">IF($B1184="","",--(F1184&gt;=10)+--(G1184&gt;=10)+--(H1184&gt;=10)+--(I1184&gt;=10)+--(J1184&gt;=10)+--(K1184&gt;=10)+--(L1184&gt;=10)+--(M1184&gt;=10)+--(N1184&gt;=10)+--(O1184&gt;=10))</f>
        <v/>
      </c>
      <c r="BE1184" s="5" t="str">
        <f aca="false">IF($B1184="","",--(AND(F1184&lt;&gt;"",F1184&lt;=8))+--(AND(G1184&lt;&gt;"",G1184&lt;=8))+--(AND(H1184&lt;&gt;"",H1184&lt;=8))+--(AND(I1184&lt;&gt;"",I1184&lt;=8))+--(AND(J1184&lt;&gt;"",J1184&lt;=8))+--(AND(K1184&lt;&gt;"",K1184&lt;=8))+--(AND(L1184&lt;&gt;"",L1184&lt;=8))+--(AND(M1184&lt;&gt;"",M1184&lt;=8))+--(AND(N1184&lt;&gt;"",N1184&lt;=8))+--(AND(O1184&lt;&gt;"",O1184&lt;=8)))</f>
        <v/>
      </c>
    </row>
    <row r="1185" customFormat="false" ht="15" hidden="false" customHeight="false" outlineLevel="0" collapsed="false">
      <c r="AZ1185" s="5" t="str">
        <f aca="false">IF($B1185="","",SUMPRODUCT(($AL1185:$AO1185&lt;&gt;"")*(COUNTIF($AP1185:$AX1185,$AL1185:$AO1185)&gt;0)))</f>
        <v/>
      </c>
      <c r="BA1185" s="5" t="str">
        <f aca="false">IF($B1185="","",IF(AZ1185&gt;0,1,0))</f>
        <v/>
      </c>
      <c r="BB1185" s="5" t="str">
        <f aca="false">IF($AP1185="","",IF((($AP1185="Engineering and Technology")+($AP1185="Science and Mathematics")+($AP1185="Computer Science, IT and Allied Fields")+($AP1185="Life Sciences /Medicine and Healthcare")+($AP1185="Paramedical")+($AP1185="Architecture")+($AP1185="Environmental Service")+($AP1185="Agriculture, Food Industry and Forestry"))&gt;0,"Science",IF((($AP1185="Banking and Finance")+($AP1185="Management and Administration")+($AP1185="Marketing")+($AP1185="Sales")+($AP1185="Entrepreneurship")+($AP1185="Hospitality and Tourism"))&gt;0,"Commerce",IF((($AP1185="Social Sciences and Humanities")+($AP1185="Law Studies")+($AP1185="Education and Training")+($AP1185="Art, Design")+($AP1185="Entertainment and Mass Media")+($AP1185="Community and Social Service")+($AP1185="Personal Care and Services")+($AP1185="Government and Public Administration")+($AP1185="Defence/ Protective Service")+($AP1185="Sports"))&gt;0,"Arts / Humanities",""))))</f>
        <v/>
      </c>
      <c r="BC1185" s="5" t="str">
        <f aca="false">IF($AL1185="","",IF((($AL1185="Engineering and Technology")+($AL1185="Science and Mathematics")+($AL1185="Computer Science, IT and Allied Fields")+($AL1185="Life Sciences /Medicine and Healthcare")+($AL1185="Paramedical")+($AL1185="Architecture")+($AL1185="Environmental Service")+($AL1185="Agriculture, Food Industry and Forestry"))&gt;0,"Science",IF((($AL1185="Banking and Finance")+($AL1185="Management and Administration")+($AL1185="Marketing")+($AL1185="Sales")+($AL1185="Entrepreneurship")+($AL1185="Hospitality and Tourism"))&gt;0,"Commerce",IF((($AL1185="Social Sciences and Humanities")+($AL1185="Law Studies")+($AL1185="Education and Training")+($AL1185="Art, Design")+($AL1185="Entertainment and Mass Media")+($AL1185="Community and Social Service")+($AL1185="Personal Care and Services")+($AL1185="Government and Public Administration")+($AL1185="Defence/ Protective Service")+($AL1185="Sports"))&gt;0,"Arts / Humanities",""))))</f>
        <v/>
      </c>
      <c r="BD1185" s="5" t="str">
        <f aca="false">IF($B1185="","",--(F1185&gt;=10)+--(G1185&gt;=10)+--(H1185&gt;=10)+--(I1185&gt;=10)+--(J1185&gt;=10)+--(K1185&gt;=10)+--(L1185&gt;=10)+--(M1185&gt;=10)+--(N1185&gt;=10)+--(O1185&gt;=10))</f>
        <v/>
      </c>
      <c r="BE1185" s="5" t="str">
        <f aca="false">IF($B1185="","",--(AND(F1185&lt;&gt;"",F1185&lt;=8))+--(AND(G1185&lt;&gt;"",G1185&lt;=8))+--(AND(H1185&lt;&gt;"",H1185&lt;=8))+--(AND(I1185&lt;&gt;"",I1185&lt;=8))+--(AND(J1185&lt;&gt;"",J1185&lt;=8))+--(AND(K1185&lt;&gt;"",K1185&lt;=8))+--(AND(L1185&lt;&gt;"",L1185&lt;=8))+--(AND(M1185&lt;&gt;"",M1185&lt;=8))+--(AND(N1185&lt;&gt;"",N1185&lt;=8))+--(AND(O1185&lt;&gt;"",O1185&lt;=8)))</f>
        <v/>
      </c>
    </row>
    <row r="1186" customFormat="false" ht="15" hidden="false" customHeight="false" outlineLevel="0" collapsed="false">
      <c r="AZ1186" s="5" t="str">
        <f aca="false">IF($B1186="","",SUMPRODUCT(($AL1186:$AO1186&lt;&gt;"")*(COUNTIF($AP1186:$AX1186,$AL1186:$AO1186)&gt;0)))</f>
        <v/>
      </c>
      <c r="BA1186" s="5" t="str">
        <f aca="false">IF($B1186="","",IF(AZ1186&gt;0,1,0))</f>
        <v/>
      </c>
      <c r="BB1186" s="5" t="str">
        <f aca="false">IF($AP1186="","",IF((($AP1186="Engineering and Technology")+($AP1186="Science and Mathematics")+($AP1186="Computer Science, IT and Allied Fields")+($AP1186="Life Sciences /Medicine and Healthcare")+($AP1186="Paramedical")+($AP1186="Architecture")+($AP1186="Environmental Service")+($AP1186="Agriculture, Food Industry and Forestry"))&gt;0,"Science",IF((($AP1186="Banking and Finance")+($AP1186="Management and Administration")+($AP1186="Marketing")+($AP1186="Sales")+($AP1186="Entrepreneurship")+($AP1186="Hospitality and Tourism"))&gt;0,"Commerce",IF((($AP1186="Social Sciences and Humanities")+($AP1186="Law Studies")+($AP1186="Education and Training")+($AP1186="Art, Design")+($AP1186="Entertainment and Mass Media")+($AP1186="Community and Social Service")+($AP1186="Personal Care and Services")+($AP1186="Government and Public Administration")+($AP1186="Defence/ Protective Service")+($AP1186="Sports"))&gt;0,"Arts / Humanities",""))))</f>
        <v/>
      </c>
      <c r="BC1186" s="5" t="str">
        <f aca="false">IF($AL1186="","",IF((($AL1186="Engineering and Technology")+($AL1186="Science and Mathematics")+($AL1186="Computer Science, IT and Allied Fields")+($AL1186="Life Sciences /Medicine and Healthcare")+($AL1186="Paramedical")+($AL1186="Architecture")+($AL1186="Environmental Service")+($AL1186="Agriculture, Food Industry and Forestry"))&gt;0,"Science",IF((($AL1186="Banking and Finance")+($AL1186="Management and Administration")+($AL1186="Marketing")+($AL1186="Sales")+($AL1186="Entrepreneurship")+($AL1186="Hospitality and Tourism"))&gt;0,"Commerce",IF((($AL1186="Social Sciences and Humanities")+($AL1186="Law Studies")+($AL1186="Education and Training")+($AL1186="Art, Design")+($AL1186="Entertainment and Mass Media")+($AL1186="Community and Social Service")+($AL1186="Personal Care and Services")+($AL1186="Government and Public Administration")+($AL1186="Defence/ Protective Service")+($AL1186="Sports"))&gt;0,"Arts / Humanities",""))))</f>
        <v/>
      </c>
      <c r="BD1186" s="5" t="str">
        <f aca="false">IF($B1186="","",--(F1186&gt;=10)+--(G1186&gt;=10)+--(H1186&gt;=10)+--(I1186&gt;=10)+--(J1186&gt;=10)+--(K1186&gt;=10)+--(L1186&gt;=10)+--(M1186&gt;=10)+--(N1186&gt;=10)+--(O1186&gt;=10))</f>
        <v/>
      </c>
      <c r="BE1186" s="5" t="str">
        <f aca="false">IF($B1186="","",--(AND(F1186&lt;&gt;"",F1186&lt;=8))+--(AND(G1186&lt;&gt;"",G1186&lt;=8))+--(AND(H1186&lt;&gt;"",H1186&lt;=8))+--(AND(I1186&lt;&gt;"",I1186&lt;=8))+--(AND(J1186&lt;&gt;"",J1186&lt;=8))+--(AND(K1186&lt;&gt;"",K1186&lt;=8))+--(AND(L1186&lt;&gt;"",L1186&lt;=8))+--(AND(M1186&lt;&gt;"",M1186&lt;=8))+--(AND(N1186&lt;&gt;"",N1186&lt;=8))+--(AND(O1186&lt;&gt;"",O1186&lt;=8)))</f>
        <v/>
      </c>
    </row>
    <row r="1187" customFormat="false" ht="15" hidden="false" customHeight="false" outlineLevel="0" collapsed="false">
      <c r="AZ1187" s="5" t="str">
        <f aca="false">IF($B1187="","",SUMPRODUCT(($AL1187:$AO1187&lt;&gt;"")*(COUNTIF($AP1187:$AX1187,$AL1187:$AO1187)&gt;0)))</f>
        <v/>
      </c>
      <c r="BA1187" s="5" t="str">
        <f aca="false">IF($B1187="","",IF(AZ1187&gt;0,1,0))</f>
        <v/>
      </c>
      <c r="BB1187" s="5" t="str">
        <f aca="false">IF($AP1187="","",IF((($AP1187="Engineering and Technology")+($AP1187="Science and Mathematics")+($AP1187="Computer Science, IT and Allied Fields")+($AP1187="Life Sciences /Medicine and Healthcare")+($AP1187="Paramedical")+($AP1187="Architecture")+($AP1187="Environmental Service")+($AP1187="Agriculture, Food Industry and Forestry"))&gt;0,"Science",IF((($AP1187="Banking and Finance")+($AP1187="Management and Administration")+($AP1187="Marketing")+($AP1187="Sales")+($AP1187="Entrepreneurship")+($AP1187="Hospitality and Tourism"))&gt;0,"Commerce",IF((($AP1187="Social Sciences and Humanities")+($AP1187="Law Studies")+($AP1187="Education and Training")+($AP1187="Art, Design")+($AP1187="Entertainment and Mass Media")+($AP1187="Community and Social Service")+($AP1187="Personal Care and Services")+($AP1187="Government and Public Administration")+($AP1187="Defence/ Protective Service")+($AP1187="Sports"))&gt;0,"Arts / Humanities",""))))</f>
        <v/>
      </c>
      <c r="BC1187" s="5" t="str">
        <f aca="false">IF($AL1187="","",IF((($AL1187="Engineering and Technology")+($AL1187="Science and Mathematics")+($AL1187="Computer Science, IT and Allied Fields")+($AL1187="Life Sciences /Medicine and Healthcare")+($AL1187="Paramedical")+($AL1187="Architecture")+($AL1187="Environmental Service")+($AL1187="Agriculture, Food Industry and Forestry"))&gt;0,"Science",IF((($AL1187="Banking and Finance")+($AL1187="Management and Administration")+($AL1187="Marketing")+($AL1187="Sales")+($AL1187="Entrepreneurship")+($AL1187="Hospitality and Tourism"))&gt;0,"Commerce",IF((($AL1187="Social Sciences and Humanities")+($AL1187="Law Studies")+($AL1187="Education and Training")+($AL1187="Art, Design")+($AL1187="Entertainment and Mass Media")+($AL1187="Community and Social Service")+($AL1187="Personal Care and Services")+($AL1187="Government and Public Administration")+($AL1187="Defence/ Protective Service")+($AL1187="Sports"))&gt;0,"Arts / Humanities",""))))</f>
        <v/>
      </c>
      <c r="BD1187" s="5" t="str">
        <f aca="false">IF($B1187="","",--(F1187&gt;=10)+--(G1187&gt;=10)+--(H1187&gt;=10)+--(I1187&gt;=10)+--(J1187&gt;=10)+--(K1187&gt;=10)+--(L1187&gt;=10)+--(M1187&gt;=10)+--(N1187&gt;=10)+--(O1187&gt;=10))</f>
        <v/>
      </c>
      <c r="BE1187" s="5" t="str">
        <f aca="false">IF($B1187="","",--(AND(F1187&lt;&gt;"",F1187&lt;=8))+--(AND(G1187&lt;&gt;"",G1187&lt;=8))+--(AND(H1187&lt;&gt;"",H1187&lt;=8))+--(AND(I1187&lt;&gt;"",I1187&lt;=8))+--(AND(J1187&lt;&gt;"",J1187&lt;=8))+--(AND(K1187&lt;&gt;"",K1187&lt;=8))+--(AND(L1187&lt;&gt;"",L1187&lt;=8))+--(AND(M1187&lt;&gt;"",M1187&lt;=8))+--(AND(N1187&lt;&gt;"",N1187&lt;=8))+--(AND(O1187&lt;&gt;"",O1187&lt;=8)))</f>
        <v/>
      </c>
    </row>
    <row r="1188" customFormat="false" ht="15" hidden="false" customHeight="false" outlineLevel="0" collapsed="false">
      <c r="AZ1188" s="5" t="str">
        <f aca="false">IF($B1188="","",SUMPRODUCT(($AL1188:$AO1188&lt;&gt;"")*(COUNTIF($AP1188:$AX1188,$AL1188:$AO1188)&gt;0)))</f>
        <v/>
      </c>
      <c r="BA1188" s="5" t="str">
        <f aca="false">IF($B1188="","",IF(AZ1188&gt;0,1,0))</f>
        <v/>
      </c>
      <c r="BB1188" s="5" t="str">
        <f aca="false">IF($AP1188="","",IF((($AP1188="Engineering and Technology")+($AP1188="Science and Mathematics")+($AP1188="Computer Science, IT and Allied Fields")+($AP1188="Life Sciences /Medicine and Healthcare")+($AP1188="Paramedical")+($AP1188="Architecture")+($AP1188="Environmental Service")+($AP1188="Agriculture, Food Industry and Forestry"))&gt;0,"Science",IF((($AP1188="Banking and Finance")+($AP1188="Management and Administration")+($AP1188="Marketing")+($AP1188="Sales")+($AP1188="Entrepreneurship")+($AP1188="Hospitality and Tourism"))&gt;0,"Commerce",IF((($AP1188="Social Sciences and Humanities")+($AP1188="Law Studies")+($AP1188="Education and Training")+($AP1188="Art, Design")+($AP1188="Entertainment and Mass Media")+($AP1188="Community and Social Service")+($AP1188="Personal Care and Services")+($AP1188="Government and Public Administration")+($AP1188="Defence/ Protective Service")+($AP1188="Sports"))&gt;0,"Arts / Humanities",""))))</f>
        <v/>
      </c>
      <c r="BC1188" s="5" t="str">
        <f aca="false">IF($AL1188="","",IF((($AL1188="Engineering and Technology")+($AL1188="Science and Mathematics")+($AL1188="Computer Science, IT and Allied Fields")+($AL1188="Life Sciences /Medicine and Healthcare")+($AL1188="Paramedical")+($AL1188="Architecture")+($AL1188="Environmental Service")+($AL1188="Agriculture, Food Industry and Forestry"))&gt;0,"Science",IF((($AL1188="Banking and Finance")+($AL1188="Management and Administration")+($AL1188="Marketing")+($AL1188="Sales")+($AL1188="Entrepreneurship")+($AL1188="Hospitality and Tourism"))&gt;0,"Commerce",IF((($AL1188="Social Sciences and Humanities")+($AL1188="Law Studies")+($AL1188="Education and Training")+($AL1188="Art, Design")+($AL1188="Entertainment and Mass Media")+($AL1188="Community and Social Service")+($AL1188="Personal Care and Services")+($AL1188="Government and Public Administration")+($AL1188="Defence/ Protective Service")+($AL1188="Sports"))&gt;0,"Arts / Humanities",""))))</f>
        <v/>
      </c>
      <c r="BD1188" s="5" t="str">
        <f aca="false">IF($B1188="","",--(F1188&gt;=10)+--(G1188&gt;=10)+--(H1188&gt;=10)+--(I1188&gt;=10)+--(J1188&gt;=10)+--(K1188&gt;=10)+--(L1188&gt;=10)+--(M1188&gt;=10)+--(N1188&gt;=10)+--(O1188&gt;=10))</f>
        <v/>
      </c>
      <c r="BE1188" s="5" t="str">
        <f aca="false">IF($B1188="","",--(AND(F1188&lt;&gt;"",F1188&lt;=8))+--(AND(G1188&lt;&gt;"",G1188&lt;=8))+--(AND(H1188&lt;&gt;"",H1188&lt;=8))+--(AND(I1188&lt;&gt;"",I1188&lt;=8))+--(AND(J1188&lt;&gt;"",J1188&lt;=8))+--(AND(K1188&lt;&gt;"",K1188&lt;=8))+--(AND(L1188&lt;&gt;"",L1188&lt;=8))+--(AND(M1188&lt;&gt;"",M1188&lt;=8))+--(AND(N1188&lt;&gt;"",N1188&lt;=8))+--(AND(O1188&lt;&gt;"",O1188&lt;=8)))</f>
        <v/>
      </c>
    </row>
    <row r="1189" customFormat="false" ht="15" hidden="false" customHeight="false" outlineLevel="0" collapsed="false">
      <c r="AZ1189" s="5" t="str">
        <f aca="false">IF($B1189="","",SUMPRODUCT(($AL1189:$AO1189&lt;&gt;"")*(COUNTIF($AP1189:$AX1189,$AL1189:$AO1189)&gt;0)))</f>
        <v/>
      </c>
      <c r="BA1189" s="5" t="str">
        <f aca="false">IF($B1189="","",IF(AZ1189&gt;0,1,0))</f>
        <v/>
      </c>
      <c r="BB1189" s="5" t="str">
        <f aca="false">IF($AP1189="","",IF((($AP1189="Engineering and Technology")+($AP1189="Science and Mathematics")+($AP1189="Computer Science, IT and Allied Fields")+($AP1189="Life Sciences /Medicine and Healthcare")+($AP1189="Paramedical")+($AP1189="Architecture")+($AP1189="Environmental Service")+($AP1189="Agriculture, Food Industry and Forestry"))&gt;0,"Science",IF((($AP1189="Banking and Finance")+($AP1189="Management and Administration")+($AP1189="Marketing")+($AP1189="Sales")+($AP1189="Entrepreneurship")+($AP1189="Hospitality and Tourism"))&gt;0,"Commerce",IF((($AP1189="Social Sciences and Humanities")+($AP1189="Law Studies")+($AP1189="Education and Training")+($AP1189="Art, Design")+($AP1189="Entertainment and Mass Media")+($AP1189="Community and Social Service")+($AP1189="Personal Care and Services")+($AP1189="Government and Public Administration")+($AP1189="Defence/ Protective Service")+($AP1189="Sports"))&gt;0,"Arts / Humanities",""))))</f>
        <v/>
      </c>
      <c r="BC1189" s="5" t="str">
        <f aca="false">IF($AL1189="","",IF((($AL1189="Engineering and Technology")+($AL1189="Science and Mathematics")+($AL1189="Computer Science, IT and Allied Fields")+($AL1189="Life Sciences /Medicine and Healthcare")+($AL1189="Paramedical")+($AL1189="Architecture")+($AL1189="Environmental Service")+($AL1189="Agriculture, Food Industry and Forestry"))&gt;0,"Science",IF((($AL1189="Banking and Finance")+($AL1189="Management and Administration")+($AL1189="Marketing")+($AL1189="Sales")+($AL1189="Entrepreneurship")+($AL1189="Hospitality and Tourism"))&gt;0,"Commerce",IF((($AL1189="Social Sciences and Humanities")+($AL1189="Law Studies")+($AL1189="Education and Training")+($AL1189="Art, Design")+($AL1189="Entertainment and Mass Media")+($AL1189="Community and Social Service")+($AL1189="Personal Care and Services")+($AL1189="Government and Public Administration")+($AL1189="Defence/ Protective Service")+($AL1189="Sports"))&gt;0,"Arts / Humanities",""))))</f>
        <v/>
      </c>
      <c r="BD1189" s="5" t="str">
        <f aca="false">IF($B1189="","",--(F1189&gt;=10)+--(G1189&gt;=10)+--(H1189&gt;=10)+--(I1189&gt;=10)+--(J1189&gt;=10)+--(K1189&gt;=10)+--(L1189&gt;=10)+--(M1189&gt;=10)+--(N1189&gt;=10)+--(O1189&gt;=10))</f>
        <v/>
      </c>
      <c r="BE1189" s="5" t="str">
        <f aca="false">IF($B1189="","",--(AND(F1189&lt;&gt;"",F1189&lt;=8))+--(AND(G1189&lt;&gt;"",G1189&lt;=8))+--(AND(H1189&lt;&gt;"",H1189&lt;=8))+--(AND(I1189&lt;&gt;"",I1189&lt;=8))+--(AND(J1189&lt;&gt;"",J1189&lt;=8))+--(AND(K1189&lt;&gt;"",K1189&lt;=8))+--(AND(L1189&lt;&gt;"",L1189&lt;=8))+--(AND(M1189&lt;&gt;"",M1189&lt;=8))+--(AND(N1189&lt;&gt;"",N1189&lt;=8))+--(AND(O1189&lt;&gt;"",O1189&lt;=8)))</f>
        <v/>
      </c>
    </row>
    <row r="1190" customFormat="false" ht="15" hidden="false" customHeight="false" outlineLevel="0" collapsed="false">
      <c r="AZ1190" s="5" t="str">
        <f aca="false">IF($B1190="","",SUMPRODUCT(($AL1190:$AO1190&lt;&gt;"")*(COUNTIF($AP1190:$AX1190,$AL1190:$AO1190)&gt;0)))</f>
        <v/>
      </c>
      <c r="BA1190" s="5" t="str">
        <f aca="false">IF($B1190="","",IF(AZ1190&gt;0,1,0))</f>
        <v/>
      </c>
      <c r="BB1190" s="5" t="str">
        <f aca="false">IF($AP1190="","",IF((($AP1190="Engineering and Technology")+($AP1190="Science and Mathematics")+($AP1190="Computer Science, IT and Allied Fields")+($AP1190="Life Sciences /Medicine and Healthcare")+($AP1190="Paramedical")+($AP1190="Architecture")+($AP1190="Environmental Service")+($AP1190="Agriculture, Food Industry and Forestry"))&gt;0,"Science",IF((($AP1190="Banking and Finance")+($AP1190="Management and Administration")+($AP1190="Marketing")+($AP1190="Sales")+($AP1190="Entrepreneurship")+($AP1190="Hospitality and Tourism"))&gt;0,"Commerce",IF((($AP1190="Social Sciences and Humanities")+($AP1190="Law Studies")+($AP1190="Education and Training")+($AP1190="Art, Design")+($AP1190="Entertainment and Mass Media")+($AP1190="Community and Social Service")+($AP1190="Personal Care and Services")+($AP1190="Government and Public Administration")+($AP1190="Defence/ Protective Service")+($AP1190="Sports"))&gt;0,"Arts / Humanities",""))))</f>
        <v/>
      </c>
      <c r="BC1190" s="5" t="str">
        <f aca="false">IF($AL1190="","",IF((($AL1190="Engineering and Technology")+($AL1190="Science and Mathematics")+($AL1190="Computer Science, IT and Allied Fields")+($AL1190="Life Sciences /Medicine and Healthcare")+($AL1190="Paramedical")+($AL1190="Architecture")+($AL1190="Environmental Service")+($AL1190="Agriculture, Food Industry and Forestry"))&gt;0,"Science",IF((($AL1190="Banking and Finance")+($AL1190="Management and Administration")+($AL1190="Marketing")+($AL1190="Sales")+($AL1190="Entrepreneurship")+($AL1190="Hospitality and Tourism"))&gt;0,"Commerce",IF((($AL1190="Social Sciences and Humanities")+($AL1190="Law Studies")+($AL1190="Education and Training")+($AL1190="Art, Design")+($AL1190="Entertainment and Mass Media")+($AL1190="Community and Social Service")+($AL1190="Personal Care and Services")+($AL1190="Government and Public Administration")+($AL1190="Defence/ Protective Service")+($AL1190="Sports"))&gt;0,"Arts / Humanities",""))))</f>
        <v/>
      </c>
      <c r="BD1190" s="5" t="str">
        <f aca="false">IF($B1190="","",--(F1190&gt;=10)+--(G1190&gt;=10)+--(H1190&gt;=10)+--(I1190&gt;=10)+--(J1190&gt;=10)+--(K1190&gt;=10)+--(L1190&gt;=10)+--(M1190&gt;=10)+--(N1190&gt;=10)+--(O1190&gt;=10))</f>
        <v/>
      </c>
      <c r="BE1190" s="5" t="str">
        <f aca="false">IF($B1190="","",--(AND(F1190&lt;&gt;"",F1190&lt;=8))+--(AND(G1190&lt;&gt;"",G1190&lt;=8))+--(AND(H1190&lt;&gt;"",H1190&lt;=8))+--(AND(I1190&lt;&gt;"",I1190&lt;=8))+--(AND(J1190&lt;&gt;"",J1190&lt;=8))+--(AND(K1190&lt;&gt;"",K1190&lt;=8))+--(AND(L1190&lt;&gt;"",L1190&lt;=8))+--(AND(M1190&lt;&gt;"",M1190&lt;=8))+--(AND(N1190&lt;&gt;"",N1190&lt;=8))+--(AND(O1190&lt;&gt;"",O1190&lt;=8)))</f>
        <v/>
      </c>
    </row>
    <row r="1191" customFormat="false" ht="15" hidden="false" customHeight="false" outlineLevel="0" collapsed="false">
      <c r="AZ1191" s="5" t="str">
        <f aca="false">IF($B1191="","",SUMPRODUCT(($AL1191:$AO1191&lt;&gt;"")*(COUNTIF($AP1191:$AX1191,$AL1191:$AO1191)&gt;0)))</f>
        <v/>
      </c>
      <c r="BA1191" s="5" t="str">
        <f aca="false">IF($B1191="","",IF(AZ1191&gt;0,1,0))</f>
        <v/>
      </c>
      <c r="BB1191" s="5" t="str">
        <f aca="false">IF($AP1191="","",IF((($AP1191="Engineering and Technology")+($AP1191="Science and Mathematics")+($AP1191="Computer Science, IT and Allied Fields")+($AP1191="Life Sciences /Medicine and Healthcare")+($AP1191="Paramedical")+($AP1191="Architecture")+($AP1191="Environmental Service")+($AP1191="Agriculture, Food Industry and Forestry"))&gt;0,"Science",IF((($AP1191="Banking and Finance")+($AP1191="Management and Administration")+($AP1191="Marketing")+($AP1191="Sales")+($AP1191="Entrepreneurship")+($AP1191="Hospitality and Tourism"))&gt;0,"Commerce",IF((($AP1191="Social Sciences and Humanities")+($AP1191="Law Studies")+($AP1191="Education and Training")+($AP1191="Art, Design")+($AP1191="Entertainment and Mass Media")+($AP1191="Community and Social Service")+($AP1191="Personal Care and Services")+($AP1191="Government and Public Administration")+($AP1191="Defence/ Protective Service")+($AP1191="Sports"))&gt;0,"Arts / Humanities",""))))</f>
        <v/>
      </c>
      <c r="BC1191" s="5" t="str">
        <f aca="false">IF($AL1191="","",IF((($AL1191="Engineering and Technology")+($AL1191="Science and Mathematics")+($AL1191="Computer Science, IT and Allied Fields")+($AL1191="Life Sciences /Medicine and Healthcare")+($AL1191="Paramedical")+($AL1191="Architecture")+($AL1191="Environmental Service")+($AL1191="Agriculture, Food Industry and Forestry"))&gt;0,"Science",IF((($AL1191="Banking and Finance")+($AL1191="Management and Administration")+($AL1191="Marketing")+($AL1191="Sales")+($AL1191="Entrepreneurship")+($AL1191="Hospitality and Tourism"))&gt;0,"Commerce",IF((($AL1191="Social Sciences and Humanities")+($AL1191="Law Studies")+($AL1191="Education and Training")+($AL1191="Art, Design")+($AL1191="Entertainment and Mass Media")+($AL1191="Community and Social Service")+($AL1191="Personal Care and Services")+($AL1191="Government and Public Administration")+($AL1191="Defence/ Protective Service")+($AL1191="Sports"))&gt;0,"Arts / Humanities",""))))</f>
        <v/>
      </c>
      <c r="BD1191" s="5" t="str">
        <f aca="false">IF($B1191="","",--(F1191&gt;=10)+--(G1191&gt;=10)+--(H1191&gt;=10)+--(I1191&gt;=10)+--(J1191&gt;=10)+--(K1191&gt;=10)+--(L1191&gt;=10)+--(M1191&gt;=10)+--(N1191&gt;=10)+--(O1191&gt;=10))</f>
        <v/>
      </c>
      <c r="BE1191" s="5" t="str">
        <f aca="false">IF($B1191="","",--(AND(F1191&lt;&gt;"",F1191&lt;=8))+--(AND(G1191&lt;&gt;"",G1191&lt;=8))+--(AND(H1191&lt;&gt;"",H1191&lt;=8))+--(AND(I1191&lt;&gt;"",I1191&lt;=8))+--(AND(J1191&lt;&gt;"",J1191&lt;=8))+--(AND(K1191&lt;&gt;"",K1191&lt;=8))+--(AND(L1191&lt;&gt;"",L1191&lt;=8))+--(AND(M1191&lt;&gt;"",M1191&lt;=8))+--(AND(N1191&lt;&gt;"",N1191&lt;=8))+--(AND(O1191&lt;&gt;"",O1191&lt;=8)))</f>
        <v/>
      </c>
    </row>
    <row r="1192" customFormat="false" ht="15" hidden="false" customHeight="false" outlineLevel="0" collapsed="false">
      <c r="AZ1192" s="5" t="str">
        <f aca="false">IF($B1192="","",SUMPRODUCT(($AL1192:$AO1192&lt;&gt;"")*(COUNTIF($AP1192:$AX1192,$AL1192:$AO1192)&gt;0)))</f>
        <v/>
      </c>
      <c r="BA1192" s="5" t="str">
        <f aca="false">IF($B1192="","",IF(AZ1192&gt;0,1,0))</f>
        <v/>
      </c>
      <c r="BB1192" s="5" t="str">
        <f aca="false">IF($AP1192="","",IF((($AP1192="Engineering and Technology")+($AP1192="Science and Mathematics")+($AP1192="Computer Science, IT and Allied Fields")+($AP1192="Life Sciences /Medicine and Healthcare")+($AP1192="Paramedical")+($AP1192="Architecture")+($AP1192="Environmental Service")+($AP1192="Agriculture, Food Industry and Forestry"))&gt;0,"Science",IF((($AP1192="Banking and Finance")+($AP1192="Management and Administration")+($AP1192="Marketing")+($AP1192="Sales")+($AP1192="Entrepreneurship")+($AP1192="Hospitality and Tourism"))&gt;0,"Commerce",IF((($AP1192="Social Sciences and Humanities")+($AP1192="Law Studies")+($AP1192="Education and Training")+($AP1192="Art, Design")+($AP1192="Entertainment and Mass Media")+($AP1192="Community and Social Service")+($AP1192="Personal Care and Services")+($AP1192="Government and Public Administration")+($AP1192="Defence/ Protective Service")+($AP1192="Sports"))&gt;0,"Arts / Humanities",""))))</f>
        <v/>
      </c>
      <c r="BC1192" s="5" t="str">
        <f aca="false">IF($AL1192="","",IF((($AL1192="Engineering and Technology")+($AL1192="Science and Mathematics")+($AL1192="Computer Science, IT and Allied Fields")+($AL1192="Life Sciences /Medicine and Healthcare")+($AL1192="Paramedical")+($AL1192="Architecture")+($AL1192="Environmental Service")+($AL1192="Agriculture, Food Industry and Forestry"))&gt;0,"Science",IF((($AL1192="Banking and Finance")+($AL1192="Management and Administration")+($AL1192="Marketing")+($AL1192="Sales")+($AL1192="Entrepreneurship")+($AL1192="Hospitality and Tourism"))&gt;0,"Commerce",IF((($AL1192="Social Sciences and Humanities")+($AL1192="Law Studies")+($AL1192="Education and Training")+($AL1192="Art, Design")+($AL1192="Entertainment and Mass Media")+($AL1192="Community and Social Service")+($AL1192="Personal Care and Services")+($AL1192="Government and Public Administration")+($AL1192="Defence/ Protective Service")+($AL1192="Sports"))&gt;0,"Arts / Humanities",""))))</f>
        <v/>
      </c>
      <c r="BD1192" s="5" t="str">
        <f aca="false">IF($B1192="","",--(F1192&gt;=10)+--(G1192&gt;=10)+--(H1192&gt;=10)+--(I1192&gt;=10)+--(J1192&gt;=10)+--(K1192&gt;=10)+--(L1192&gt;=10)+--(M1192&gt;=10)+--(N1192&gt;=10)+--(O1192&gt;=10))</f>
        <v/>
      </c>
      <c r="BE1192" s="5" t="str">
        <f aca="false">IF($B1192="","",--(AND(F1192&lt;&gt;"",F1192&lt;=8))+--(AND(G1192&lt;&gt;"",G1192&lt;=8))+--(AND(H1192&lt;&gt;"",H1192&lt;=8))+--(AND(I1192&lt;&gt;"",I1192&lt;=8))+--(AND(J1192&lt;&gt;"",J1192&lt;=8))+--(AND(K1192&lt;&gt;"",K1192&lt;=8))+--(AND(L1192&lt;&gt;"",L1192&lt;=8))+--(AND(M1192&lt;&gt;"",M1192&lt;=8))+--(AND(N1192&lt;&gt;"",N1192&lt;=8))+--(AND(O1192&lt;&gt;"",O1192&lt;=8)))</f>
        <v/>
      </c>
    </row>
    <row r="1193" customFormat="false" ht="15" hidden="false" customHeight="false" outlineLevel="0" collapsed="false">
      <c r="AZ1193" s="5" t="str">
        <f aca="false">IF($B1193="","",SUMPRODUCT(($AL1193:$AO1193&lt;&gt;"")*(COUNTIF($AP1193:$AX1193,$AL1193:$AO1193)&gt;0)))</f>
        <v/>
      </c>
      <c r="BA1193" s="5" t="str">
        <f aca="false">IF($B1193="","",IF(AZ1193&gt;0,1,0))</f>
        <v/>
      </c>
      <c r="BB1193" s="5" t="str">
        <f aca="false">IF($AP1193="","",IF((($AP1193="Engineering and Technology")+($AP1193="Science and Mathematics")+($AP1193="Computer Science, IT and Allied Fields")+($AP1193="Life Sciences /Medicine and Healthcare")+($AP1193="Paramedical")+($AP1193="Architecture")+($AP1193="Environmental Service")+($AP1193="Agriculture, Food Industry and Forestry"))&gt;0,"Science",IF((($AP1193="Banking and Finance")+($AP1193="Management and Administration")+($AP1193="Marketing")+($AP1193="Sales")+($AP1193="Entrepreneurship")+($AP1193="Hospitality and Tourism"))&gt;0,"Commerce",IF((($AP1193="Social Sciences and Humanities")+($AP1193="Law Studies")+($AP1193="Education and Training")+($AP1193="Art, Design")+($AP1193="Entertainment and Mass Media")+($AP1193="Community and Social Service")+($AP1193="Personal Care and Services")+($AP1193="Government and Public Administration")+($AP1193="Defence/ Protective Service")+($AP1193="Sports"))&gt;0,"Arts / Humanities",""))))</f>
        <v/>
      </c>
      <c r="BC1193" s="5" t="str">
        <f aca="false">IF($AL1193="","",IF((($AL1193="Engineering and Technology")+($AL1193="Science and Mathematics")+($AL1193="Computer Science, IT and Allied Fields")+($AL1193="Life Sciences /Medicine and Healthcare")+($AL1193="Paramedical")+($AL1193="Architecture")+($AL1193="Environmental Service")+($AL1193="Agriculture, Food Industry and Forestry"))&gt;0,"Science",IF((($AL1193="Banking and Finance")+($AL1193="Management and Administration")+($AL1193="Marketing")+($AL1193="Sales")+($AL1193="Entrepreneurship")+($AL1193="Hospitality and Tourism"))&gt;0,"Commerce",IF((($AL1193="Social Sciences and Humanities")+($AL1193="Law Studies")+($AL1193="Education and Training")+($AL1193="Art, Design")+($AL1193="Entertainment and Mass Media")+($AL1193="Community and Social Service")+($AL1193="Personal Care and Services")+($AL1193="Government and Public Administration")+($AL1193="Defence/ Protective Service")+($AL1193="Sports"))&gt;0,"Arts / Humanities",""))))</f>
        <v/>
      </c>
      <c r="BD1193" s="5" t="str">
        <f aca="false">IF($B1193="","",--(F1193&gt;=10)+--(G1193&gt;=10)+--(H1193&gt;=10)+--(I1193&gt;=10)+--(J1193&gt;=10)+--(K1193&gt;=10)+--(L1193&gt;=10)+--(M1193&gt;=10)+--(N1193&gt;=10)+--(O1193&gt;=10))</f>
        <v/>
      </c>
      <c r="BE1193" s="5" t="str">
        <f aca="false">IF($B1193="","",--(AND(F1193&lt;&gt;"",F1193&lt;=8))+--(AND(G1193&lt;&gt;"",G1193&lt;=8))+--(AND(H1193&lt;&gt;"",H1193&lt;=8))+--(AND(I1193&lt;&gt;"",I1193&lt;=8))+--(AND(J1193&lt;&gt;"",J1193&lt;=8))+--(AND(K1193&lt;&gt;"",K1193&lt;=8))+--(AND(L1193&lt;&gt;"",L1193&lt;=8))+--(AND(M1193&lt;&gt;"",M1193&lt;=8))+--(AND(N1193&lt;&gt;"",N1193&lt;=8))+--(AND(O1193&lt;&gt;"",O1193&lt;=8)))</f>
        <v/>
      </c>
    </row>
    <row r="1194" customFormat="false" ht="15" hidden="false" customHeight="false" outlineLevel="0" collapsed="false">
      <c r="AZ1194" s="5" t="str">
        <f aca="false">IF($B1194="","",SUMPRODUCT(($AL1194:$AO1194&lt;&gt;"")*(COUNTIF($AP1194:$AX1194,$AL1194:$AO1194)&gt;0)))</f>
        <v/>
      </c>
      <c r="BA1194" s="5" t="str">
        <f aca="false">IF($B1194="","",IF(AZ1194&gt;0,1,0))</f>
        <v/>
      </c>
      <c r="BB1194" s="5" t="str">
        <f aca="false">IF($AP1194="","",IF((($AP1194="Engineering and Technology")+($AP1194="Science and Mathematics")+($AP1194="Computer Science, IT and Allied Fields")+($AP1194="Life Sciences /Medicine and Healthcare")+($AP1194="Paramedical")+($AP1194="Architecture")+($AP1194="Environmental Service")+($AP1194="Agriculture, Food Industry and Forestry"))&gt;0,"Science",IF((($AP1194="Banking and Finance")+($AP1194="Management and Administration")+($AP1194="Marketing")+($AP1194="Sales")+($AP1194="Entrepreneurship")+($AP1194="Hospitality and Tourism"))&gt;0,"Commerce",IF((($AP1194="Social Sciences and Humanities")+($AP1194="Law Studies")+($AP1194="Education and Training")+($AP1194="Art, Design")+($AP1194="Entertainment and Mass Media")+($AP1194="Community and Social Service")+($AP1194="Personal Care and Services")+($AP1194="Government and Public Administration")+($AP1194="Defence/ Protective Service")+($AP1194="Sports"))&gt;0,"Arts / Humanities",""))))</f>
        <v/>
      </c>
      <c r="BC1194" s="5" t="str">
        <f aca="false">IF($AL1194="","",IF((($AL1194="Engineering and Technology")+($AL1194="Science and Mathematics")+($AL1194="Computer Science, IT and Allied Fields")+($AL1194="Life Sciences /Medicine and Healthcare")+($AL1194="Paramedical")+($AL1194="Architecture")+($AL1194="Environmental Service")+($AL1194="Agriculture, Food Industry and Forestry"))&gt;0,"Science",IF((($AL1194="Banking and Finance")+($AL1194="Management and Administration")+($AL1194="Marketing")+($AL1194="Sales")+($AL1194="Entrepreneurship")+($AL1194="Hospitality and Tourism"))&gt;0,"Commerce",IF((($AL1194="Social Sciences and Humanities")+($AL1194="Law Studies")+($AL1194="Education and Training")+($AL1194="Art, Design")+($AL1194="Entertainment and Mass Media")+($AL1194="Community and Social Service")+($AL1194="Personal Care and Services")+($AL1194="Government and Public Administration")+($AL1194="Defence/ Protective Service")+($AL1194="Sports"))&gt;0,"Arts / Humanities",""))))</f>
        <v/>
      </c>
      <c r="BD1194" s="5" t="str">
        <f aca="false">IF($B1194="","",--(F1194&gt;=10)+--(G1194&gt;=10)+--(H1194&gt;=10)+--(I1194&gt;=10)+--(J1194&gt;=10)+--(K1194&gt;=10)+--(L1194&gt;=10)+--(M1194&gt;=10)+--(N1194&gt;=10)+--(O1194&gt;=10))</f>
        <v/>
      </c>
      <c r="BE1194" s="5" t="str">
        <f aca="false">IF($B1194="","",--(AND(F1194&lt;&gt;"",F1194&lt;=8))+--(AND(G1194&lt;&gt;"",G1194&lt;=8))+--(AND(H1194&lt;&gt;"",H1194&lt;=8))+--(AND(I1194&lt;&gt;"",I1194&lt;=8))+--(AND(J1194&lt;&gt;"",J1194&lt;=8))+--(AND(K1194&lt;&gt;"",K1194&lt;=8))+--(AND(L1194&lt;&gt;"",L1194&lt;=8))+--(AND(M1194&lt;&gt;"",M1194&lt;=8))+--(AND(N1194&lt;&gt;"",N1194&lt;=8))+--(AND(O1194&lt;&gt;"",O1194&lt;=8)))</f>
        <v/>
      </c>
    </row>
    <row r="1195" customFormat="false" ht="15" hidden="false" customHeight="false" outlineLevel="0" collapsed="false">
      <c r="AZ1195" s="5" t="str">
        <f aca="false">IF($B1195="","",SUMPRODUCT(($AL1195:$AO1195&lt;&gt;"")*(COUNTIF($AP1195:$AX1195,$AL1195:$AO1195)&gt;0)))</f>
        <v/>
      </c>
      <c r="BA1195" s="5" t="str">
        <f aca="false">IF($B1195="","",IF(AZ1195&gt;0,1,0))</f>
        <v/>
      </c>
      <c r="BB1195" s="5" t="str">
        <f aca="false">IF($AP1195="","",IF((($AP1195="Engineering and Technology")+($AP1195="Science and Mathematics")+($AP1195="Computer Science, IT and Allied Fields")+($AP1195="Life Sciences /Medicine and Healthcare")+($AP1195="Paramedical")+($AP1195="Architecture")+($AP1195="Environmental Service")+($AP1195="Agriculture, Food Industry and Forestry"))&gt;0,"Science",IF((($AP1195="Banking and Finance")+($AP1195="Management and Administration")+($AP1195="Marketing")+($AP1195="Sales")+($AP1195="Entrepreneurship")+($AP1195="Hospitality and Tourism"))&gt;0,"Commerce",IF((($AP1195="Social Sciences and Humanities")+($AP1195="Law Studies")+($AP1195="Education and Training")+($AP1195="Art, Design")+($AP1195="Entertainment and Mass Media")+($AP1195="Community and Social Service")+($AP1195="Personal Care and Services")+($AP1195="Government and Public Administration")+($AP1195="Defence/ Protective Service")+($AP1195="Sports"))&gt;0,"Arts / Humanities",""))))</f>
        <v/>
      </c>
      <c r="BC1195" s="5" t="str">
        <f aca="false">IF($AL1195="","",IF((($AL1195="Engineering and Technology")+($AL1195="Science and Mathematics")+($AL1195="Computer Science, IT and Allied Fields")+($AL1195="Life Sciences /Medicine and Healthcare")+($AL1195="Paramedical")+($AL1195="Architecture")+($AL1195="Environmental Service")+($AL1195="Agriculture, Food Industry and Forestry"))&gt;0,"Science",IF((($AL1195="Banking and Finance")+($AL1195="Management and Administration")+($AL1195="Marketing")+($AL1195="Sales")+($AL1195="Entrepreneurship")+($AL1195="Hospitality and Tourism"))&gt;0,"Commerce",IF((($AL1195="Social Sciences and Humanities")+($AL1195="Law Studies")+($AL1195="Education and Training")+($AL1195="Art, Design")+($AL1195="Entertainment and Mass Media")+($AL1195="Community and Social Service")+($AL1195="Personal Care and Services")+($AL1195="Government and Public Administration")+($AL1195="Defence/ Protective Service")+($AL1195="Sports"))&gt;0,"Arts / Humanities",""))))</f>
        <v/>
      </c>
      <c r="BD1195" s="5" t="str">
        <f aca="false">IF($B1195="","",--(F1195&gt;=10)+--(G1195&gt;=10)+--(H1195&gt;=10)+--(I1195&gt;=10)+--(J1195&gt;=10)+--(K1195&gt;=10)+--(L1195&gt;=10)+--(M1195&gt;=10)+--(N1195&gt;=10)+--(O1195&gt;=10))</f>
        <v/>
      </c>
      <c r="BE1195" s="5" t="str">
        <f aca="false">IF($B1195="","",--(AND(F1195&lt;&gt;"",F1195&lt;=8))+--(AND(G1195&lt;&gt;"",G1195&lt;=8))+--(AND(H1195&lt;&gt;"",H1195&lt;=8))+--(AND(I1195&lt;&gt;"",I1195&lt;=8))+--(AND(J1195&lt;&gt;"",J1195&lt;=8))+--(AND(K1195&lt;&gt;"",K1195&lt;=8))+--(AND(L1195&lt;&gt;"",L1195&lt;=8))+--(AND(M1195&lt;&gt;"",M1195&lt;=8))+--(AND(N1195&lt;&gt;"",N1195&lt;=8))+--(AND(O1195&lt;&gt;"",O1195&lt;=8)))</f>
        <v/>
      </c>
    </row>
    <row r="1196" customFormat="false" ht="15" hidden="false" customHeight="false" outlineLevel="0" collapsed="false">
      <c r="AZ1196" s="5" t="str">
        <f aca="false">IF($B1196="","",SUMPRODUCT(($AL1196:$AO1196&lt;&gt;"")*(COUNTIF($AP1196:$AX1196,$AL1196:$AO1196)&gt;0)))</f>
        <v/>
      </c>
      <c r="BA1196" s="5" t="str">
        <f aca="false">IF($B1196="","",IF(AZ1196&gt;0,1,0))</f>
        <v/>
      </c>
      <c r="BB1196" s="5" t="str">
        <f aca="false">IF($AP1196="","",IF((($AP1196="Engineering and Technology")+($AP1196="Science and Mathematics")+($AP1196="Computer Science, IT and Allied Fields")+($AP1196="Life Sciences /Medicine and Healthcare")+($AP1196="Paramedical")+($AP1196="Architecture")+($AP1196="Environmental Service")+($AP1196="Agriculture, Food Industry and Forestry"))&gt;0,"Science",IF((($AP1196="Banking and Finance")+($AP1196="Management and Administration")+($AP1196="Marketing")+($AP1196="Sales")+($AP1196="Entrepreneurship")+($AP1196="Hospitality and Tourism"))&gt;0,"Commerce",IF((($AP1196="Social Sciences and Humanities")+($AP1196="Law Studies")+($AP1196="Education and Training")+($AP1196="Art, Design")+($AP1196="Entertainment and Mass Media")+($AP1196="Community and Social Service")+($AP1196="Personal Care and Services")+($AP1196="Government and Public Administration")+($AP1196="Defence/ Protective Service")+($AP1196="Sports"))&gt;0,"Arts / Humanities",""))))</f>
        <v/>
      </c>
      <c r="BC1196" s="5" t="str">
        <f aca="false">IF($AL1196="","",IF((($AL1196="Engineering and Technology")+($AL1196="Science and Mathematics")+($AL1196="Computer Science, IT and Allied Fields")+($AL1196="Life Sciences /Medicine and Healthcare")+($AL1196="Paramedical")+($AL1196="Architecture")+($AL1196="Environmental Service")+($AL1196="Agriculture, Food Industry and Forestry"))&gt;0,"Science",IF((($AL1196="Banking and Finance")+($AL1196="Management and Administration")+($AL1196="Marketing")+($AL1196="Sales")+($AL1196="Entrepreneurship")+($AL1196="Hospitality and Tourism"))&gt;0,"Commerce",IF((($AL1196="Social Sciences and Humanities")+($AL1196="Law Studies")+($AL1196="Education and Training")+($AL1196="Art, Design")+($AL1196="Entertainment and Mass Media")+($AL1196="Community and Social Service")+($AL1196="Personal Care and Services")+($AL1196="Government and Public Administration")+($AL1196="Defence/ Protective Service")+($AL1196="Sports"))&gt;0,"Arts / Humanities",""))))</f>
        <v/>
      </c>
      <c r="BD1196" s="5" t="str">
        <f aca="false">IF($B1196="","",--(F1196&gt;=10)+--(G1196&gt;=10)+--(H1196&gt;=10)+--(I1196&gt;=10)+--(J1196&gt;=10)+--(K1196&gt;=10)+--(L1196&gt;=10)+--(M1196&gt;=10)+--(N1196&gt;=10)+--(O1196&gt;=10))</f>
        <v/>
      </c>
      <c r="BE1196" s="5" t="str">
        <f aca="false">IF($B1196="","",--(AND(F1196&lt;&gt;"",F1196&lt;=8))+--(AND(G1196&lt;&gt;"",G1196&lt;=8))+--(AND(H1196&lt;&gt;"",H1196&lt;=8))+--(AND(I1196&lt;&gt;"",I1196&lt;=8))+--(AND(J1196&lt;&gt;"",J1196&lt;=8))+--(AND(K1196&lt;&gt;"",K1196&lt;=8))+--(AND(L1196&lt;&gt;"",L1196&lt;=8))+--(AND(M1196&lt;&gt;"",M1196&lt;=8))+--(AND(N1196&lt;&gt;"",N1196&lt;=8))+--(AND(O1196&lt;&gt;"",O1196&lt;=8)))</f>
        <v/>
      </c>
    </row>
    <row r="1197" customFormat="false" ht="15" hidden="false" customHeight="false" outlineLevel="0" collapsed="false">
      <c r="AZ1197" s="5" t="str">
        <f aca="false">IF($B1197="","",SUMPRODUCT(($AL1197:$AO1197&lt;&gt;"")*(COUNTIF($AP1197:$AX1197,$AL1197:$AO1197)&gt;0)))</f>
        <v/>
      </c>
      <c r="BA1197" s="5" t="str">
        <f aca="false">IF($B1197="","",IF(AZ1197&gt;0,1,0))</f>
        <v/>
      </c>
      <c r="BB1197" s="5" t="str">
        <f aca="false">IF($AP1197="","",IF((($AP1197="Engineering and Technology")+($AP1197="Science and Mathematics")+($AP1197="Computer Science, IT and Allied Fields")+($AP1197="Life Sciences /Medicine and Healthcare")+($AP1197="Paramedical")+($AP1197="Architecture")+($AP1197="Environmental Service")+($AP1197="Agriculture, Food Industry and Forestry"))&gt;0,"Science",IF((($AP1197="Banking and Finance")+($AP1197="Management and Administration")+($AP1197="Marketing")+($AP1197="Sales")+($AP1197="Entrepreneurship")+($AP1197="Hospitality and Tourism"))&gt;0,"Commerce",IF((($AP1197="Social Sciences and Humanities")+($AP1197="Law Studies")+($AP1197="Education and Training")+($AP1197="Art, Design")+($AP1197="Entertainment and Mass Media")+($AP1197="Community and Social Service")+($AP1197="Personal Care and Services")+($AP1197="Government and Public Administration")+($AP1197="Defence/ Protective Service")+($AP1197="Sports"))&gt;0,"Arts / Humanities",""))))</f>
        <v/>
      </c>
      <c r="BC1197" s="5" t="str">
        <f aca="false">IF($AL1197="","",IF((($AL1197="Engineering and Technology")+($AL1197="Science and Mathematics")+($AL1197="Computer Science, IT and Allied Fields")+($AL1197="Life Sciences /Medicine and Healthcare")+($AL1197="Paramedical")+($AL1197="Architecture")+($AL1197="Environmental Service")+($AL1197="Agriculture, Food Industry and Forestry"))&gt;0,"Science",IF((($AL1197="Banking and Finance")+($AL1197="Management and Administration")+($AL1197="Marketing")+($AL1197="Sales")+($AL1197="Entrepreneurship")+($AL1197="Hospitality and Tourism"))&gt;0,"Commerce",IF((($AL1197="Social Sciences and Humanities")+($AL1197="Law Studies")+($AL1197="Education and Training")+($AL1197="Art, Design")+($AL1197="Entertainment and Mass Media")+($AL1197="Community and Social Service")+($AL1197="Personal Care and Services")+($AL1197="Government and Public Administration")+($AL1197="Defence/ Protective Service")+($AL1197="Sports"))&gt;0,"Arts / Humanities",""))))</f>
        <v/>
      </c>
      <c r="BD1197" s="5" t="str">
        <f aca="false">IF($B1197="","",--(F1197&gt;=10)+--(G1197&gt;=10)+--(H1197&gt;=10)+--(I1197&gt;=10)+--(J1197&gt;=10)+--(K1197&gt;=10)+--(L1197&gt;=10)+--(M1197&gt;=10)+--(N1197&gt;=10)+--(O1197&gt;=10))</f>
        <v/>
      </c>
      <c r="BE1197" s="5" t="str">
        <f aca="false">IF($B1197="","",--(AND(F1197&lt;&gt;"",F1197&lt;=8))+--(AND(G1197&lt;&gt;"",G1197&lt;=8))+--(AND(H1197&lt;&gt;"",H1197&lt;=8))+--(AND(I1197&lt;&gt;"",I1197&lt;=8))+--(AND(J1197&lt;&gt;"",J1197&lt;=8))+--(AND(K1197&lt;&gt;"",K1197&lt;=8))+--(AND(L1197&lt;&gt;"",L1197&lt;=8))+--(AND(M1197&lt;&gt;"",M1197&lt;=8))+--(AND(N1197&lt;&gt;"",N1197&lt;=8))+--(AND(O1197&lt;&gt;"",O1197&lt;=8)))</f>
        <v/>
      </c>
    </row>
    <row r="1198" customFormat="false" ht="15" hidden="false" customHeight="false" outlineLevel="0" collapsed="false">
      <c r="AZ1198" s="5" t="str">
        <f aca="false">IF($B1198="","",SUMPRODUCT(($AL1198:$AO1198&lt;&gt;"")*(COUNTIF($AP1198:$AX1198,$AL1198:$AO1198)&gt;0)))</f>
        <v/>
      </c>
      <c r="BA1198" s="5" t="str">
        <f aca="false">IF($B1198="","",IF(AZ1198&gt;0,1,0))</f>
        <v/>
      </c>
      <c r="BB1198" s="5" t="str">
        <f aca="false">IF($AP1198="","",IF((($AP1198="Engineering and Technology")+($AP1198="Science and Mathematics")+($AP1198="Computer Science, IT and Allied Fields")+($AP1198="Life Sciences /Medicine and Healthcare")+($AP1198="Paramedical")+($AP1198="Architecture")+($AP1198="Environmental Service")+($AP1198="Agriculture, Food Industry and Forestry"))&gt;0,"Science",IF((($AP1198="Banking and Finance")+($AP1198="Management and Administration")+($AP1198="Marketing")+($AP1198="Sales")+($AP1198="Entrepreneurship")+($AP1198="Hospitality and Tourism"))&gt;0,"Commerce",IF((($AP1198="Social Sciences and Humanities")+($AP1198="Law Studies")+($AP1198="Education and Training")+($AP1198="Art, Design")+($AP1198="Entertainment and Mass Media")+($AP1198="Community and Social Service")+($AP1198="Personal Care and Services")+($AP1198="Government and Public Administration")+($AP1198="Defence/ Protective Service")+($AP1198="Sports"))&gt;0,"Arts / Humanities",""))))</f>
        <v/>
      </c>
      <c r="BC1198" s="5" t="str">
        <f aca="false">IF($AL1198="","",IF((($AL1198="Engineering and Technology")+($AL1198="Science and Mathematics")+($AL1198="Computer Science, IT and Allied Fields")+($AL1198="Life Sciences /Medicine and Healthcare")+($AL1198="Paramedical")+($AL1198="Architecture")+($AL1198="Environmental Service")+($AL1198="Agriculture, Food Industry and Forestry"))&gt;0,"Science",IF((($AL1198="Banking and Finance")+($AL1198="Management and Administration")+($AL1198="Marketing")+($AL1198="Sales")+($AL1198="Entrepreneurship")+($AL1198="Hospitality and Tourism"))&gt;0,"Commerce",IF((($AL1198="Social Sciences and Humanities")+($AL1198="Law Studies")+($AL1198="Education and Training")+($AL1198="Art, Design")+($AL1198="Entertainment and Mass Media")+($AL1198="Community and Social Service")+($AL1198="Personal Care and Services")+($AL1198="Government and Public Administration")+($AL1198="Defence/ Protective Service")+($AL1198="Sports"))&gt;0,"Arts / Humanities",""))))</f>
        <v/>
      </c>
      <c r="BD1198" s="5" t="str">
        <f aca="false">IF($B1198="","",--(F1198&gt;=10)+--(G1198&gt;=10)+--(H1198&gt;=10)+--(I1198&gt;=10)+--(J1198&gt;=10)+--(K1198&gt;=10)+--(L1198&gt;=10)+--(M1198&gt;=10)+--(N1198&gt;=10)+--(O1198&gt;=10))</f>
        <v/>
      </c>
      <c r="BE1198" s="5" t="str">
        <f aca="false">IF($B1198="","",--(AND(F1198&lt;&gt;"",F1198&lt;=8))+--(AND(G1198&lt;&gt;"",G1198&lt;=8))+--(AND(H1198&lt;&gt;"",H1198&lt;=8))+--(AND(I1198&lt;&gt;"",I1198&lt;=8))+--(AND(J1198&lt;&gt;"",J1198&lt;=8))+--(AND(K1198&lt;&gt;"",K1198&lt;=8))+--(AND(L1198&lt;&gt;"",L1198&lt;=8))+--(AND(M1198&lt;&gt;"",M1198&lt;=8))+--(AND(N1198&lt;&gt;"",N1198&lt;=8))+--(AND(O1198&lt;&gt;"",O1198&lt;=8)))</f>
        <v/>
      </c>
    </row>
    <row r="1199" customFormat="false" ht="15" hidden="false" customHeight="false" outlineLevel="0" collapsed="false">
      <c r="AZ1199" s="5" t="str">
        <f aca="false">IF($B1199="","",SUMPRODUCT(($AL1199:$AO1199&lt;&gt;"")*(COUNTIF($AP1199:$AX1199,$AL1199:$AO1199)&gt;0)))</f>
        <v/>
      </c>
      <c r="BA1199" s="5" t="str">
        <f aca="false">IF($B1199="","",IF(AZ1199&gt;0,1,0))</f>
        <v/>
      </c>
      <c r="BB1199" s="5" t="str">
        <f aca="false">IF($AP1199="","",IF((($AP1199="Engineering and Technology")+($AP1199="Science and Mathematics")+($AP1199="Computer Science, IT and Allied Fields")+($AP1199="Life Sciences /Medicine and Healthcare")+($AP1199="Paramedical")+($AP1199="Architecture")+($AP1199="Environmental Service")+($AP1199="Agriculture, Food Industry and Forestry"))&gt;0,"Science",IF((($AP1199="Banking and Finance")+($AP1199="Management and Administration")+($AP1199="Marketing")+($AP1199="Sales")+($AP1199="Entrepreneurship")+($AP1199="Hospitality and Tourism"))&gt;0,"Commerce",IF((($AP1199="Social Sciences and Humanities")+($AP1199="Law Studies")+($AP1199="Education and Training")+($AP1199="Art, Design")+($AP1199="Entertainment and Mass Media")+($AP1199="Community and Social Service")+($AP1199="Personal Care and Services")+($AP1199="Government and Public Administration")+($AP1199="Defence/ Protective Service")+($AP1199="Sports"))&gt;0,"Arts / Humanities",""))))</f>
        <v/>
      </c>
      <c r="BC1199" s="5" t="str">
        <f aca="false">IF($AL1199="","",IF((($AL1199="Engineering and Technology")+($AL1199="Science and Mathematics")+($AL1199="Computer Science, IT and Allied Fields")+($AL1199="Life Sciences /Medicine and Healthcare")+($AL1199="Paramedical")+($AL1199="Architecture")+($AL1199="Environmental Service")+($AL1199="Agriculture, Food Industry and Forestry"))&gt;0,"Science",IF((($AL1199="Banking and Finance")+($AL1199="Management and Administration")+($AL1199="Marketing")+($AL1199="Sales")+($AL1199="Entrepreneurship")+($AL1199="Hospitality and Tourism"))&gt;0,"Commerce",IF((($AL1199="Social Sciences and Humanities")+($AL1199="Law Studies")+($AL1199="Education and Training")+($AL1199="Art, Design")+($AL1199="Entertainment and Mass Media")+($AL1199="Community and Social Service")+($AL1199="Personal Care and Services")+($AL1199="Government and Public Administration")+($AL1199="Defence/ Protective Service")+($AL1199="Sports"))&gt;0,"Arts / Humanities",""))))</f>
        <v/>
      </c>
      <c r="BD1199" s="5" t="str">
        <f aca="false">IF($B1199="","",--(F1199&gt;=10)+--(G1199&gt;=10)+--(H1199&gt;=10)+--(I1199&gt;=10)+--(J1199&gt;=10)+--(K1199&gt;=10)+--(L1199&gt;=10)+--(M1199&gt;=10)+--(N1199&gt;=10)+--(O1199&gt;=10))</f>
        <v/>
      </c>
      <c r="BE1199" s="5" t="str">
        <f aca="false">IF($B1199="","",--(AND(F1199&lt;&gt;"",F1199&lt;=8))+--(AND(G1199&lt;&gt;"",G1199&lt;=8))+--(AND(H1199&lt;&gt;"",H1199&lt;=8))+--(AND(I1199&lt;&gt;"",I1199&lt;=8))+--(AND(J1199&lt;&gt;"",J1199&lt;=8))+--(AND(K1199&lt;&gt;"",K1199&lt;=8))+--(AND(L1199&lt;&gt;"",L1199&lt;=8))+--(AND(M1199&lt;&gt;"",M1199&lt;=8))+--(AND(N1199&lt;&gt;"",N1199&lt;=8))+--(AND(O1199&lt;&gt;"",O1199&lt;=8)))</f>
        <v/>
      </c>
    </row>
    <row r="1200" customFormat="false" ht="15" hidden="false" customHeight="false" outlineLevel="0" collapsed="false">
      <c r="AZ1200" s="5" t="str">
        <f aca="false">IF($B1200="","",SUMPRODUCT(($AL1200:$AO1200&lt;&gt;"")*(COUNTIF($AP1200:$AX1200,$AL1200:$AO1200)&gt;0)))</f>
        <v/>
      </c>
      <c r="BA1200" s="5" t="str">
        <f aca="false">IF($B1200="","",IF(AZ1200&gt;0,1,0))</f>
        <v/>
      </c>
      <c r="BB1200" s="5" t="str">
        <f aca="false">IF($AP1200="","",IF((($AP1200="Engineering and Technology")+($AP1200="Science and Mathematics")+($AP1200="Computer Science, IT and Allied Fields")+($AP1200="Life Sciences /Medicine and Healthcare")+($AP1200="Paramedical")+($AP1200="Architecture")+($AP1200="Environmental Service")+($AP1200="Agriculture, Food Industry and Forestry"))&gt;0,"Science",IF((($AP1200="Banking and Finance")+($AP1200="Management and Administration")+($AP1200="Marketing")+($AP1200="Sales")+($AP1200="Entrepreneurship")+($AP1200="Hospitality and Tourism"))&gt;0,"Commerce",IF((($AP1200="Social Sciences and Humanities")+($AP1200="Law Studies")+($AP1200="Education and Training")+($AP1200="Art, Design")+($AP1200="Entertainment and Mass Media")+($AP1200="Community and Social Service")+($AP1200="Personal Care and Services")+($AP1200="Government and Public Administration")+($AP1200="Defence/ Protective Service")+($AP1200="Sports"))&gt;0,"Arts / Humanities",""))))</f>
        <v/>
      </c>
      <c r="BC1200" s="5" t="str">
        <f aca="false">IF($AL1200="","",IF((($AL1200="Engineering and Technology")+($AL1200="Science and Mathematics")+($AL1200="Computer Science, IT and Allied Fields")+($AL1200="Life Sciences /Medicine and Healthcare")+($AL1200="Paramedical")+($AL1200="Architecture")+($AL1200="Environmental Service")+($AL1200="Agriculture, Food Industry and Forestry"))&gt;0,"Science",IF((($AL1200="Banking and Finance")+($AL1200="Management and Administration")+($AL1200="Marketing")+($AL1200="Sales")+($AL1200="Entrepreneurship")+($AL1200="Hospitality and Tourism"))&gt;0,"Commerce",IF((($AL1200="Social Sciences and Humanities")+($AL1200="Law Studies")+($AL1200="Education and Training")+($AL1200="Art, Design")+($AL1200="Entertainment and Mass Media")+($AL1200="Community and Social Service")+($AL1200="Personal Care and Services")+($AL1200="Government and Public Administration")+($AL1200="Defence/ Protective Service")+($AL1200="Sports"))&gt;0,"Arts / Humanities",""))))</f>
        <v/>
      </c>
      <c r="BD1200" s="5" t="str">
        <f aca="false">IF($B1200="","",--(F1200&gt;=10)+--(G1200&gt;=10)+--(H1200&gt;=10)+--(I1200&gt;=10)+--(J1200&gt;=10)+--(K1200&gt;=10)+--(L1200&gt;=10)+--(M1200&gt;=10)+--(N1200&gt;=10)+--(O1200&gt;=10))</f>
        <v/>
      </c>
      <c r="BE1200" s="5" t="str">
        <f aca="false">IF($B1200="","",--(AND(F1200&lt;&gt;"",F1200&lt;=8))+--(AND(G1200&lt;&gt;"",G1200&lt;=8))+--(AND(H1200&lt;&gt;"",H1200&lt;=8))+--(AND(I1200&lt;&gt;"",I1200&lt;=8))+--(AND(J1200&lt;&gt;"",J1200&lt;=8))+--(AND(K1200&lt;&gt;"",K1200&lt;=8))+--(AND(L1200&lt;&gt;"",L1200&lt;=8))+--(AND(M1200&lt;&gt;"",M1200&lt;=8))+--(AND(N1200&lt;&gt;"",N1200&lt;=8))+--(AND(O1200&lt;&gt;"",O1200&lt;=8)))</f>
        <v/>
      </c>
    </row>
    <row r="1201" customFormat="false" ht="15" hidden="false" customHeight="false" outlineLevel="0" collapsed="false">
      <c r="AZ1201" s="5" t="str">
        <f aca="false">IF($B1201="","",SUMPRODUCT(($AL1201:$AO1201&lt;&gt;"")*(COUNTIF($AP1201:$AX1201,$AL1201:$AO1201)&gt;0)))</f>
        <v/>
      </c>
      <c r="BA1201" s="5" t="str">
        <f aca="false">IF($B1201="","",IF(AZ1201&gt;0,1,0))</f>
        <v/>
      </c>
      <c r="BB1201" s="5" t="str">
        <f aca="false">IF($AP1201="","",IF((($AP1201="Engineering and Technology")+($AP1201="Science and Mathematics")+($AP1201="Computer Science, IT and Allied Fields")+($AP1201="Life Sciences /Medicine and Healthcare")+($AP1201="Paramedical")+($AP1201="Architecture")+($AP1201="Environmental Service")+($AP1201="Agriculture, Food Industry and Forestry"))&gt;0,"Science",IF((($AP1201="Banking and Finance")+($AP1201="Management and Administration")+($AP1201="Marketing")+($AP1201="Sales")+($AP1201="Entrepreneurship")+($AP1201="Hospitality and Tourism"))&gt;0,"Commerce",IF((($AP1201="Social Sciences and Humanities")+($AP1201="Law Studies")+($AP1201="Education and Training")+($AP1201="Art, Design")+($AP1201="Entertainment and Mass Media")+($AP1201="Community and Social Service")+($AP1201="Personal Care and Services")+($AP1201="Government and Public Administration")+($AP1201="Defence/ Protective Service")+($AP1201="Sports"))&gt;0,"Arts / Humanities",""))))</f>
        <v/>
      </c>
      <c r="BC1201" s="5" t="str">
        <f aca="false">IF($AL1201="","",IF((($AL1201="Engineering and Technology")+($AL1201="Science and Mathematics")+($AL1201="Computer Science, IT and Allied Fields")+($AL1201="Life Sciences /Medicine and Healthcare")+($AL1201="Paramedical")+($AL1201="Architecture")+($AL1201="Environmental Service")+($AL1201="Agriculture, Food Industry and Forestry"))&gt;0,"Science",IF((($AL1201="Banking and Finance")+($AL1201="Management and Administration")+($AL1201="Marketing")+($AL1201="Sales")+($AL1201="Entrepreneurship")+($AL1201="Hospitality and Tourism"))&gt;0,"Commerce",IF((($AL1201="Social Sciences and Humanities")+($AL1201="Law Studies")+($AL1201="Education and Training")+($AL1201="Art, Design")+($AL1201="Entertainment and Mass Media")+($AL1201="Community and Social Service")+($AL1201="Personal Care and Services")+($AL1201="Government and Public Administration")+($AL1201="Defence/ Protective Service")+($AL1201="Sports"))&gt;0,"Arts / Humanities",""))))</f>
        <v/>
      </c>
      <c r="BD1201" s="5" t="str">
        <f aca="false">IF($B1201="","",--(F1201&gt;=10)+--(G1201&gt;=10)+--(H1201&gt;=10)+--(I1201&gt;=10)+--(J1201&gt;=10)+--(K1201&gt;=10)+--(L1201&gt;=10)+--(M1201&gt;=10)+--(N1201&gt;=10)+--(O1201&gt;=10))</f>
        <v/>
      </c>
      <c r="BE1201" s="5" t="str">
        <f aca="false">IF($B1201="","",--(AND(F1201&lt;&gt;"",F1201&lt;=8))+--(AND(G1201&lt;&gt;"",G1201&lt;=8))+--(AND(H1201&lt;&gt;"",H1201&lt;=8))+--(AND(I1201&lt;&gt;"",I1201&lt;=8))+--(AND(J1201&lt;&gt;"",J1201&lt;=8))+--(AND(K1201&lt;&gt;"",K1201&lt;=8))+--(AND(L1201&lt;&gt;"",L1201&lt;=8))+--(AND(M1201&lt;&gt;"",M1201&lt;=8))+--(AND(N1201&lt;&gt;"",N1201&lt;=8))+--(AND(O1201&lt;&gt;"",O1201&lt;=8)))</f>
        <v/>
      </c>
    </row>
    <row r="1202" customFormat="false" ht="15" hidden="false" customHeight="false" outlineLevel="0" collapsed="false">
      <c r="AZ1202" s="5" t="str">
        <f aca="false">IF($B1202="","",SUMPRODUCT(($AL1202:$AO1202&lt;&gt;"")*(COUNTIF($AP1202:$AX1202,$AL1202:$AO1202)&gt;0)))</f>
        <v/>
      </c>
      <c r="BA1202" s="5" t="str">
        <f aca="false">IF($B1202="","",IF(AZ1202&gt;0,1,0))</f>
        <v/>
      </c>
      <c r="BB1202" s="5" t="str">
        <f aca="false">IF($AP1202="","",IF((($AP1202="Engineering and Technology")+($AP1202="Science and Mathematics")+($AP1202="Computer Science, IT and Allied Fields")+($AP1202="Life Sciences /Medicine and Healthcare")+($AP1202="Paramedical")+($AP1202="Architecture")+($AP1202="Environmental Service")+($AP1202="Agriculture, Food Industry and Forestry"))&gt;0,"Science",IF((($AP1202="Banking and Finance")+($AP1202="Management and Administration")+($AP1202="Marketing")+($AP1202="Sales")+($AP1202="Entrepreneurship")+($AP1202="Hospitality and Tourism"))&gt;0,"Commerce",IF((($AP1202="Social Sciences and Humanities")+($AP1202="Law Studies")+($AP1202="Education and Training")+($AP1202="Art, Design")+($AP1202="Entertainment and Mass Media")+($AP1202="Community and Social Service")+($AP1202="Personal Care and Services")+($AP1202="Government and Public Administration")+($AP1202="Defence/ Protective Service")+($AP1202="Sports"))&gt;0,"Arts / Humanities",""))))</f>
        <v/>
      </c>
      <c r="BC1202" s="5" t="str">
        <f aca="false">IF($AL1202="","",IF((($AL1202="Engineering and Technology")+($AL1202="Science and Mathematics")+($AL1202="Computer Science, IT and Allied Fields")+($AL1202="Life Sciences /Medicine and Healthcare")+($AL1202="Paramedical")+($AL1202="Architecture")+($AL1202="Environmental Service")+($AL1202="Agriculture, Food Industry and Forestry"))&gt;0,"Science",IF((($AL1202="Banking and Finance")+($AL1202="Management and Administration")+($AL1202="Marketing")+($AL1202="Sales")+($AL1202="Entrepreneurship")+($AL1202="Hospitality and Tourism"))&gt;0,"Commerce",IF((($AL1202="Social Sciences and Humanities")+($AL1202="Law Studies")+($AL1202="Education and Training")+($AL1202="Art, Design")+($AL1202="Entertainment and Mass Media")+($AL1202="Community and Social Service")+($AL1202="Personal Care and Services")+($AL1202="Government and Public Administration")+($AL1202="Defence/ Protective Service")+($AL1202="Sports"))&gt;0,"Arts / Humanities",""))))</f>
        <v/>
      </c>
      <c r="BD1202" s="5" t="str">
        <f aca="false">IF($B1202="","",--(F1202&gt;=10)+--(G1202&gt;=10)+--(H1202&gt;=10)+--(I1202&gt;=10)+--(J1202&gt;=10)+--(K1202&gt;=10)+--(L1202&gt;=10)+--(M1202&gt;=10)+--(N1202&gt;=10)+--(O1202&gt;=10))</f>
        <v/>
      </c>
      <c r="BE1202" s="5" t="str">
        <f aca="false">IF($B1202="","",--(AND(F1202&lt;&gt;"",F1202&lt;=8))+--(AND(G1202&lt;&gt;"",G1202&lt;=8))+--(AND(H1202&lt;&gt;"",H1202&lt;=8))+--(AND(I1202&lt;&gt;"",I1202&lt;=8))+--(AND(J1202&lt;&gt;"",J1202&lt;=8))+--(AND(K1202&lt;&gt;"",K1202&lt;=8))+--(AND(L1202&lt;&gt;"",L1202&lt;=8))+--(AND(M1202&lt;&gt;"",M1202&lt;=8))+--(AND(N1202&lt;&gt;"",N1202&lt;=8))+--(AND(O1202&lt;&gt;"",O1202&lt;=8)))</f>
        <v/>
      </c>
    </row>
    <row r="1203" customFormat="false" ht="15" hidden="false" customHeight="false" outlineLevel="0" collapsed="false">
      <c r="AZ1203" s="5" t="str">
        <f aca="false">IF($B1203="","",SUMPRODUCT(($AL1203:$AO1203&lt;&gt;"")*(COUNTIF($AP1203:$AX1203,$AL1203:$AO1203)&gt;0)))</f>
        <v/>
      </c>
      <c r="BA1203" s="5" t="str">
        <f aca="false">IF($B1203="","",IF(AZ1203&gt;0,1,0))</f>
        <v/>
      </c>
      <c r="BB1203" s="5" t="str">
        <f aca="false">IF($AP1203="","",IF((($AP1203="Engineering and Technology")+($AP1203="Science and Mathematics")+($AP1203="Computer Science, IT and Allied Fields")+($AP1203="Life Sciences /Medicine and Healthcare")+($AP1203="Paramedical")+($AP1203="Architecture")+($AP1203="Environmental Service")+($AP1203="Agriculture, Food Industry and Forestry"))&gt;0,"Science",IF((($AP1203="Banking and Finance")+($AP1203="Management and Administration")+($AP1203="Marketing")+($AP1203="Sales")+($AP1203="Entrepreneurship")+($AP1203="Hospitality and Tourism"))&gt;0,"Commerce",IF((($AP1203="Social Sciences and Humanities")+($AP1203="Law Studies")+($AP1203="Education and Training")+($AP1203="Art, Design")+($AP1203="Entertainment and Mass Media")+($AP1203="Community and Social Service")+($AP1203="Personal Care and Services")+($AP1203="Government and Public Administration")+($AP1203="Defence/ Protective Service")+($AP1203="Sports"))&gt;0,"Arts / Humanities",""))))</f>
        <v/>
      </c>
      <c r="BC1203" s="5" t="str">
        <f aca="false">IF($AL1203="","",IF((($AL1203="Engineering and Technology")+($AL1203="Science and Mathematics")+($AL1203="Computer Science, IT and Allied Fields")+($AL1203="Life Sciences /Medicine and Healthcare")+($AL1203="Paramedical")+($AL1203="Architecture")+($AL1203="Environmental Service")+($AL1203="Agriculture, Food Industry and Forestry"))&gt;0,"Science",IF((($AL1203="Banking and Finance")+($AL1203="Management and Administration")+($AL1203="Marketing")+($AL1203="Sales")+($AL1203="Entrepreneurship")+($AL1203="Hospitality and Tourism"))&gt;0,"Commerce",IF((($AL1203="Social Sciences and Humanities")+($AL1203="Law Studies")+($AL1203="Education and Training")+($AL1203="Art, Design")+($AL1203="Entertainment and Mass Media")+($AL1203="Community and Social Service")+($AL1203="Personal Care and Services")+($AL1203="Government and Public Administration")+($AL1203="Defence/ Protective Service")+($AL1203="Sports"))&gt;0,"Arts / Humanities",""))))</f>
        <v/>
      </c>
      <c r="BD1203" s="5" t="str">
        <f aca="false">IF($B1203="","",--(F1203&gt;=10)+--(G1203&gt;=10)+--(H1203&gt;=10)+--(I1203&gt;=10)+--(J1203&gt;=10)+--(K1203&gt;=10)+--(L1203&gt;=10)+--(M1203&gt;=10)+--(N1203&gt;=10)+--(O1203&gt;=10))</f>
        <v/>
      </c>
      <c r="BE1203" s="5" t="str">
        <f aca="false">IF($B1203="","",--(AND(F1203&lt;&gt;"",F1203&lt;=8))+--(AND(G1203&lt;&gt;"",G1203&lt;=8))+--(AND(H1203&lt;&gt;"",H1203&lt;=8))+--(AND(I1203&lt;&gt;"",I1203&lt;=8))+--(AND(J1203&lt;&gt;"",J1203&lt;=8))+--(AND(K1203&lt;&gt;"",K1203&lt;=8))+--(AND(L1203&lt;&gt;"",L1203&lt;=8))+--(AND(M1203&lt;&gt;"",M1203&lt;=8))+--(AND(N1203&lt;&gt;"",N1203&lt;=8))+--(AND(O1203&lt;&gt;"",O1203&lt;=8)))</f>
        <v/>
      </c>
    </row>
    <row r="1204" customFormat="false" ht="15" hidden="false" customHeight="false" outlineLevel="0" collapsed="false">
      <c r="AZ1204" s="5" t="str">
        <f aca="false">IF($B1204="","",SUMPRODUCT(($AL1204:$AO1204&lt;&gt;"")*(COUNTIF($AP1204:$AX1204,$AL1204:$AO1204)&gt;0)))</f>
        <v/>
      </c>
      <c r="BA1204" s="5" t="str">
        <f aca="false">IF($B1204="","",IF(AZ1204&gt;0,1,0))</f>
        <v/>
      </c>
      <c r="BB1204" s="5" t="str">
        <f aca="false">IF($AP1204="","",IF((($AP1204="Engineering and Technology")+($AP1204="Science and Mathematics")+($AP1204="Computer Science, IT and Allied Fields")+($AP1204="Life Sciences /Medicine and Healthcare")+($AP1204="Paramedical")+($AP1204="Architecture")+($AP1204="Environmental Service")+($AP1204="Agriculture, Food Industry and Forestry"))&gt;0,"Science",IF((($AP1204="Banking and Finance")+($AP1204="Management and Administration")+($AP1204="Marketing")+($AP1204="Sales")+($AP1204="Entrepreneurship")+($AP1204="Hospitality and Tourism"))&gt;0,"Commerce",IF((($AP1204="Social Sciences and Humanities")+($AP1204="Law Studies")+($AP1204="Education and Training")+($AP1204="Art, Design")+($AP1204="Entertainment and Mass Media")+($AP1204="Community and Social Service")+($AP1204="Personal Care and Services")+($AP1204="Government and Public Administration")+($AP1204="Defence/ Protective Service")+($AP1204="Sports"))&gt;0,"Arts / Humanities",""))))</f>
        <v/>
      </c>
      <c r="BC1204" s="5" t="str">
        <f aca="false">IF($AL1204="","",IF((($AL1204="Engineering and Technology")+($AL1204="Science and Mathematics")+($AL1204="Computer Science, IT and Allied Fields")+($AL1204="Life Sciences /Medicine and Healthcare")+($AL1204="Paramedical")+($AL1204="Architecture")+($AL1204="Environmental Service")+($AL1204="Agriculture, Food Industry and Forestry"))&gt;0,"Science",IF((($AL1204="Banking and Finance")+($AL1204="Management and Administration")+($AL1204="Marketing")+($AL1204="Sales")+($AL1204="Entrepreneurship")+($AL1204="Hospitality and Tourism"))&gt;0,"Commerce",IF((($AL1204="Social Sciences and Humanities")+($AL1204="Law Studies")+($AL1204="Education and Training")+($AL1204="Art, Design")+($AL1204="Entertainment and Mass Media")+($AL1204="Community and Social Service")+($AL1204="Personal Care and Services")+($AL1204="Government and Public Administration")+($AL1204="Defence/ Protective Service")+($AL1204="Sports"))&gt;0,"Arts / Humanities",""))))</f>
        <v/>
      </c>
      <c r="BD1204" s="5" t="str">
        <f aca="false">IF($B1204="","",--(F1204&gt;=10)+--(G1204&gt;=10)+--(H1204&gt;=10)+--(I1204&gt;=10)+--(J1204&gt;=10)+--(K1204&gt;=10)+--(L1204&gt;=10)+--(M1204&gt;=10)+--(N1204&gt;=10)+--(O1204&gt;=10))</f>
        <v/>
      </c>
      <c r="BE1204" s="5" t="str">
        <f aca="false">IF($B1204="","",--(AND(F1204&lt;&gt;"",F1204&lt;=8))+--(AND(G1204&lt;&gt;"",G1204&lt;=8))+--(AND(H1204&lt;&gt;"",H1204&lt;=8))+--(AND(I1204&lt;&gt;"",I1204&lt;=8))+--(AND(J1204&lt;&gt;"",J1204&lt;=8))+--(AND(K1204&lt;&gt;"",K1204&lt;=8))+--(AND(L1204&lt;&gt;"",L1204&lt;=8))+--(AND(M1204&lt;&gt;"",M1204&lt;=8))+--(AND(N1204&lt;&gt;"",N1204&lt;=8))+--(AND(O1204&lt;&gt;"",O1204&lt;=8)))</f>
        <v/>
      </c>
    </row>
    <row r="1205" customFormat="false" ht="15" hidden="false" customHeight="false" outlineLevel="0" collapsed="false">
      <c r="AZ1205" s="5" t="str">
        <f aca="false">IF($B1205="","",SUMPRODUCT(($AL1205:$AO1205&lt;&gt;"")*(COUNTIF($AP1205:$AX1205,$AL1205:$AO1205)&gt;0)))</f>
        <v/>
      </c>
      <c r="BA1205" s="5" t="str">
        <f aca="false">IF($B1205="","",IF(AZ1205&gt;0,1,0))</f>
        <v/>
      </c>
      <c r="BB1205" s="5" t="str">
        <f aca="false">IF($AP1205="","",IF((($AP1205="Engineering and Technology")+($AP1205="Science and Mathematics")+($AP1205="Computer Science, IT and Allied Fields")+($AP1205="Life Sciences /Medicine and Healthcare")+($AP1205="Paramedical")+($AP1205="Architecture")+($AP1205="Environmental Service")+($AP1205="Agriculture, Food Industry and Forestry"))&gt;0,"Science",IF((($AP1205="Banking and Finance")+($AP1205="Management and Administration")+($AP1205="Marketing")+($AP1205="Sales")+($AP1205="Entrepreneurship")+($AP1205="Hospitality and Tourism"))&gt;0,"Commerce",IF((($AP1205="Social Sciences and Humanities")+($AP1205="Law Studies")+($AP1205="Education and Training")+($AP1205="Art, Design")+($AP1205="Entertainment and Mass Media")+($AP1205="Community and Social Service")+($AP1205="Personal Care and Services")+($AP1205="Government and Public Administration")+($AP1205="Defence/ Protective Service")+($AP1205="Sports"))&gt;0,"Arts / Humanities",""))))</f>
        <v/>
      </c>
      <c r="BC1205" s="5" t="str">
        <f aca="false">IF($AL1205="","",IF((($AL1205="Engineering and Technology")+($AL1205="Science and Mathematics")+($AL1205="Computer Science, IT and Allied Fields")+($AL1205="Life Sciences /Medicine and Healthcare")+($AL1205="Paramedical")+($AL1205="Architecture")+($AL1205="Environmental Service")+($AL1205="Agriculture, Food Industry and Forestry"))&gt;0,"Science",IF((($AL1205="Banking and Finance")+($AL1205="Management and Administration")+($AL1205="Marketing")+($AL1205="Sales")+($AL1205="Entrepreneurship")+($AL1205="Hospitality and Tourism"))&gt;0,"Commerce",IF((($AL1205="Social Sciences and Humanities")+($AL1205="Law Studies")+($AL1205="Education and Training")+($AL1205="Art, Design")+($AL1205="Entertainment and Mass Media")+($AL1205="Community and Social Service")+($AL1205="Personal Care and Services")+($AL1205="Government and Public Administration")+($AL1205="Defence/ Protective Service")+($AL1205="Sports"))&gt;0,"Arts / Humanities",""))))</f>
        <v/>
      </c>
      <c r="BD1205" s="5" t="str">
        <f aca="false">IF($B1205="","",--(F1205&gt;=10)+--(G1205&gt;=10)+--(H1205&gt;=10)+--(I1205&gt;=10)+--(J1205&gt;=10)+--(K1205&gt;=10)+--(L1205&gt;=10)+--(M1205&gt;=10)+--(N1205&gt;=10)+--(O1205&gt;=10))</f>
        <v/>
      </c>
      <c r="BE1205" s="5" t="str">
        <f aca="false">IF($B1205="","",--(AND(F1205&lt;&gt;"",F1205&lt;=8))+--(AND(G1205&lt;&gt;"",G1205&lt;=8))+--(AND(H1205&lt;&gt;"",H1205&lt;=8))+--(AND(I1205&lt;&gt;"",I1205&lt;=8))+--(AND(J1205&lt;&gt;"",J1205&lt;=8))+--(AND(K1205&lt;&gt;"",K1205&lt;=8))+--(AND(L1205&lt;&gt;"",L1205&lt;=8))+--(AND(M1205&lt;&gt;"",M1205&lt;=8))+--(AND(N1205&lt;&gt;"",N1205&lt;=8))+--(AND(O1205&lt;&gt;"",O1205&lt;=8)))</f>
        <v/>
      </c>
    </row>
    <row r="1206" customFormat="false" ht="15" hidden="false" customHeight="false" outlineLevel="0" collapsed="false">
      <c r="AZ1206" s="5" t="str">
        <f aca="false">IF($B1206="","",SUMPRODUCT(($AL1206:$AO1206&lt;&gt;"")*(COUNTIF($AP1206:$AX1206,$AL1206:$AO1206)&gt;0)))</f>
        <v/>
      </c>
      <c r="BA1206" s="5" t="str">
        <f aca="false">IF($B1206="","",IF(AZ1206&gt;0,1,0))</f>
        <v/>
      </c>
      <c r="BB1206" s="5" t="str">
        <f aca="false">IF($AP1206="","",IF((($AP1206="Engineering and Technology")+($AP1206="Science and Mathematics")+($AP1206="Computer Science, IT and Allied Fields")+($AP1206="Life Sciences /Medicine and Healthcare")+($AP1206="Paramedical")+($AP1206="Architecture")+($AP1206="Environmental Service")+($AP1206="Agriculture, Food Industry and Forestry"))&gt;0,"Science",IF((($AP1206="Banking and Finance")+($AP1206="Management and Administration")+($AP1206="Marketing")+($AP1206="Sales")+($AP1206="Entrepreneurship")+($AP1206="Hospitality and Tourism"))&gt;0,"Commerce",IF((($AP1206="Social Sciences and Humanities")+($AP1206="Law Studies")+($AP1206="Education and Training")+($AP1206="Art, Design")+($AP1206="Entertainment and Mass Media")+($AP1206="Community and Social Service")+($AP1206="Personal Care and Services")+($AP1206="Government and Public Administration")+($AP1206="Defence/ Protective Service")+($AP1206="Sports"))&gt;0,"Arts / Humanities",""))))</f>
        <v/>
      </c>
      <c r="BC1206" s="5" t="str">
        <f aca="false">IF($AL1206="","",IF((($AL1206="Engineering and Technology")+($AL1206="Science and Mathematics")+($AL1206="Computer Science, IT and Allied Fields")+($AL1206="Life Sciences /Medicine and Healthcare")+($AL1206="Paramedical")+($AL1206="Architecture")+($AL1206="Environmental Service")+($AL1206="Agriculture, Food Industry and Forestry"))&gt;0,"Science",IF((($AL1206="Banking and Finance")+($AL1206="Management and Administration")+($AL1206="Marketing")+($AL1206="Sales")+($AL1206="Entrepreneurship")+($AL1206="Hospitality and Tourism"))&gt;0,"Commerce",IF((($AL1206="Social Sciences and Humanities")+($AL1206="Law Studies")+($AL1206="Education and Training")+($AL1206="Art, Design")+($AL1206="Entertainment and Mass Media")+($AL1206="Community and Social Service")+($AL1206="Personal Care and Services")+($AL1206="Government and Public Administration")+($AL1206="Defence/ Protective Service")+($AL1206="Sports"))&gt;0,"Arts / Humanities",""))))</f>
        <v/>
      </c>
      <c r="BD1206" s="5" t="str">
        <f aca="false">IF($B1206="","",--(F1206&gt;=10)+--(G1206&gt;=10)+--(H1206&gt;=10)+--(I1206&gt;=10)+--(J1206&gt;=10)+--(K1206&gt;=10)+--(L1206&gt;=10)+--(M1206&gt;=10)+--(N1206&gt;=10)+--(O1206&gt;=10))</f>
        <v/>
      </c>
      <c r="BE1206" s="5" t="str">
        <f aca="false">IF($B1206="","",--(AND(F1206&lt;&gt;"",F1206&lt;=8))+--(AND(G1206&lt;&gt;"",G1206&lt;=8))+--(AND(H1206&lt;&gt;"",H1206&lt;=8))+--(AND(I1206&lt;&gt;"",I1206&lt;=8))+--(AND(J1206&lt;&gt;"",J1206&lt;=8))+--(AND(K1206&lt;&gt;"",K1206&lt;=8))+--(AND(L1206&lt;&gt;"",L1206&lt;=8))+--(AND(M1206&lt;&gt;"",M1206&lt;=8))+--(AND(N1206&lt;&gt;"",N1206&lt;=8))+--(AND(O1206&lt;&gt;"",O1206&lt;=8)))</f>
        <v/>
      </c>
    </row>
    <row r="1207" customFormat="false" ht="15" hidden="false" customHeight="false" outlineLevel="0" collapsed="false">
      <c r="AZ1207" s="5" t="str">
        <f aca="false">IF($B1207="","",SUMPRODUCT(($AL1207:$AO1207&lt;&gt;"")*(COUNTIF($AP1207:$AX1207,$AL1207:$AO1207)&gt;0)))</f>
        <v/>
      </c>
      <c r="BA1207" s="5" t="str">
        <f aca="false">IF($B1207="","",IF(AZ1207&gt;0,1,0))</f>
        <v/>
      </c>
      <c r="BB1207" s="5" t="str">
        <f aca="false">IF($AP1207="","",IF((($AP1207="Engineering and Technology")+($AP1207="Science and Mathematics")+($AP1207="Computer Science, IT and Allied Fields")+($AP1207="Life Sciences /Medicine and Healthcare")+($AP1207="Paramedical")+($AP1207="Architecture")+($AP1207="Environmental Service")+($AP1207="Agriculture, Food Industry and Forestry"))&gt;0,"Science",IF((($AP1207="Banking and Finance")+($AP1207="Management and Administration")+($AP1207="Marketing")+($AP1207="Sales")+($AP1207="Entrepreneurship")+($AP1207="Hospitality and Tourism"))&gt;0,"Commerce",IF((($AP1207="Social Sciences and Humanities")+($AP1207="Law Studies")+($AP1207="Education and Training")+($AP1207="Art, Design")+($AP1207="Entertainment and Mass Media")+($AP1207="Community and Social Service")+($AP1207="Personal Care and Services")+($AP1207="Government and Public Administration")+($AP1207="Defence/ Protective Service")+($AP1207="Sports"))&gt;0,"Arts / Humanities",""))))</f>
        <v/>
      </c>
      <c r="BC1207" s="5" t="str">
        <f aca="false">IF($AL1207="","",IF((($AL1207="Engineering and Technology")+($AL1207="Science and Mathematics")+($AL1207="Computer Science, IT and Allied Fields")+($AL1207="Life Sciences /Medicine and Healthcare")+($AL1207="Paramedical")+($AL1207="Architecture")+($AL1207="Environmental Service")+($AL1207="Agriculture, Food Industry and Forestry"))&gt;0,"Science",IF((($AL1207="Banking and Finance")+($AL1207="Management and Administration")+($AL1207="Marketing")+($AL1207="Sales")+($AL1207="Entrepreneurship")+($AL1207="Hospitality and Tourism"))&gt;0,"Commerce",IF((($AL1207="Social Sciences and Humanities")+($AL1207="Law Studies")+($AL1207="Education and Training")+($AL1207="Art, Design")+($AL1207="Entertainment and Mass Media")+($AL1207="Community and Social Service")+($AL1207="Personal Care and Services")+($AL1207="Government and Public Administration")+($AL1207="Defence/ Protective Service")+($AL1207="Sports"))&gt;0,"Arts / Humanities",""))))</f>
        <v/>
      </c>
      <c r="BD1207" s="5" t="str">
        <f aca="false">IF($B1207="","",--(F1207&gt;=10)+--(G1207&gt;=10)+--(H1207&gt;=10)+--(I1207&gt;=10)+--(J1207&gt;=10)+--(K1207&gt;=10)+--(L1207&gt;=10)+--(M1207&gt;=10)+--(N1207&gt;=10)+--(O1207&gt;=10))</f>
        <v/>
      </c>
      <c r="BE1207" s="5" t="str">
        <f aca="false">IF($B1207="","",--(AND(F1207&lt;&gt;"",F1207&lt;=8))+--(AND(G1207&lt;&gt;"",G1207&lt;=8))+--(AND(H1207&lt;&gt;"",H1207&lt;=8))+--(AND(I1207&lt;&gt;"",I1207&lt;=8))+--(AND(J1207&lt;&gt;"",J1207&lt;=8))+--(AND(K1207&lt;&gt;"",K1207&lt;=8))+--(AND(L1207&lt;&gt;"",L1207&lt;=8))+--(AND(M1207&lt;&gt;"",M1207&lt;=8))+--(AND(N1207&lt;&gt;"",N1207&lt;=8))+--(AND(O1207&lt;&gt;"",O1207&lt;=8)))</f>
        <v/>
      </c>
    </row>
    <row r="1208" customFormat="false" ht="15" hidden="false" customHeight="false" outlineLevel="0" collapsed="false">
      <c r="AZ1208" s="5" t="str">
        <f aca="false">IF($B1208="","",SUMPRODUCT(($AL1208:$AO1208&lt;&gt;"")*(COUNTIF($AP1208:$AX1208,$AL1208:$AO1208)&gt;0)))</f>
        <v/>
      </c>
      <c r="BA1208" s="5" t="str">
        <f aca="false">IF($B1208="","",IF(AZ1208&gt;0,1,0))</f>
        <v/>
      </c>
      <c r="BB1208" s="5" t="str">
        <f aca="false">IF($AP1208="","",IF((($AP1208="Engineering and Technology")+($AP1208="Science and Mathematics")+($AP1208="Computer Science, IT and Allied Fields")+($AP1208="Life Sciences /Medicine and Healthcare")+($AP1208="Paramedical")+($AP1208="Architecture")+($AP1208="Environmental Service")+($AP1208="Agriculture, Food Industry and Forestry"))&gt;0,"Science",IF((($AP1208="Banking and Finance")+($AP1208="Management and Administration")+($AP1208="Marketing")+($AP1208="Sales")+($AP1208="Entrepreneurship")+($AP1208="Hospitality and Tourism"))&gt;0,"Commerce",IF((($AP1208="Social Sciences and Humanities")+($AP1208="Law Studies")+($AP1208="Education and Training")+($AP1208="Art, Design")+($AP1208="Entertainment and Mass Media")+($AP1208="Community and Social Service")+($AP1208="Personal Care and Services")+($AP1208="Government and Public Administration")+($AP1208="Defence/ Protective Service")+($AP1208="Sports"))&gt;0,"Arts / Humanities",""))))</f>
        <v/>
      </c>
      <c r="BC1208" s="5" t="str">
        <f aca="false">IF($AL1208="","",IF((($AL1208="Engineering and Technology")+($AL1208="Science and Mathematics")+($AL1208="Computer Science, IT and Allied Fields")+($AL1208="Life Sciences /Medicine and Healthcare")+($AL1208="Paramedical")+($AL1208="Architecture")+($AL1208="Environmental Service")+($AL1208="Agriculture, Food Industry and Forestry"))&gt;0,"Science",IF((($AL1208="Banking and Finance")+($AL1208="Management and Administration")+($AL1208="Marketing")+($AL1208="Sales")+($AL1208="Entrepreneurship")+($AL1208="Hospitality and Tourism"))&gt;0,"Commerce",IF((($AL1208="Social Sciences and Humanities")+($AL1208="Law Studies")+($AL1208="Education and Training")+($AL1208="Art, Design")+($AL1208="Entertainment and Mass Media")+($AL1208="Community and Social Service")+($AL1208="Personal Care and Services")+($AL1208="Government and Public Administration")+($AL1208="Defence/ Protective Service")+($AL1208="Sports"))&gt;0,"Arts / Humanities",""))))</f>
        <v/>
      </c>
      <c r="BD1208" s="5" t="str">
        <f aca="false">IF($B1208="","",--(F1208&gt;=10)+--(G1208&gt;=10)+--(H1208&gt;=10)+--(I1208&gt;=10)+--(J1208&gt;=10)+--(K1208&gt;=10)+--(L1208&gt;=10)+--(M1208&gt;=10)+--(N1208&gt;=10)+--(O1208&gt;=10))</f>
        <v/>
      </c>
      <c r="BE1208" s="5" t="str">
        <f aca="false">IF($B1208="","",--(AND(F1208&lt;&gt;"",F1208&lt;=8))+--(AND(G1208&lt;&gt;"",G1208&lt;=8))+--(AND(H1208&lt;&gt;"",H1208&lt;=8))+--(AND(I1208&lt;&gt;"",I1208&lt;=8))+--(AND(J1208&lt;&gt;"",J1208&lt;=8))+--(AND(K1208&lt;&gt;"",K1208&lt;=8))+--(AND(L1208&lt;&gt;"",L1208&lt;=8))+--(AND(M1208&lt;&gt;"",M1208&lt;=8))+--(AND(N1208&lt;&gt;"",N1208&lt;=8))+--(AND(O1208&lt;&gt;"",O1208&lt;=8)))</f>
        <v/>
      </c>
    </row>
    <row r="1209" customFormat="false" ht="15" hidden="false" customHeight="false" outlineLevel="0" collapsed="false">
      <c r="AZ1209" s="5" t="str">
        <f aca="false">IF($B1209="","",SUMPRODUCT(($AL1209:$AO1209&lt;&gt;"")*(COUNTIF($AP1209:$AX1209,$AL1209:$AO1209)&gt;0)))</f>
        <v/>
      </c>
      <c r="BA1209" s="5" t="str">
        <f aca="false">IF($B1209="","",IF(AZ1209&gt;0,1,0))</f>
        <v/>
      </c>
      <c r="BB1209" s="5" t="str">
        <f aca="false">IF($AP1209="","",IF((($AP1209="Engineering and Technology")+($AP1209="Science and Mathematics")+($AP1209="Computer Science, IT and Allied Fields")+($AP1209="Life Sciences /Medicine and Healthcare")+($AP1209="Paramedical")+($AP1209="Architecture")+($AP1209="Environmental Service")+($AP1209="Agriculture, Food Industry and Forestry"))&gt;0,"Science",IF((($AP1209="Banking and Finance")+($AP1209="Management and Administration")+($AP1209="Marketing")+($AP1209="Sales")+($AP1209="Entrepreneurship")+($AP1209="Hospitality and Tourism"))&gt;0,"Commerce",IF((($AP1209="Social Sciences and Humanities")+($AP1209="Law Studies")+($AP1209="Education and Training")+($AP1209="Art, Design")+($AP1209="Entertainment and Mass Media")+($AP1209="Community and Social Service")+($AP1209="Personal Care and Services")+($AP1209="Government and Public Administration")+($AP1209="Defence/ Protective Service")+($AP1209="Sports"))&gt;0,"Arts / Humanities",""))))</f>
        <v/>
      </c>
      <c r="BC1209" s="5" t="str">
        <f aca="false">IF($AL1209="","",IF((($AL1209="Engineering and Technology")+($AL1209="Science and Mathematics")+($AL1209="Computer Science, IT and Allied Fields")+($AL1209="Life Sciences /Medicine and Healthcare")+($AL1209="Paramedical")+($AL1209="Architecture")+($AL1209="Environmental Service")+($AL1209="Agriculture, Food Industry and Forestry"))&gt;0,"Science",IF((($AL1209="Banking and Finance")+($AL1209="Management and Administration")+($AL1209="Marketing")+($AL1209="Sales")+($AL1209="Entrepreneurship")+($AL1209="Hospitality and Tourism"))&gt;0,"Commerce",IF((($AL1209="Social Sciences and Humanities")+($AL1209="Law Studies")+($AL1209="Education and Training")+($AL1209="Art, Design")+($AL1209="Entertainment and Mass Media")+($AL1209="Community and Social Service")+($AL1209="Personal Care and Services")+($AL1209="Government and Public Administration")+($AL1209="Defence/ Protective Service")+($AL1209="Sports"))&gt;0,"Arts / Humanities",""))))</f>
        <v/>
      </c>
      <c r="BD1209" s="5" t="str">
        <f aca="false">IF($B1209="","",--(F1209&gt;=10)+--(G1209&gt;=10)+--(H1209&gt;=10)+--(I1209&gt;=10)+--(J1209&gt;=10)+--(K1209&gt;=10)+--(L1209&gt;=10)+--(M1209&gt;=10)+--(N1209&gt;=10)+--(O1209&gt;=10))</f>
        <v/>
      </c>
      <c r="BE1209" s="5" t="str">
        <f aca="false">IF($B1209="","",--(AND(F1209&lt;&gt;"",F1209&lt;=8))+--(AND(G1209&lt;&gt;"",G1209&lt;=8))+--(AND(H1209&lt;&gt;"",H1209&lt;=8))+--(AND(I1209&lt;&gt;"",I1209&lt;=8))+--(AND(J1209&lt;&gt;"",J1209&lt;=8))+--(AND(K1209&lt;&gt;"",K1209&lt;=8))+--(AND(L1209&lt;&gt;"",L1209&lt;=8))+--(AND(M1209&lt;&gt;"",M1209&lt;=8))+--(AND(N1209&lt;&gt;"",N1209&lt;=8))+--(AND(O1209&lt;&gt;"",O1209&lt;=8)))</f>
        <v/>
      </c>
    </row>
    <row r="1210" customFormat="false" ht="15" hidden="false" customHeight="false" outlineLevel="0" collapsed="false">
      <c r="AZ1210" s="5" t="str">
        <f aca="false">IF($B1210="","",SUMPRODUCT(($AL1210:$AO1210&lt;&gt;"")*(COUNTIF($AP1210:$AX1210,$AL1210:$AO1210)&gt;0)))</f>
        <v/>
      </c>
      <c r="BA1210" s="5" t="str">
        <f aca="false">IF($B1210="","",IF(AZ1210&gt;0,1,0))</f>
        <v/>
      </c>
      <c r="BB1210" s="5" t="str">
        <f aca="false">IF($AP1210="","",IF((($AP1210="Engineering and Technology")+($AP1210="Science and Mathematics")+($AP1210="Computer Science, IT and Allied Fields")+($AP1210="Life Sciences /Medicine and Healthcare")+($AP1210="Paramedical")+($AP1210="Architecture")+($AP1210="Environmental Service")+($AP1210="Agriculture, Food Industry and Forestry"))&gt;0,"Science",IF((($AP1210="Banking and Finance")+($AP1210="Management and Administration")+($AP1210="Marketing")+($AP1210="Sales")+($AP1210="Entrepreneurship")+($AP1210="Hospitality and Tourism"))&gt;0,"Commerce",IF((($AP1210="Social Sciences and Humanities")+($AP1210="Law Studies")+($AP1210="Education and Training")+($AP1210="Art, Design")+($AP1210="Entertainment and Mass Media")+($AP1210="Community and Social Service")+($AP1210="Personal Care and Services")+($AP1210="Government and Public Administration")+($AP1210="Defence/ Protective Service")+($AP1210="Sports"))&gt;0,"Arts / Humanities",""))))</f>
        <v/>
      </c>
      <c r="BC1210" s="5" t="str">
        <f aca="false">IF($AL1210="","",IF((($AL1210="Engineering and Technology")+($AL1210="Science and Mathematics")+($AL1210="Computer Science, IT and Allied Fields")+($AL1210="Life Sciences /Medicine and Healthcare")+($AL1210="Paramedical")+($AL1210="Architecture")+($AL1210="Environmental Service")+($AL1210="Agriculture, Food Industry and Forestry"))&gt;0,"Science",IF((($AL1210="Banking and Finance")+($AL1210="Management and Administration")+($AL1210="Marketing")+($AL1210="Sales")+($AL1210="Entrepreneurship")+($AL1210="Hospitality and Tourism"))&gt;0,"Commerce",IF((($AL1210="Social Sciences and Humanities")+($AL1210="Law Studies")+($AL1210="Education and Training")+($AL1210="Art, Design")+($AL1210="Entertainment and Mass Media")+($AL1210="Community and Social Service")+($AL1210="Personal Care and Services")+($AL1210="Government and Public Administration")+($AL1210="Defence/ Protective Service")+($AL1210="Sports"))&gt;0,"Arts / Humanities",""))))</f>
        <v/>
      </c>
      <c r="BD1210" s="5" t="str">
        <f aca="false">IF($B1210="","",--(F1210&gt;=10)+--(G1210&gt;=10)+--(H1210&gt;=10)+--(I1210&gt;=10)+--(J1210&gt;=10)+--(K1210&gt;=10)+--(L1210&gt;=10)+--(M1210&gt;=10)+--(N1210&gt;=10)+--(O1210&gt;=10))</f>
        <v/>
      </c>
      <c r="BE1210" s="5" t="str">
        <f aca="false">IF($B1210="","",--(AND(F1210&lt;&gt;"",F1210&lt;=8))+--(AND(G1210&lt;&gt;"",G1210&lt;=8))+--(AND(H1210&lt;&gt;"",H1210&lt;=8))+--(AND(I1210&lt;&gt;"",I1210&lt;=8))+--(AND(J1210&lt;&gt;"",J1210&lt;=8))+--(AND(K1210&lt;&gt;"",K1210&lt;=8))+--(AND(L1210&lt;&gt;"",L1210&lt;=8))+--(AND(M1210&lt;&gt;"",M1210&lt;=8))+--(AND(N1210&lt;&gt;"",N1210&lt;=8))+--(AND(O1210&lt;&gt;"",O1210&lt;=8)))</f>
        <v/>
      </c>
    </row>
    <row r="1211" customFormat="false" ht="15" hidden="false" customHeight="false" outlineLevel="0" collapsed="false">
      <c r="AZ1211" s="5" t="str">
        <f aca="false">IF($B1211="","",SUMPRODUCT(($AL1211:$AO1211&lt;&gt;"")*(COUNTIF($AP1211:$AX1211,$AL1211:$AO1211)&gt;0)))</f>
        <v/>
      </c>
      <c r="BA1211" s="5" t="str">
        <f aca="false">IF($B1211="","",IF(AZ1211&gt;0,1,0))</f>
        <v/>
      </c>
      <c r="BB1211" s="5" t="str">
        <f aca="false">IF($AP1211="","",IF((($AP1211="Engineering and Technology")+($AP1211="Science and Mathematics")+($AP1211="Computer Science, IT and Allied Fields")+($AP1211="Life Sciences /Medicine and Healthcare")+($AP1211="Paramedical")+($AP1211="Architecture")+($AP1211="Environmental Service")+($AP1211="Agriculture, Food Industry and Forestry"))&gt;0,"Science",IF((($AP1211="Banking and Finance")+($AP1211="Management and Administration")+($AP1211="Marketing")+($AP1211="Sales")+($AP1211="Entrepreneurship")+($AP1211="Hospitality and Tourism"))&gt;0,"Commerce",IF((($AP1211="Social Sciences and Humanities")+($AP1211="Law Studies")+($AP1211="Education and Training")+($AP1211="Art, Design")+($AP1211="Entertainment and Mass Media")+($AP1211="Community and Social Service")+($AP1211="Personal Care and Services")+($AP1211="Government and Public Administration")+($AP1211="Defence/ Protective Service")+($AP1211="Sports"))&gt;0,"Arts / Humanities",""))))</f>
        <v/>
      </c>
      <c r="BC1211" s="5" t="str">
        <f aca="false">IF($AL1211="","",IF((($AL1211="Engineering and Technology")+($AL1211="Science and Mathematics")+($AL1211="Computer Science, IT and Allied Fields")+($AL1211="Life Sciences /Medicine and Healthcare")+($AL1211="Paramedical")+($AL1211="Architecture")+($AL1211="Environmental Service")+($AL1211="Agriculture, Food Industry and Forestry"))&gt;0,"Science",IF((($AL1211="Banking and Finance")+($AL1211="Management and Administration")+($AL1211="Marketing")+($AL1211="Sales")+($AL1211="Entrepreneurship")+($AL1211="Hospitality and Tourism"))&gt;0,"Commerce",IF((($AL1211="Social Sciences and Humanities")+($AL1211="Law Studies")+($AL1211="Education and Training")+($AL1211="Art, Design")+($AL1211="Entertainment and Mass Media")+($AL1211="Community and Social Service")+($AL1211="Personal Care and Services")+($AL1211="Government and Public Administration")+($AL1211="Defence/ Protective Service")+($AL1211="Sports"))&gt;0,"Arts / Humanities",""))))</f>
        <v/>
      </c>
      <c r="BD1211" s="5" t="str">
        <f aca="false">IF($B1211="","",--(F1211&gt;=10)+--(G1211&gt;=10)+--(H1211&gt;=10)+--(I1211&gt;=10)+--(J1211&gt;=10)+--(K1211&gt;=10)+--(L1211&gt;=10)+--(M1211&gt;=10)+--(N1211&gt;=10)+--(O1211&gt;=10))</f>
        <v/>
      </c>
      <c r="BE1211" s="5" t="str">
        <f aca="false">IF($B1211="","",--(AND(F1211&lt;&gt;"",F1211&lt;=8))+--(AND(G1211&lt;&gt;"",G1211&lt;=8))+--(AND(H1211&lt;&gt;"",H1211&lt;=8))+--(AND(I1211&lt;&gt;"",I1211&lt;=8))+--(AND(J1211&lt;&gt;"",J1211&lt;=8))+--(AND(K1211&lt;&gt;"",K1211&lt;=8))+--(AND(L1211&lt;&gt;"",L1211&lt;=8))+--(AND(M1211&lt;&gt;"",M1211&lt;=8))+--(AND(N1211&lt;&gt;"",N1211&lt;=8))+--(AND(O1211&lt;&gt;"",O1211&lt;=8)))</f>
        <v/>
      </c>
    </row>
    <row r="1212" customFormat="false" ht="15" hidden="false" customHeight="false" outlineLevel="0" collapsed="false">
      <c r="AZ1212" s="5" t="str">
        <f aca="false">IF($B1212="","",SUMPRODUCT(($AL1212:$AO1212&lt;&gt;"")*(COUNTIF($AP1212:$AX1212,$AL1212:$AO1212)&gt;0)))</f>
        <v/>
      </c>
      <c r="BA1212" s="5" t="str">
        <f aca="false">IF($B1212="","",IF(AZ1212&gt;0,1,0))</f>
        <v/>
      </c>
      <c r="BB1212" s="5" t="str">
        <f aca="false">IF($AP1212="","",IF((($AP1212="Engineering and Technology")+($AP1212="Science and Mathematics")+($AP1212="Computer Science, IT and Allied Fields")+($AP1212="Life Sciences /Medicine and Healthcare")+($AP1212="Paramedical")+($AP1212="Architecture")+($AP1212="Environmental Service")+($AP1212="Agriculture, Food Industry and Forestry"))&gt;0,"Science",IF((($AP1212="Banking and Finance")+($AP1212="Management and Administration")+($AP1212="Marketing")+($AP1212="Sales")+($AP1212="Entrepreneurship")+($AP1212="Hospitality and Tourism"))&gt;0,"Commerce",IF((($AP1212="Social Sciences and Humanities")+($AP1212="Law Studies")+($AP1212="Education and Training")+($AP1212="Art, Design")+($AP1212="Entertainment and Mass Media")+($AP1212="Community and Social Service")+($AP1212="Personal Care and Services")+($AP1212="Government and Public Administration")+($AP1212="Defence/ Protective Service")+($AP1212="Sports"))&gt;0,"Arts / Humanities",""))))</f>
        <v/>
      </c>
      <c r="BC1212" s="5" t="str">
        <f aca="false">IF($AL1212="","",IF((($AL1212="Engineering and Technology")+($AL1212="Science and Mathematics")+($AL1212="Computer Science, IT and Allied Fields")+($AL1212="Life Sciences /Medicine and Healthcare")+($AL1212="Paramedical")+($AL1212="Architecture")+($AL1212="Environmental Service")+($AL1212="Agriculture, Food Industry and Forestry"))&gt;0,"Science",IF((($AL1212="Banking and Finance")+($AL1212="Management and Administration")+($AL1212="Marketing")+($AL1212="Sales")+($AL1212="Entrepreneurship")+($AL1212="Hospitality and Tourism"))&gt;0,"Commerce",IF((($AL1212="Social Sciences and Humanities")+($AL1212="Law Studies")+($AL1212="Education and Training")+($AL1212="Art, Design")+($AL1212="Entertainment and Mass Media")+($AL1212="Community and Social Service")+($AL1212="Personal Care and Services")+($AL1212="Government and Public Administration")+($AL1212="Defence/ Protective Service")+($AL1212="Sports"))&gt;0,"Arts / Humanities",""))))</f>
        <v/>
      </c>
      <c r="BD1212" s="5" t="str">
        <f aca="false">IF($B1212="","",--(F1212&gt;=10)+--(G1212&gt;=10)+--(H1212&gt;=10)+--(I1212&gt;=10)+--(J1212&gt;=10)+--(K1212&gt;=10)+--(L1212&gt;=10)+--(M1212&gt;=10)+--(N1212&gt;=10)+--(O1212&gt;=10))</f>
        <v/>
      </c>
      <c r="BE1212" s="5" t="str">
        <f aca="false">IF($B1212="","",--(AND(F1212&lt;&gt;"",F1212&lt;=8))+--(AND(G1212&lt;&gt;"",G1212&lt;=8))+--(AND(H1212&lt;&gt;"",H1212&lt;=8))+--(AND(I1212&lt;&gt;"",I1212&lt;=8))+--(AND(J1212&lt;&gt;"",J1212&lt;=8))+--(AND(K1212&lt;&gt;"",K1212&lt;=8))+--(AND(L1212&lt;&gt;"",L1212&lt;=8))+--(AND(M1212&lt;&gt;"",M1212&lt;=8))+--(AND(N1212&lt;&gt;"",N1212&lt;=8))+--(AND(O1212&lt;&gt;"",O1212&lt;=8)))</f>
        <v/>
      </c>
    </row>
    <row r="1213" customFormat="false" ht="15" hidden="false" customHeight="false" outlineLevel="0" collapsed="false">
      <c r="AZ1213" s="5" t="str">
        <f aca="false">IF($B1213="","",SUMPRODUCT(($AL1213:$AO1213&lt;&gt;"")*(COUNTIF($AP1213:$AX1213,$AL1213:$AO1213)&gt;0)))</f>
        <v/>
      </c>
      <c r="BA1213" s="5" t="str">
        <f aca="false">IF($B1213="","",IF(AZ1213&gt;0,1,0))</f>
        <v/>
      </c>
      <c r="BB1213" s="5" t="str">
        <f aca="false">IF($AP1213="","",IF((($AP1213="Engineering and Technology")+($AP1213="Science and Mathematics")+($AP1213="Computer Science, IT and Allied Fields")+($AP1213="Life Sciences /Medicine and Healthcare")+($AP1213="Paramedical")+($AP1213="Architecture")+($AP1213="Environmental Service")+($AP1213="Agriculture, Food Industry and Forestry"))&gt;0,"Science",IF((($AP1213="Banking and Finance")+($AP1213="Management and Administration")+($AP1213="Marketing")+($AP1213="Sales")+($AP1213="Entrepreneurship")+($AP1213="Hospitality and Tourism"))&gt;0,"Commerce",IF((($AP1213="Social Sciences and Humanities")+($AP1213="Law Studies")+($AP1213="Education and Training")+($AP1213="Art, Design")+($AP1213="Entertainment and Mass Media")+($AP1213="Community and Social Service")+($AP1213="Personal Care and Services")+($AP1213="Government and Public Administration")+($AP1213="Defence/ Protective Service")+($AP1213="Sports"))&gt;0,"Arts / Humanities",""))))</f>
        <v/>
      </c>
      <c r="BC1213" s="5" t="str">
        <f aca="false">IF($AL1213="","",IF((($AL1213="Engineering and Technology")+($AL1213="Science and Mathematics")+($AL1213="Computer Science, IT and Allied Fields")+($AL1213="Life Sciences /Medicine and Healthcare")+($AL1213="Paramedical")+($AL1213="Architecture")+($AL1213="Environmental Service")+($AL1213="Agriculture, Food Industry and Forestry"))&gt;0,"Science",IF((($AL1213="Banking and Finance")+($AL1213="Management and Administration")+($AL1213="Marketing")+($AL1213="Sales")+($AL1213="Entrepreneurship")+($AL1213="Hospitality and Tourism"))&gt;0,"Commerce",IF((($AL1213="Social Sciences and Humanities")+($AL1213="Law Studies")+($AL1213="Education and Training")+($AL1213="Art, Design")+($AL1213="Entertainment and Mass Media")+($AL1213="Community and Social Service")+($AL1213="Personal Care and Services")+($AL1213="Government and Public Administration")+($AL1213="Defence/ Protective Service")+($AL1213="Sports"))&gt;0,"Arts / Humanities",""))))</f>
        <v/>
      </c>
      <c r="BD1213" s="5" t="str">
        <f aca="false">IF($B1213="","",--(F1213&gt;=10)+--(G1213&gt;=10)+--(H1213&gt;=10)+--(I1213&gt;=10)+--(J1213&gt;=10)+--(K1213&gt;=10)+--(L1213&gt;=10)+--(M1213&gt;=10)+--(N1213&gt;=10)+--(O1213&gt;=10))</f>
        <v/>
      </c>
      <c r="BE1213" s="5" t="str">
        <f aca="false">IF($B1213="","",--(AND(F1213&lt;&gt;"",F1213&lt;=8))+--(AND(G1213&lt;&gt;"",G1213&lt;=8))+--(AND(H1213&lt;&gt;"",H1213&lt;=8))+--(AND(I1213&lt;&gt;"",I1213&lt;=8))+--(AND(J1213&lt;&gt;"",J1213&lt;=8))+--(AND(K1213&lt;&gt;"",K1213&lt;=8))+--(AND(L1213&lt;&gt;"",L1213&lt;=8))+--(AND(M1213&lt;&gt;"",M1213&lt;=8))+--(AND(N1213&lt;&gt;"",N1213&lt;=8))+--(AND(O1213&lt;&gt;"",O1213&lt;=8)))</f>
        <v/>
      </c>
    </row>
    <row r="1214" customFormat="false" ht="15" hidden="false" customHeight="false" outlineLevel="0" collapsed="false">
      <c r="AZ1214" s="5" t="str">
        <f aca="false">IF($B1214="","",SUMPRODUCT(($AL1214:$AO1214&lt;&gt;"")*(COUNTIF($AP1214:$AX1214,$AL1214:$AO1214)&gt;0)))</f>
        <v/>
      </c>
      <c r="BA1214" s="5" t="str">
        <f aca="false">IF($B1214="","",IF(AZ1214&gt;0,1,0))</f>
        <v/>
      </c>
      <c r="BB1214" s="5" t="str">
        <f aca="false">IF($AP1214="","",IF((($AP1214="Engineering and Technology")+($AP1214="Science and Mathematics")+($AP1214="Computer Science, IT and Allied Fields")+($AP1214="Life Sciences /Medicine and Healthcare")+($AP1214="Paramedical")+($AP1214="Architecture")+($AP1214="Environmental Service")+($AP1214="Agriculture, Food Industry and Forestry"))&gt;0,"Science",IF((($AP1214="Banking and Finance")+($AP1214="Management and Administration")+($AP1214="Marketing")+($AP1214="Sales")+($AP1214="Entrepreneurship")+($AP1214="Hospitality and Tourism"))&gt;0,"Commerce",IF((($AP1214="Social Sciences and Humanities")+($AP1214="Law Studies")+($AP1214="Education and Training")+($AP1214="Art, Design")+($AP1214="Entertainment and Mass Media")+($AP1214="Community and Social Service")+($AP1214="Personal Care and Services")+($AP1214="Government and Public Administration")+($AP1214="Defence/ Protective Service")+($AP1214="Sports"))&gt;0,"Arts / Humanities",""))))</f>
        <v/>
      </c>
      <c r="BC1214" s="5" t="str">
        <f aca="false">IF($AL1214="","",IF((($AL1214="Engineering and Technology")+($AL1214="Science and Mathematics")+($AL1214="Computer Science, IT and Allied Fields")+($AL1214="Life Sciences /Medicine and Healthcare")+($AL1214="Paramedical")+($AL1214="Architecture")+($AL1214="Environmental Service")+($AL1214="Agriculture, Food Industry and Forestry"))&gt;0,"Science",IF((($AL1214="Banking and Finance")+($AL1214="Management and Administration")+($AL1214="Marketing")+($AL1214="Sales")+($AL1214="Entrepreneurship")+($AL1214="Hospitality and Tourism"))&gt;0,"Commerce",IF((($AL1214="Social Sciences and Humanities")+($AL1214="Law Studies")+($AL1214="Education and Training")+($AL1214="Art, Design")+($AL1214="Entertainment and Mass Media")+($AL1214="Community and Social Service")+($AL1214="Personal Care and Services")+($AL1214="Government and Public Administration")+($AL1214="Defence/ Protective Service")+($AL1214="Sports"))&gt;0,"Arts / Humanities",""))))</f>
        <v/>
      </c>
      <c r="BD1214" s="5" t="str">
        <f aca="false">IF($B1214="","",--(F1214&gt;=10)+--(G1214&gt;=10)+--(H1214&gt;=10)+--(I1214&gt;=10)+--(J1214&gt;=10)+--(K1214&gt;=10)+--(L1214&gt;=10)+--(M1214&gt;=10)+--(N1214&gt;=10)+--(O1214&gt;=10))</f>
        <v/>
      </c>
      <c r="BE1214" s="5" t="str">
        <f aca="false">IF($B1214="","",--(AND(F1214&lt;&gt;"",F1214&lt;=8))+--(AND(G1214&lt;&gt;"",G1214&lt;=8))+--(AND(H1214&lt;&gt;"",H1214&lt;=8))+--(AND(I1214&lt;&gt;"",I1214&lt;=8))+--(AND(J1214&lt;&gt;"",J1214&lt;=8))+--(AND(K1214&lt;&gt;"",K1214&lt;=8))+--(AND(L1214&lt;&gt;"",L1214&lt;=8))+--(AND(M1214&lt;&gt;"",M1214&lt;=8))+--(AND(N1214&lt;&gt;"",N1214&lt;=8))+--(AND(O1214&lt;&gt;"",O1214&lt;=8)))</f>
        <v/>
      </c>
    </row>
    <row r="1215" customFormat="false" ht="15" hidden="false" customHeight="false" outlineLevel="0" collapsed="false">
      <c r="AZ1215" s="5" t="str">
        <f aca="false">IF($B1215="","",SUMPRODUCT(($AL1215:$AO1215&lt;&gt;"")*(COUNTIF($AP1215:$AX1215,$AL1215:$AO1215)&gt;0)))</f>
        <v/>
      </c>
      <c r="BA1215" s="5" t="str">
        <f aca="false">IF($B1215="","",IF(AZ1215&gt;0,1,0))</f>
        <v/>
      </c>
      <c r="BB1215" s="5" t="str">
        <f aca="false">IF($AP1215="","",IF((($AP1215="Engineering and Technology")+($AP1215="Science and Mathematics")+($AP1215="Computer Science, IT and Allied Fields")+($AP1215="Life Sciences /Medicine and Healthcare")+($AP1215="Paramedical")+($AP1215="Architecture")+($AP1215="Environmental Service")+($AP1215="Agriculture, Food Industry and Forestry"))&gt;0,"Science",IF((($AP1215="Banking and Finance")+($AP1215="Management and Administration")+($AP1215="Marketing")+($AP1215="Sales")+($AP1215="Entrepreneurship")+($AP1215="Hospitality and Tourism"))&gt;0,"Commerce",IF((($AP1215="Social Sciences and Humanities")+($AP1215="Law Studies")+($AP1215="Education and Training")+($AP1215="Art, Design")+($AP1215="Entertainment and Mass Media")+($AP1215="Community and Social Service")+($AP1215="Personal Care and Services")+($AP1215="Government and Public Administration")+($AP1215="Defence/ Protective Service")+($AP1215="Sports"))&gt;0,"Arts / Humanities",""))))</f>
        <v/>
      </c>
      <c r="BC1215" s="5" t="str">
        <f aca="false">IF($AL1215="","",IF((($AL1215="Engineering and Technology")+($AL1215="Science and Mathematics")+($AL1215="Computer Science, IT and Allied Fields")+($AL1215="Life Sciences /Medicine and Healthcare")+($AL1215="Paramedical")+($AL1215="Architecture")+($AL1215="Environmental Service")+($AL1215="Agriculture, Food Industry and Forestry"))&gt;0,"Science",IF((($AL1215="Banking and Finance")+($AL1215="Management and Administration")+($AL1215="Marketing")+($AL1215="Sales")+($AL1215="Entrepreneurship")+($AL1215="Hospitality and Tourism"))&gt;0,"Commerce",IF((($AL1215="Social Sciences and Humanities")+($AL1215="Law Studies")+($AL1215="Education and Training")+($AL1215="Art, Design")+($AL1215="Entertainment and Mass Media")+($AL1215="Community and Social Service")+($AL1215="Personal Care and Services")+($AL1215="Government and Public Administration")+($AL1215="Defence/ Protective Service")+($AL1215="Sports"))&gt;0,"Arts / Humanities",""))))</f>
        <v/>
      </c>
      <c r="BD1215" s="5" t="str">
        <f aca="false">IF($B1215="","",--(F1215&gt;=10)+--(G1215&gt;=10)+--(H1215&gt;=10)+--(I1215&gt;=10)+--(J1215&gt;=10)+--(K1215&gt;=10)+--(L1215&gt;=10)+--(M1215&gt;=10)+--(N1215&gt;=10)+--(O1215&gt;=10))</f>
        <v/>
      </c>
      <c r="BE1215" s="5" t="str">
        <f aca="false">IF($B1215="","",--(AND(F1215&lt;&gt;"",F1215&lt;=8))+--(AND(G1215&lt;&gt;"",G1215&lt;=8))+--(AND(H1215&lt;&gt;"",H1215&lt;=8))+--(AND(I1215&lt;&gt;"",I1215&lt;=8))+--(AND(J1215&lt;&gt;"",J1215&lt;=8))+--(AND(K1215&lt;&gt;"",K1215&lt;=8))+--(AND(L1215&lt;&gt;"",L1215&lt;=8))+--(AND(M1215&lt;&gt;"",M1215&lt;=8))+--(AND(N1215&lt;&gt;"",N1215&lt;=8))+--(AND(O1215&lt;&gt;"",O1215&lt;=8)))</f>
        <v/>
      </c>
    </row>
    <row r="1216" customFormat="false" ht="15" hidden="false" customHeight="false" outlineLevel="0" collapsed="false">
      <c r="AZ1216" s="5" t="str">
        <f aca="false">IF($B1216="","",SUMPRODUCT(($AL1216:$AO1216&lt;&gt;"")*(COUNTIF($AP1216:$AX1216,$AL1216:$AO1216)&gt;0)))</f>
        <v/>
      </c>
      <c r="BA1216" s="5" t="str">
        <f aca="false">IF($B1216="","",IF(AZ1216&gt;0,1,0))</f>
        <v/>
      </c>
      <c r="BB1216" s="5" t="str">
        <f aca="false">IF($AP1216="","",IF((($AP1216="Engineering and Technology")+($AP1216="Science and Mathematics")+($AP1216="Computer Science, IT and Allied Fields")+($AP1216="Life Sciences /Medicine and Healthcare")+($AP1216="Paramedical")+($AP1216="Architecture")+($AP1216="Environmental Service")+($AP1216="Agriculture, Food Industry and Forestry"))&gt;0,"Science",IF((($AP1216="Banking and Finance")+($AP1216="Management and Administration")+($AP1216="Marketing")+($AP1216="Sales")+($AP1216="Entrepreneurship")+($AP1216="Hospitality and Tourism"))&gt;0,"Commerce",IF((($AP1216="Social Sciences and Humanities")+($AP1216="Law Studies")+($AP1216="Education and Training")+($AP1216="Art, Design")+($AP1216="Entertainment and Mass Media")+($AP1216="Community and Social Service")+($AP1216="Personal Care and Services")+($AP1216="Government and Public Administration")+($AP1216="Defence/ Protective Service")+($AP1216="Sports"))&gt;0,"Arts / Humanities",""))))</f>
        <v/>
      </c>
      <c r="BC1216" s="5" t="str">
        <f aca="false">IF($AL1216="","",IF((($AL1216="Engineering and Technology")+($AL1216="Science and Mathematics")+($AL1216="Computer Science, IT and Allied Fields")+($AL1216="Life Sciences /Medicine and Healthcare")+($AL1216="Paramedical")+($AL1216="Architecture")+($AL1216="Environmental Service")+($AL1216="Agriculture, Food Industry and Forestry"))&gt;0,"Science",IF((($AL1216="Banking and Finance")+($AL1216="Management and Administration")+($AL1216="Marketing")+($AL1216="Sales")+($AL1216="Entrepreneurship")+($AL1216="Hospitality and Tourism"))&gt;0,"Commerce",IF((($AL1216="Social Sciences and Humanities")+($AL1216="Law Studies")+($AL1216="Education and Training")+($AL1216="Art, Design")+($AL1216="Entertainment and Mass Media")+($AL1216="Community and Social Service")+($AL1216="Personal Care and Services")+($AL1216="Government and Public Administration")+($AL1216="Defence/ Protective Service")+($AL1216="Sports"))&gt;0,"Arts / Humanities",""))))</f>
        <v/>
      </c>
      <c r="BD1216" s="5" t="str">
        <f aca="false">IF($B1216="","",--(F1216&gt;=10)+--(G1216&gt;=10)+--(H1216&gt;=10)+--(I1216&gt;=10)+--(J1216&gt;=10)+--(K1216&gt;=10)+--(L1216&gt;=10)+--(M1216&gt;=10)+--(N1216&gt;=10)+--(O1216&gt;=10))</f>
        <v/>
      </c>
      <c r="BE1216" s="5" t="str">
        <f aca="false">IF($B1216="","",--(AND(F1216&lt;&gt;"",F1216&lt;=8))+--(AND(G1216&lt;&gt;"",G1216&lt;=8))+--(AND(H1216&lt;&gt;"",H1216&lt;=8))+--(AND(I1216&lt;&gt;"",I1216&lt;=8))+--(AND(J1216&lt;&gt;"",J1216&lt;=8))+--(AND(K1216&lt;&gt;"",K1216&lt;=8))+--(AND(L1216&lt;&gt;"",L1216&lt;=8))+--(AND(M1216&lt;&gt;"",M1216&lt;=8))+--(AND(N1216&lt;&gt;"",N1216&lt;=8))+--(AND(O1216&lt;&gt;"",O1216&lt;=8)))</f>
        <v/>
      </c>
    </row>
    <row r="1217" customFormat="false" ht="15" hidden="false" customHeight="false" outlineLevel="0" collapsed="false">
      <c r="AZ1217" s="5" t="str">
        <f aca="false">IF($B1217="","",SUMPRODUCT(($AL1217:$AO1217&lt;&gt;"")*(COUNTIF($AP1217:$AX1217,$AL1217:$AO1217)&gt;0)))</f>
        <v/>
      </c>
      <c r="BA1217" s="5" t="str">
        <f aca="false">IF($B1217="","",IF(AZ1217&gt;0,1,0))</f>
        <v/>
      </c>
      <c r="BB1217" s="5" t="str">
        <f aca="false">IF($AP1217="","",IF((($AP1217="Engineering and Technology")+($AP1217="Science and Mathematics")+($AP1217="Computer Science, IT and Allied Fields")+($AP1217="Life Sciences /Medicine and Healthcare")+($AP1217="Paramedical")+($AP1217="Architecture")+($AP1217="Environmental Service")+($AP1217="Agriculture, Food Industry and Forestry"))&gt;0,"Science",IF((($AP1217="Banking and Finance")+($AP1217="Management and Administration")+($AP1217="Marketing")+($AP1217="Sales")+($AP1217="Entrepreneurship")+($AP1217="Hospitality and Tourism"))&gt;0,"Commerce",IF((($AP1217="Social Sciences and Humanities")+($AP1217="Law Studies")+($AP1217="Education and Training")+($AP1217="Art, Design")+($AP1217="Entertainment and Mass Media")+($AP1217="Community and Social Service")+($AP1217="Personal Care and Services")+($AP1217="Government and Public Administration")+($AP1217="Defence/ Protective Service")+($AP1217="Sports"))&gt;0,"Arts / Humanities",""))))</f>
        <v/>
      </c>
      <c r="BC1217" s="5" t="str">
        <f aca="false">IF($AL1217="","",IF((($AL1217="Engineering and Technology")+($AL1217="Science and Mathematics")+($AL1217="Computer Science, IT and Allied Fields")+($AL1217="Life Sciences /Medicine and Healthcare")+($AL1217="Paramedical")+($AL1217="Architecture")+($AL1217="Environmental Service")+($AL1217="Agriculture, Food Industry and Forestry"))&gt;0,"Science",IF((($AL1217="Banking and Finance")+($AL1217="Management and Administration")+($AL1217="Marketing")+($AL1217="Sales")+($AL1217="Entrepreneurship")+($AL1217="Hospitality and Tourism"))&gt;0,"Commerce",IF((($AL1217="Social Sciences and Humanities")+($AL1217="Law Studies")+($AL1217="Education and Training")+($AL1217="Art, Design")+($AL1217="Entertainment and Mass Media")+($AL1217="Community and Social Service")+($AL1217="Personal Care and Services")+($AL1217="Government and Public Administration")+($AL1217="Defence/ Protective Service")+($AL1217="Sports"))&gt;0,"Arts / Humanities",""))))</f>
        <v/>
      </c>
      <c r="BD1217" s="5" t="str">
        <f aca="false">IF($B1217="","",--(F1217&gt;=10)+--(G1217&gt;=10)+--(H1217&gt;=10)+--(I1217&gt;=10)+--(J1217&gt;=10)+--(K1217&gt;=10)+--(L1217&gt;=10)+--(M1217&gt;=10)+--(N1217&gt;=10)+--(O1217&gt;=10))</f>
        <v/>
      </c>
      <c r="BE1217" s="5" t="str">
        <f aca="false">IF($B1217="","",--(AND(F1217&lt;&gt;"",F1217&lt;=8))+--(AND(G1217&lt;&gt;"",G1217&lt;=8))+--(AND(H1217&lt;&gt;"",H1217&lt;=8))+--(AND(I1217&lt;&gt;"",I1217&lt;=8))+--(AND(J1217&lt;&gt;"",J1217&lt;=8))+--(AND(K1217&lt;&gt;"",K1217&lt;=8))+--(AND(L1217&lt;&gt;"",L1217&lt;=8))+--(AND(M1217&lt;&gt;"",M1217&lt;=8))+--(AND(N1217&lt;&gt;"",N1217&lt;=8))+--(AND(O1217&lt;&gt;"",O1217&lt;=8)))</f>
        <v/>
      </c>
    </row>
    <row r="1218" customFormat="false" ht="15" hidden="false" customHeight="false" outlineLevel="0" collapsed="false">
      <c r="AZ1218" s="5" t="str">
        <f aca="false">IF($B1218="","",SUMPRODUCT(($AL1218:$AO1218&lt;&gt;"")*(COUNTIF($AP1218:$AX1218,$AL1218:$AO1218)&gt;0)))</f>
        <v/>
      </c>
      <c r="BA1218" s="5" t="str">
        <f aca="false">IF($B1218="","",IF(AZ1218&gt;0,1,0))</f>
        <v/>
      </c>
      <c r="BB1218" s="5" t="str">
        <f aca="false">IF($AP1218="","",IF((($AP1218="Engineering and Technology")+($AP1218="Science and Mathematics")+($AP1218="Computer Science, IT and Allied Fields")+($AP1218="Life Sciences /Medicine and Healthcare")+($AP1218="Paramedical")+($AP1218="Architecture")+($AP1218="Environmental Service")+($AP1218="Agriculture, Food Industry and Forestry"))&gt;0,"Science",IF((($AP1218="Banking and Finance")+($AP1218="Management and Administration")+($AP1218="Marketing")+($AP1218="Sales")+($AP1218="Entrepreneurship")+($AP1218="Hospitality and Tourism"))&gt;0,"Commerce",IF((($AP1218="Social Sciences and Humanities")+($AP1218="Law Studies")+($AP1218="Education and Training")+($AP1218="Art, Design")+($AP1218="Entertainment and Mass Media")+($AP1218="Community and Social Service")+($AP1218="Personal Care and Services")+($AP1218="Government and Public Administration")+($AP1218="Defence/ Protective Service")+($AP1218="Sports"))&gt;0,"Arts / Humanities",""))))</f>
        <v/>
      </c>
      <c r="BC1218" s="5" t="str">
        <f aca="false">IF($AL1218="","",IF((($AL1218="Engineering and Technology")+($AL1218="Science and Mathematics")+($AL1218="Computer Science, IT and Allied Fields")+($AL1218="Life Sciences /Medicine and Healthcare")+($AL1218="Paramedical")+($AL1218="Architecture")+($AL1218="Environmental Service")+($AL1218="Agriculture, Food Industry and Forestry"))&gt;0,"Science",IF((($AL1218="Banking and Finance")+($AL1218="Management and Administration")+($AL1218="Marketing")+($AL1218="Sales")+($AL1218="Entrepreneurship")+($AL1218="Hospitality and Tourism"))&gt;0,"Commerce",IF((($AL1218="Social Sciences and Humanities")+($AL1218="Law Studies")+($AL1218="Education and Training")+($AL1218="Art, Design")+($AL1218="Entertainment and Mass Media")+($AL1218="Community and Social Service")+($AL1218="Personal Care and Services")+($AL1218="Government and Public Administration")+($AL1218="Defence/ Protective Service")+($AL1218="Sports"))&gt;0,"Arts / Humanities",""))))</f>
        <v/>
      </c>
      <c r="BD1218" s="5" t="str">
        <f aca="false">IF($B1218="","",--(F1218&gt;=10)+--(G1218&gt;=10)+--(H1218&gt;=10)+--(I1218&gt;=10)+--(J1218&gt;=10)+--(K1218&gt;=10)+--(L1218&gt;=10)+--(M1218&gt;=10)+--(N1218&gt;=10)+--(O1218&gt;=10))</f>
        <v/>
      </c>
      <c r="BE1218" s="5" t="str">
        <f aca="false">IF($B1218="","",--(AND(F1218&lt;&gt;"",F1218&lt;=8))+--(AND(G1218&lt;&gt;"",G1218&lt;=8))+--(AND(H1218&lt;&gt;"",H1218&lt;=8))+--(AND(I1218&lt;&gt;"",I1218&lt;=8))+--(AND(J1218&lt;&gt;"",J1218&lt;=8))+--(AND(K1218&lt;&gt;"",K1218&lt;=8))+--(AND(L1218&lt;&gt;"",L1218&lt;=8))+--(AND(M1218&lt;&gt;"",M1218&lt;=8))+--(AND(N1218&lt;&gt;"",N1218&lt;=8))+--(AND(O1218&lt;&gt;"",O1218&lt;=8)))</f>
        <v/>
      </c>
    </row>
    <row r="1219" customFormat="false" ht="15" hidden="false" customHeight="false" outlineLevel="0" collapsed="false">
      <c r="AZ1219" s="5" t="str">
        <f aca="false">IF($B1219="","",SUMPRODUCT(($AL1219:$AO1219&lt;&gt;"")*(COUNTIF($AP1219:$AX1219,$AL1219:$AO1219)&gt;0)))</f>
        <v/>
      </c>
      <c r="BA1219" s="5" t="str">
        <f aca="false">IF($B1219="","",IF(AZ1219&gt;0,1,0))</f>
        <v/>
      </c>
      <c r="BB1219" s="5" t="str">
        <f aca="false">IF($AP1219="","",IF((($AP1219="Engineering and Technology")+($AP1219="Science and Mathematics")+($AP1219="Computer Science, IT and Allied Fields")+($AP1219="Life Sciences /Medicine and Healthcare")+($AP1219="Paramedical")+($AP1219="Architecture")+($AP1219="Environmental Service")+($AP1219="Agriculture, Food Industry and Forestry"))&gt;0,"Science",IF((($AP1219="Banking and Finance")+($AP1219="Management and Administration")+($AP1219="Marketing")+($AP1219="Sales")+($AP1219="Entrepreneurship")+($AP1219="Hospitality and Tourism"))&gt;0,"Commerce",IF((($AP1219="Social Sciences and Humanities")+($AP1219="Law Studies")+($AP1219="Education and Training")+($AP1219="Art, Design")+($AP1219="Entertainment and Mass Media")+($AP1219="Community and Social Service")+($AP1219="Personal Care and Services")+($AP1219="Government and Public Administration")+($AP1219="Defence/ Protective Service")+($AP1219="Sports"))&gt;0,"Arts / Humanities",""))))</f>
        <v/>
      </c>
      <c r="BC1219" s="5" t="str">
        <f aca="false">IF($AL1219="","",IF((($AL1219="Engineering and Technology")+($AL1219="Science and Mathematics")+($AL1219="Computer Science, IT and Allied Fields")+($AL1219="Life Sciences /Medicine and Healthcare")+($AL1219="Paramedical")+($AL1219="Architecture")+($AL1219="Environmental Service")+($AL1219="Agriculture, Food Industry and Forestry"))&gt;0,"Science",IF((($AL1219="Banking and Finance")+($AL1219="Management and Administration")+($AL1219="Marketing")+($AL1219="Sales")+($AL1219="Entrepreneurship")+($AL1219="Hospitality and Tourism"))&gt;0,"Commerce",IF((($AL1219="Social Sciences and Humanities")+($AL1219="Law Studies")+($AL1219="Education and Training")+($AL1219="Art, Design")+($AL1219="Entertainment and Mass Media")+($AL1219="Community and Social Service")+($AL1219="Personal Care and Services")+($AL1219="Government and Public Administration")+($AL1219="Defence/ Protective Service")+($AL1219="Sports"))&gt;0,"Arts / Humanities",""))))</f>
        <v/>
      </c>
      <c r="BD1219" s="5" t="str">
        <f aca="false">IF($B1219="","",--(F1219&gt;=10)+--(G1219&gt;=10)+--(H1219&gt;=10)+--(I1219&gt;=10)+--(J1219&gt;=10)+--(K1219&gt;=10)+--(L1219&gt;=10)+--(M1219&gt;=10)+--(N1219&gt;=10)+--(O1219&gt;=10))</f>
        <v/>
      </c>
      <c r="BE1219" s="5" t="str">
        <f aca="false">IF($B1219="","",--(AND(F1219&lt;&gt;"",F1219&lt;=8))+--(AND(G1219&lt;&gt;"",G1219&lt;=8))+--(AND(H1219&lt;&gt;"",H1219&lt;=8))+--(AND(I1219&lt;&gt;"",I1219&lt;=8))+--(AND(J1219&lt;&gt;"",J1219&lt;=8))+--(AND(K1219&lt;&gt;"",K1219&lt;=8))+--(AND(L1219&lt;&gt;"",L1219&lt;=8))+--(AND(M1219&lt;&gt;"",M1219&lt;=8))+--(AND(N1219&lt;&gt;"",N1219&lt;=8))+--(AND(O1219&lt;&gt;"",O1219&lt;=8)))</f>
        <v/>
      </c>
    </row>
    <row r="1220" customFormat="false" ht="15" hidden="false" customHeight="false" outlineLevel="0" collapsed="false">
      <c r="AZ1220" s="5" t="str">
        <f aca="false">IF($B1220="","",SUMPRODUCT(($AL1220:$AO1220&lt;&gt;"")*(COUNTIF($AP1220:$AX1220,$AL1220:$AO1220)&gt;0)))</f>
        <v/>
      </c>
      <c r="BA1220" s="5" t="str">
        <f aca="false">IF($B1220="","",IF(AZ1220&gt;0,1,0))</f>
        <v/>
      </c>
      <c r="BB1220" s="5" t="str">
        <f aca="false">IF($AP1220="","",IF((($AP1220="Engineering and Technology")+($AP1220="Science and Mathematics")+($AP1220="Computer Science, IT and Allied Fields")+($AP1220="Life Sciences /Medicine and Healthcare")+($AP1220="Paramedical")+($AP1220="Architecture")+($AP1220="Environmental Service")+($AP1220="Agriculture, Food Industry and Forestry"))&gt;0,"Science",IF((($AP1220="Banking and Finance")+($AP1220="Management and Administration")+($AP1220="Marketing")+($AP1220="Sales")+($AP1220="Entrepreneurship")+($AP1220="Hospitality and Tourism"))&gt;0,"Commerce",IF((($AP1220="Social Sciences and Humanities")+($AP1220="Law Studies")+($AP1220="Education and Training")+($AP1220="Art, Design")+($AP1220="Entertainment and Mass Media")+($AP1220="Community and Social Service")+($AP1220="Personal Care and Services")+($AP1220="Government and Public Administration")+($AP1220="Defence/ Protective Service")+($AP1220="Sports"))&gt;0,"Arts / Humanities",""))))</f>
        <v/>
      </c>
      <c r="BC1220" s="5" t="str">
        <f aca="false">IF($AL1220="","",IF((($AL1220="Engineering and Technology")+($AL1220="Science and Mathematics")+($AL1220="Computer Science, IT and Allied Fields")+($AL1220="Life Sciences /Medicine and Healthcare")+($AL1220="Paramedical")+($AL1220="Architecture")+($AL1220="Environmental Service")+($AL1220="Agriculture, Food Industry and Forestry"))&gt;0,"Science",IF((($AL1220="Banking and Finance")+($AL1220="Management and Administration")+($AL1220="Marketing")+($AL1220="Sales")+($AL1220="Entrepreneurship")+($AL1220="Hospitality and Tourism"))&gt;0,"Commerce",IF((($AL1220="Social Sciences and Humanities")+($AL1220="Law Studies")+($AL1220="Education and Training")+($AL1220="Art, Design")+($AL1220="Entertainment and Mass Media")+($AL1220="Community and Social Service")+($AL1220="Personal Care and Services")+($AL1220="Government and Public Administration")+($AL1220="Defence/ Protective Service")+($AL1220="Sports"))&gt;0,"Arts / Humanities",""))))</f>
        <v/>
      </c>
      <c r="BD1220" s="5" t="str">
        <f aca="false">IF($B1220="","",--(F1220&gt;=10)+--(G1220&gt;=10)+--(H1220&gt;=10)+--(I1220&gt;=10)+--(J1220&gt;=10)+--(K1220&gt;=10)+--(L1220&gt;=10)+--(M1220&gt;=10)+--(N1220&gt;=10)+--(O1220&gt;=10))</f>
        <v/>
      </c>
      <c r="BE1220" s="5" t="str">
        <f aca="false">IF($B1220="","",--(AND(F1220&lt;&gt;"",F1220&lt;=8))+--(AND(G1220&lt;&gt;"",G1220&lt;=8))+--(AND(H1220&lt;&gt;"",H1220&lt;=8))+--(AND(I1220&lt;&gt;"",I1220&lt;=8))+--(AND(J1220&lt;&gt;"",J1220&lt;=8))+--(AND(K1220&lt;&gt;"",K1220&lt;=8))+--(AND(L1220&lt;&gt;"",L1220&lt;=8))+--(AND(M1220&lt;&gt;"",M1220&lt;=8))+--(AND(N1220&lt;&gt;"",N1220&lt;=8))+--(AND(O1220&lt;&gt;"",O1220&lt;=8)))</f>
        <v/>
      </c>
    </row>
    <row r="1221" customFormat="false" ht="15" hidden="false" customHeight="false" outlineLevel="0" collapsed="false">
      <c r="AZ1221" s="5" t="str">
        <f aca="false">IF($B1221="","",SUMPRODUCT(($AL1221:$AO1221&lt;&gt;"")*(COUNTIF($AP1221:$AX1221,$AL1221:$AO1221)&gt;0)))</f>
        <v/>
      </c>
      <c r="BA1221" s="5" t="str">
        <f aca="false">IF($B1221="","",IF(AZ1221&gt;0,1,0))</f>
        <v/>
      </c>
      <c r="BB1221" s="5" t="str">
        <f aca="false">IF($AP1221="","",IF((($AP1221="Engineering and Technology")+($AP1221="Science and Mathematics")+($AP1221="Computer Science, IT and Allied Fields")+($AP1221="Life Sciences /Medicine and Healthcare")+($AP1221="Paramedical")+($AP1221="Architecture")+($AP1221="Environmental Service")+($AP1221="Agriculture, Food Industry and Forestry"))&gt;0,"Science",IF((($AP1221="Banking and Finance")+($AP1221="Management and Administration")+($AP1221="Marketing")+($AP1221="Sales")+($AP1221="Entrepreneurship")+($AP1221="Hospitality and Tourism"))&gt;0,"Commerce",IF((($AP1221="Social Sciences and Humanities")+($AP1221="Law Studies")+($AP1221="Education and Training")+($AP1221="Art, Design")+($AP1221="Entertainment and Mass Media")+($AP1221="Community and Social Service")+($AP1221="Personal Care and Services")+($AP1221="Government and Public Administration")+($AP1221="Defence/ Protective Service")+($AP1221="Sports"))&gt;0,"Arts / Humanities",""))))</f>
        <v/>
      </c>
      <c r="BC1221" s="5" t="str">
        <f aca="false">IF($AL1221="","",IF((($AL1221="Engineering and Technology")+($AL1221="Science and Mathematics")+($AL1221="Computer Science, IT and Allied Fields")+($AL1221="Life Sciences /Medicine and Healthcare")+($AL1221="Paramedical")+($AL1221="Architecture")+($AL1221="Environmental Service")+($AL1221="Agriculture, Food Industry and Forestry"))&gt;0,"Science",IF((($AL1221="Banking and Finance")+($AL1221="Management and Administration")+($AL1221="Marketing")+($AL1221="Sales")+($AL1221="Entrepreneurship")+($AL1221="Hospitality and Tourism"))&gt;0,"Commerce",IF((($AL1221="Social Sciences and Humanities")+($AL1221="Law Studies")+($AL1221="Education and Training")+($AL1221="Art, Design")+($AL1221="Entertainment and Mass Media")+($AL1221="Community and Social Service")+($AL1221="Personal Care and Services")+($AL1221="Government and Public Administration")+($AL1221="Defence/ Protective Service")+($AL1221="Sports"))&gt;0,"Arts / Humanities",""))))</f>
        <v/>
      </c>
      <c r="BD1221" s="5" t="str">
        <f aca="false">IF($B1221="","",--(F1221&gt;=10)+--(G1221&gt;=10)+--(H1221&gt;=10)+--(I1221&gt;=10)+--(J1221&gt;=10)+--(K1221&gt;=10)+--(L1221&gt;=10)+--(M1221&gt;=10)+--(N1221&gt;=10)+--(O1221&gt;=10))</f>
        <v/>
      </c>
      <c r="BE1221" s="5" t="str">
        <f aca="false">IF($B1221="","",--(AND(F1221&lt;&gt;"",F1221&lt;=8))+--(AND(G1221&lt;&gt;"",G1221&lt;=8))+--(AND(H1221&lt;&gt;"",H1221&lt;=8))+--(AND(I1221&lt;&gt;"",I1221&lt;=8))+--(AND(J1221&lt;&gt;"",J1221&lt;=8))+--(AND(K1221&lt;&gt;"",K1221&lt;=8))+--(AND(L1221&lt;&gt;"",L1221&lt;=8))+--(AND(M1221&lt;&gt;"",M1221&lt;=8))+--(AND(N1221&lt;&gt;"",N1221&lt;=8))+--(AND(O1221&lt;&gt;"",O1221&lt;=8)))</f>
        <v/>
      </c>
    </row>
    <row r="1222" customFormat="false" ht="15" hidden="false" customHeight="false" outlineLevel="0" collapsed="false">
      <c r="AZ1222" s="5" t="str">
        <f aca="false">IF($B1222="","",SUMPRODUCT(($AL1222:$AO1222&lt;&gt;"")*(COUNTIF($AP1222:$AX1222,$AL1222:$AO1222)&gt;0)))</f>
        <v/>
      </c>
      <c r="BA1222" s="5" t="str">
        <f aca="false">IF($B1222="","",IF(AZ1222&gt;0,1,0))</f>
        <v/>
      </c>
      <c r="BB1222" s="5" t="str">
        <f aca="false">IF($AP1222="","",IF((($AP1222="Engineering and Technology")+($AP1222="Science and Mathematics")+($AP1222="Computer Science, IT and Allied Fields")+($AP1222="Life Sciences /Medicine and Healthcare")+($AP1222="Paramedical")+($AP1222="Architecture")+($AP1222="Environmental Service")+($AP1222="Agriculture, Food Industry and Forestry"))&gt;0,"Science",IF((($AP1222="Banking and Finance")+($AP1222="Management and Administration")+($AP1222="Marketing")+($AP1222="Sales")+($AP1222="Entrepreneurship")+($AP1222="Hospitality and Tourism"))&gt;0,"Commerce",IF((($AP1222="Social Sciences and Humanities")+($AP1222="Law Studies")+($AP1222="Education and Training")+($AP1222="Art, Design")+($AP1222="Entertainment and Mass Media")+($AP1222="Community and Social Service")+($AP1222="Personal Care and Services")+($AP1222="Government and Public Administration")+($AP1222="Defence/ Protective Service")+($AP1222="Sports"))&gt;0,"Arts / Humanities",""))))</f>
        <v/>
      </c>
      <c r="BC1222" s="5" t="str">
        <f aca="false">IF($AL1222="","",IF((($AL1222="Engineering and Technology")+($AL1222="Science and Mathematics")+($AL1222="Computer Science, IT and Allied Fields")+($AL1222="Life Sciences /Medicine and Healthcare")+($AL1222="Paramedical")+($AL1222="Architecture")+($AL1222="Environmental Service")+($AL1222="Agriculture, Food Industry and Forestry"))&gt;0,"Science",IF((($AL1222="Banking and Finance")+($AL1222="Management and Administration")+($AL1222="Marketing")+($AL1222="Sales")+($AL1222="Entrepreneurship")+($AL1222="Hospitality and Tourism"))&gt;0,"Commerce",IF((($AL1222="Social Sciences and Humanities")+($AL1222="Law Studies")+($AL1222="Education and Training")+($AL1222="Art, Design")+($AL1222="Entertainment and Mass Media")+($AL1222="Community and Social Service")+($AL1222="Personal Care and Services")+($AL1222="Government and Public Administration")+($AL1222="Defence/ Protective Service")+($AL1222="Sports"))&gt;0,"Arts / Humanities",""))))</f>
        <v/>
      </c>
      <c r="BD1222" s="5" t="str">
        <f aca="false">IF($B1222="","",--(F1222&gt;=10)+--(G1222&gt;=10)+--(H1222&gt;=10)+--(I1222&gt;=10)+--(J1222&gt;=10)+--(K1222&gt;=10)+--(L1222&gt;=10)+--(M1222&gt;=10)+--(N1222&gt;=10)+--(O1222&gt;=10))</f>
        <v/>
      </c>
      <c r="BE1222" s="5" t="str">
        <f aca="false">IF($B1222="","",--(AND(F1222&lt;&gt;"",F1222&lt;=8))+--(AND(G1222&lt;&gt;"",G1222&lt;=8))+--(AND(H1222&lt;&gt;"",H1222&lt;=8))+--(AND(I1222&lt;&gt;"",I1222&lt;=8))+--(AND(J1222&lt;&gt;"",J1222&lt;=8))+--(AND(K1222&lt;&gt;"",K1222&lt;=8))+--(AND(L1222&lt;&gt;"",L1222&lt;=8))+--(AND(M1222&lt;&gt;"",M1222&lt;=8))+--(AND(N1222&lt;&gt;"",N1222&lt;=8))+--(AND(O1222&lt;&gt;"",O1222&lt;=8)))</f>
        <v/>
      </c>
    </row>
    <row r="1223" customFormat="false" ht="15" hidden="false" customHeight="false" outlineLevel="0" collapsed="false">
      <c r="AZ1223" s="5" t="str">
        <f aca="false">IF($B1223="","",SUMPRODUCT(($AL1223:$AO1223&lt;&gt;"")*(COUNTIF($AP1223:$AX1223,$AL1223:$AO1223)&gt;0)))</f>
        <v/>
      </c>
      <c r="BA1223" s="5" t="str">
        <f aca="false">IF($B1223="","",IF(AZ1223&gt;0,1,0))</f>
        <v/>
      </c>
      <c r="BB1223" s="5" t="str">
        <f aca="false">IF($AP1223="","",IF((($AP1223="Engineering and Technology")+($AP1223="Science and Mathematics")+($AP1223="Computer Science, IT and Allied Fields")+($AP1223="Life Sciences /Medicine and Healthcare")+($AP1223="Paramedical")+($AP1223="Architecture")+($AP1223="Environmental Service")+($AP1223="Agriculture, Food Industry and Forestry"))&gt;0,"Science",IF((($AP1223="Banking and Finance")+($AP1223="Management and Administration")+($AP1223="Marketing")+($AP1223="Sales")+($AP1223="Entrepreneurship")+($AP1223="Hospitality and Tourism"))&gt;0,"Commerce",IF((($AP1223="Social Sciences and Humanities")+($AP1223="Law Studies")+($AP1223="Education and Training")+($AP1223="Art, Design")+($AP1223="Entertainment and Mass Media")+($AP1223="Community and Social Service")+($AP1223="Personal Care and Services")+($AP1223="Government and Public Administration")+($AP1223="Defence/ Protective Service")+($AP1223="Sports"))&gt;0,"Arts / Humanities",""))))</f>
        <v/>
      </c>
      <c r="BC1223" s="5" t="str">
        <f aca="false">IF($AL1223="","",IF((($AL1223="Engineering and Technology")+($AL1223="Science and Mathematics")+($AL1223="Computer Science, IT and Allied Fields")+($AL1223="Life Sciences /Medicine and Healthcare")+($AL1223="Paramedical")+($AL1223="Architecture")+($AL1223="Environmental Service")+($AL1223="Agriculture, Food Industry and Forestry"))&gt;0,"Science",IF((($AL1223="Banking and Finance")+($AL1223="Management and Administration")+($AL1223="Marketing")+($AL1223="Sales")+($AL1223="Entrepreneurship")+($AL1223="Hospitality and Tourism"))&gt;0,"Commerce",IF((($AL1223="Social Sciences and Humanities")+($AL1223="Law Studies")+($AL1223="Education and Training")+($AL1223="Art, Design")+($AL1223="Entertainment and Mass Media")+($AL1223="Community and Social Service")+($AL1223="Personal Care and Services")+($AL1223="Government and Public Administration")+($AL1223="Defence/ Protective Service")+($AL1223="Sports"))&gt;0,"Arts / Humanities",""))))</f>
        <v/>
      </c>
      <c r="BD1223" s="5" t="str">
        <f aca="false">IF($B1223="","",--(F1223&gt;=10)+--(G1223&gt;=10)+--(H1223&gt;=10)+--(I1223&gt;=10)+--(J1223&gt;=10)+--(K1223&gt;=10)+--(L1223&gt;=10)+--(M1223&gt;=10)+--(N1223&gt;=10)+--(O1223&gt;=10))</f>
        <v/>
      </c>
      <c r="BE1223" s="5" t="str">
        <f aca="false">IF($B1223="","",--(AND(F1223&lt;&gt;"",F1223&lt;=8))+--(AND(G1223&lt;&gt;"",G1223&lt;=8))+--(AND(H1223&lt;&gt;"",H1223&lt;=8))+--(AND(I1223&lt;&gt;"",I1223&lt;=8))+--(AND(J1223&lt;&gt;"",J1223&lt;=8))+--(AND(K1223&lt;&gt;"",K1223&lt;=8))+--(AND(L1223&lt;&gt;"",L1223&lt;=8))+--(AND(M1223&lt;&gt;"",M1223&lt;=8))+--(AND(N1223&lt;&gt;"",N1223&lt;=8))+--(AND(O1223&lt;&gt;"",O1223&lt;=8)))</f>
        <v/>
      </c>
    </row>
    <row r="1224" customFormat="false" ht="15" hidden="false" customHeight="false" outlineLevel="0" collapsed="false">
      <c r="AZ1224" s="5" t="str">
        <f aca="false">IF($B1224="","",SUMPRODUCT(($AL1224:$AO1224&lt;&gt;"")*(COUNTIF($AP1224:$AX1224,$AL1224:$AO1224)&gt;0)))</f>
        <v/>
      </c>
      <c r="BA1224" s="5" t="str">
        <f aca="false">IF($B1224="","",IF(AZ1224&gt;0,1,0))</f>
        <v/>
      </c>
      <c r="BB1224" s="5" t="str">
        <f aca="false">IF($AP1224="","",IF((($AP1224="Engineering and Technology")+($AP1224="Science and Mathematics")+($AP1224="Computer Science, IT and Allied Fields")+($AP1224="Life Sciences /Medicine and Healthcare")+($AP1224="Paramedical")+($AP1224="Architecture")+($AP1224="Environmental Service")+($AP1224="Agriculture, Food Industry and Forestry"))&gt;0,"Science",IF((($AP1224="Banking and Finance")+($AP1224="Management and Administration")+($AP1224="Marketing")+($AP1224="Sales")+($AP1224="Entrepreneurship")+($AP1224="Hospitality and Tourism"))&gt;0,"Commerce",IF((($AP1224="Social Sciences and Humanities")+($AP1224="Law Studies")+($AP1224="Education and Training")+($AP1224="Art, Design")+($AP1224="Entertainment and Mass Media")+($AP1224="Community and Social Service")+($AP1224="Personal Care and Services")+($AP1224="Government and Public Administration")+($AP1224="Defence/ Protective Service")+($AP1224="Sports"))&gt;0,"Arts / Humanities",""))))</f>
        <v/>
      </c>
      <c r="BC1224" s="5" t="str">
        <f aca="false">IF($AL1224="","",IF((($AL1224="Engineering and Technology")+($AL1224="Science and Mathematics")+($AL1224="Computer Science, IT and Allied Fields")+($AL1224="Life Sciences /Medicine and Healthcare")+($AL1224="Paramedical")+($AL1224="Architecture")+($AL1224="Environmental Service")+($AL1224="Agriculture, Food Industry and Forestry"))&gt;0,"Science",IF((($AL1224="Banking and Finance")+($AL1224="Management and Administration")+($AL1224="Marketing")+($AL1224="Sales")+($AL1224="Entrepreneurship")+($AL1224="Hospitality and Tourism"))&gt;0,"Commerce",IF((($AL1224="Social Sciences and Humanities")+($AL1224="Law Studies")+($AL1224="Education and Training")+($AL1224="Art, Design")+($AL1224="Entertainment and Mass Media")+($AL1224="Community and Social Service")+($AL1224="Personal Care and Services")+($AL1224="Government and Public Administration")+($AL1224="Defence/ Protective Service")+($AL1224="Sports"))&gt;0,"Arts / Humanities",""))))</f>
        <v/>
      </c>
      <c r="BD1224" s="5" t="str">
        <f aca="false">IF($B1224="","",--(F1224&gt;=10)+--(G1224&gt;=10)+--(H1224&gt;=10)+--(I1224&gt;=10)+--(J1224&gt;=10)+--(K1224&gt;=10)+--(L1224&gt;=10)+--(M1224&gt;=10)+--(N1224&gt;=10)+--(O1224&gt;=10))</f>
        <v/>
      </c>
      <c r="BE1224" s="5" t="str">
        <f aca="false">IF($B1224="","",--(AND(F1224&lt;&gt;"",F1224&lt;=8))+--(AND(G1224&lt;&gt;"",G1224&lt;=8))+--(AND(H1224&lt;&gt;"",H1224&lt;=8))+--(AND(I1224&lt;&gt;"",I1224&lt;=8))+--(AND(J1224&lt;&gt;"",J1224&lt;=8))+--(AND(K1224&lt;&gt;"",K1224&lt;=8))+--(AND(L1224&lt;&gt;"",L1224&lt;=8))+--(AND(M1224&lt;&gt;"",M1224&lt;=8))+--(AND(N1224&lt;&gt;"",N1224&lt;=8))+--(AND(O1224&lt;&gt;"",O1224&lt;=8)))</f>
        <v/>
      </c>
    </row>
    <row r="1225" customFormat="false" ht="15" hidden="false" customHeight="false" outlineLevel="0" collapsed="false">
      <c r="AZ1225" s="5" t="str">
        <f aca="false">IF($B1225="","",SUMPRODUCT(($AL1225:$AO1225&lt;&gt;"")*(COUNTIF($AP1225:$AX1225,$AL1225:$AO1225)&gt;0)))</f>
        <v/>
      </c>
      <c r="BA1225" s="5" t="str">
        <f aca="false">IF($B1225="","",IF(AZ1225&gt;0,1,0))</f>
        <v/>
      </c>
      <c r="BB1225" s="5" t="str">
        <f aca="false">IF($AP1225="","",IF((($AP1225="Engineering and Technology")+($AP1225="Science and Mathematics")+($AP1225="Computer Science, IT and Allied Fields")+($AP1225="Life Sciences /Medicine and Healthcare")+($AP1225="Paramedical")+($AP1225="Architecture")+($AP1225="Environmental Service")+($AP1225="Agriculture, Food Industry and Forestry"))&gt;0,"Science",IF((($AP1225="Banking and Finance")+($AP1225="Management and Administration")+($AP1225="Marketing")+($AP1225="Sales")+($AP1225="Entrepreneurship")+($AP1225="Hospitality and Tourism"))&gt;0,"Commerce",IF((($AP1225="Social Sciences and Humanities")+($AP1225="Law Studies")+($AP1225="Education and Training")+($AP1225="Art, Design")+($AP1225="Entertainment and Mass Media")+($AP1225="Community and Social Service")+($AP1225="Personal Care and Services")+($AP1225="Government and Public Administration")+($AP1225="Defence/ Protective Service")+($AP1225="Sports"))&gt;0,"Arts / Humanities",""))))</f>
        <v/>
      </c>
      <c r="BC1225" s="5" t="str">
        <f aca="false">IF($AL1225="","",IF((($AL1225="Engineering and Technology")+($AL1225="Science and Mathematics")+($AL1225="Computer Science, IT and Allied Fields")+($AL1225="Life Sciences /Medicine and Healthcare")+($AL1225="Paramedical")+($AL1225="Architecture")+($AL1225="Environmental Service")+($AL1225="Agriculture, Food Industry and Forestry"))&gt;0,"Science",IF((($AL1225="Banking and Finance")+($AL1225="Management and Administration")+($AL1225="Marketing")+($AL1225="Sales")+($AL1225="Entrepreneurship")+($AL1225="Hospitality and Tourism"))&gt;0,"Commerce",IF((($AL1225="Social Sciences and Humanities")+($AL1225="Law Studies")+($AL1225="Education and Training")+($AL1225="Art, Design")+($AL1225="Entertainment and Mass Media")+($AL1225="Community and Social Service")+($AL1225="Personal Care and Services")+($AL1225="Government and Public Administration")+($AL1225="Defence/ Protective Service")+($AL1225="Sports"))&gt;0,"Arts / Humanities",""))))</f>
        <v/>
      </c>
      <c r="BD1225" s="5" t="str">
        <f aca="false">IF($B1225="","",--(F1225&gt;=10)+--(G1225&gt;=10)+--(H1225&gt;=10)+--(I1225&gt;=10)+--(J1225&gt;=10)+--(K1225&gt;=10)+--(L1225&gt;=10)+--(M1225&gt;=10)+--(N1225&gt;=10)+--(O1225&gt;=10))</f>
        <v/>
      </c>
      <c r="BE1225" s="5" t="str">
        <f aca="false">IF($B1225="","",--(AND(F1225&lt;&gt;"",F1225&lt;=8))+--(AND(G1225&lt;&gt;"",G1225&lt;=8))+--(AND(H1225&lt;&gt;"",H1225&lt;=8))+--(AND(I1225&lt;&gt;"",I1225&lt;=8))+--(AND(J1225&lt;&gt;"",J1225&lt;=8))+--(AND(K1225&lt;&gt;"",K1225&lt;=8))+--(AND(L1225&lt;&gt;"",L1225&lt;=8))+--(AND(M1225&lt;&gt;"",M1225&lt;=8))+--(AND(N1225&lt;&gt;"",N1225&lt;=8))+--(AND(O1225&lt;&gt;"",O1225&lt;=8)))</f>
        <v/>
      </c>
    </row>
    <row r="1226" customFormat="false" ht="15" hidden="false" customHeight="false" outlineLevel="0" collapsed="false">
      <c r="AZ1226" s="5" t="str">
        <f aca="false">IF($B1226="","",SUMPRODUCT(($AL1226:$AO1226&lt;&gt;"")*(COUNTIF($AP1226:$AX1226,$AL1226:$AO1226)&gt;0)))</f>
        <v/>
      </c>
      <c r="BA1226" s="5" t="str">
        <f aca="false">IF($B1226="","",IF(AZ1226&gt;0,1,0))</f>
        <v/>
      </c>
      <c r="BB1226" s="5" t="str">
        <f aca="false">IF($AP1226="","",IF((($AP1226="Engineering and Technology")+($AP1226="Science and Mathematics")+($AP1226="Computer Science, IT and Allied Fields")+($AP1226="Life Sciences /Medicine and Healthcare")+($AP1226="Paramedical")+($AP1226="Architecture")+($AP1226="Environmental Service")+($AP1226="Agriculture, Food Industry and Forestry"))&gt;0,"Science",IF((($AP1226="Banking and Finance")+($AP1226="Management and Administration")+($AP1226="Marketing")+($AP1226="Sales")+($AP1226="Entrepreneurship")+($AP1226="Hospitality and Tourism"))&gt;0,"Commerce",IF((($AP1226="Social Sciences and Humanities")+($AP1226="Law Studies")+($AP1226="Education and Training")+($AP1226="Art, Design")+($AP1226="Entertainment and Mass Media")+($AP1226="Community and Social Service")+($AP1226="Personal Care and Services")+($AP1226="Government and Public Administration")+($AP1226="Defence/ Protective Service")+($AP1226="Sports"))&gt;0,"Arts / Humanities",""))))</f>
        <v/>
      </c>
      <c r="BC1226" s="5" t="str">
        <f aca="false">IF($AL1226="","",IF((($AL1226="Engineering and Technology")+($AL1226="Science and Mathematics")+($AL1226="Computer Science, IT and Allied Fields")+($AL1226="Life Sciences /Medicine and Healthcare")+($AL1226="Paramedical")+($AL1226="Architecture")+($AL1226="Environmental Service")+($AL1226="Agriculture, Food Industry and Forestry"))&gt;0,"Science",IF((($AL1226="Banking and Finance")+($AL1226="Management and Administration")+($AL1226="Marketing")+($AL1226="Sales")+($AL1226="Entrepreneurship")+($AL1226="Hospitality and Tourism"))&gt;0,"Commerce",IF((($AL1226="Social Sciences and Humanities")+($AL1226="Law Studies")+($AL1226="Education and Training")+($AL1226="Art, Design")+($AL1226="Entertainment and Mass Media")+($AL1226="Community and Social Service")+($AL1226="Personal Care and Services")+($AL1226="Government and Public Administration")+($AL1226="Defence/ Protective Service")+($AL1226="Sports"))&gt;0,"Arts / Humanities",""))))</f>
        <v/>
      </c>
      <c r="BD1226" s="5" t="str">
        <f aca="false">IF($B1226="","",--(F1226&gt;=10)+--(G1226&gt;=10)+--(H1226&gt;=10)+--(I1226&gt;=10)+--(J1226&gt;=10)+--(K1226&gt;=10)+--(L1226&gt;=10)+--(M1226&gt;=10)+--(N1226&gt;=10)+--(O1226&gt;=10))</f>
        <v/>
      </c>
      <c r="BE1226" s="5" t="str">
        <f aca="false">IF($B1226="","",--(AND(F1226&lt;&gt;"",F1226&lt;=8))+--(AND(G1226&lt;&gt;"",G1226&lt;=8))+--(AND(H1226&lt;&gt;"",H1226&lt;=8))+--(AND(I1226&lt;&gt;"",I1226&lt;=8))+--(AND(J1226&lt;&gt;"",J1226&lt;=8))+--(AND(K1226&lt;&gt;"",K1226&lt;=8))+--(AND(L1226&lt;&gt;"",L1226&lt;=8))+--(AND(M1226&lt;&gt;"",M1226&lt;=8))+--(AND(N1226&lt;&gt;"",N1226&lt;=8))+--(AND(O1226&lt;&gt;"",O1226&lt;=8)))</f>
        <v/>
      </c>
    </row>
    <row r="1227" customFormat="false" ht="15" hidden="false" customHeight="false" outlineLevel="0" collapsed="false">
      <c r="AZ1227" s="5" t="str">
        <f aca="false">IF($B1227="","",SUMPRODUCT(($AL1227:$AO1227&lt;&gt;"")*(COUNTIF($AP1227:$AX1227,$AL1227:$AO1227)&gt;0)))</f>
        <v/>
      </c>
      <c r="BA1227" s="5" t="str">
        <f aca="false">IF($B1227="","",IF(AZ1227&gt;0,1,0))</f>
        <v/>
      </c>
      <c r="BB1227" s="5" t="str">
        <f aca="false">IF($AP1227="","",IF((($AP1227="Engineering and Technology")+($AP1227="Science and Mathematics")+($AP1227="Computer Science, IT and Allied Fields")+($AP1227="Life Sciences /Medicine and Healthcare")+($AP1227="Paramedical")+($AP1227="Architecture")+($AP1227="Environmental Service")+($AP1227="Agriculture, Food Industry and Forestry"))&gt;0,"Science",IF((($AP1227="Banking and Finance")+($AP1227="Management and Administration")+($AP1227="Marketing")+($AP1227="Sales")+($AP1227="Entrepreneurship")+($AP1227="Hospitality and Tourism"))&gt;0,"Commerce",IF((($AP1227="Social Sciences and Humanities")+($AP1227="Law Studies")+($AP1227="Education and Training")+($AP1227="Art, Design")+($AP1227="Entertainment and Mass Media")+($AP1227="Community and Social Service")+($AP1227="Personal Care and Services")+($AP1227="Government and Public Administration")+($AP1227="Defence/ Protective Service")+($AP1227="Sports"))&gt;0,"Arts / Humanities",""))))</f>
        <v/>
      </c>
      <c r="BC1227" s="5" t="str">
        <f aca="false">IF($AL1227="","",IF((($AL1227="Engineering and Technology")+($AL1227="Science and Mathematics")+($AL1227="Computer Science, IT and Allied Fields")+($AL1227="Life Sciences /Medicine and Healthcare")+($AL1227="Paramedical")+($AL1227="Architecture")+($AL1227="Environmental Service")+($AL1227="Agriculture, Food Industry and Forestry"))&gt;0,"Science",IF((($AL1227="Banking and Finance")+($AL1227="Management and Administration")+($AL1227="Marketing")+($AL1227="Sales")+($AL1227="Entrepreneurship")+($AL1227="Hospitality and Tourism"))&gt;0,"Commerce",IF((($AL1227="Social Sciences and Humanities")+($AL1227="Law Studies")+($AL1227="Education and Training")+($AL1227="Art, Design")+($AL1227="Entertainment and Mass Media")+($AL1227="Community and Social Service")+($AL1227="Personal Care and Services")+($AL1227="Government and Public Administration")+($AL1227="Defence/ Protective Service")+($AL1227="Sports"))&gt;0,"Arts / Humanities",""))))</f>
        <v/>
      </c>
      <c r="BD1227" s="5" t="str">
        <f aca="false">IF($B1227="","",--(F1227&gt;=10)+--(G1227&gt;=10)+--(H1227&gt;=10)+--(I1227&gt;=10)+--(J1227&gt;=10)+--(K1227&gt;=10)+--(L1227&gt;=10)+--(M1227&gt;=10)+--(N1227&gt;=10)+--(O1227&gt;=10))</f>
        <v/>
      </c>
      <c r="BE1227" s="5" t="str">
        <f aca="false">IF($B1227="","",--(AND(F1227&lt;&gt;"",F1227&lt;=8))+--(AND(G1227&lt;&gt;"",G1227&lt;=8))+--(AND(H1227&lt;&gt;"",H1227&lt;=8))+--(AND(I1227&lt;&gt;"",I1227&lt;=8))+--(AND(J1227&lt;&gt;"",J1227&lt;=8))+--(AND(K1227&lt;&gt;"",K1227&lt;=8))+--(AND(L1227&lt;&gt;"",L1227&lt;=8))+--(AND(M1227&lt;&gt;"",M1227&lt;=8))+--(AND(N1227&lt;&gt;"",N1227&lt;=8))+--(AND(O1227&lt;&gt;"",O1227&lt;=8)))</f>
        <v/>
      </c>
    </row>
    <row r="1228" customFormat="false" ht="15" hidden="false" customHeight="false" outlineLevel="0" collapsed="false">
      <c r="AZ1228" s="5" t="str">
        <f aca="false">IF($B1228="","",SUMPRODUCT(($AL1228:$AO1228&lt;&gt;"")*(COUNTIF($AP1228:$AX1228,$AL1228:$AO1228)&gt;0)))</f>
        <v/>
      </c>
      <c r="BA1228" s="5" t="str">
        <f aca="false">IF($B1228="","",IF(AZ1228&gt;0,1,0))</f>
        <v/>
      </c>
      <c r="BB1228" s="5" t="str">
        <f aca="false">IF($AP1228="","",IF((($AP1228="Engineering and Technology")+($AP1228="Science and Mathematics")+($AP1228="Computer Science, IT and Allied Fields")+($AP1228="Life Sciences /Medicine and Healthcare")+($AP1228="Paramedical")+($AP1228="Architecture")+($AP1228="Environmental Service")+($AP1228="Agriculture, Food Industry and Forestry"))&gt;0,"Science",IF((($AP1228="Banking and Finance")+($AP1228="Management and Administration")+($AP1228="Marketing")+($AP1228="Sales")+($AP1228="Entrepreneurship")+($AP1228="Hospitality and Tourism"))&gt;0,"Commerce",IF((($AP1228="Social Sciences and Humanities")+($AP1228="Law Studies")+($AP1228="Education and Training")+($AP1228="Art, Design")+($AP1228="Entertainment and Mass Media")+($AP1228="Community and Social Service")+($AP1228="Personal Care and Services")+($AP1228="Government and Public Administration")+($AP1228="Defence/ Protective Service")+($AP1228="Sports"))&gt;0,"Arts / Humanities",""))))</f>
        <v/>
      </c>
      <c r="BC1228" s="5" t="str">
        <f aca="false">IF($AL1228="","",IF((($AL1228="Engineering and Technology")+($AL1228="Science and Mathematics")+($AL1228="Computer Science, IT and Allied Fields")+($AL1228="Life Sciences /Medicine and Healthcare")+($AL1228="Paramedical")+($AL1228="Architecture")+($AL1228="Environmental Service")+($AL1228="Agriculture, Food Industry and Forestry"))&gt;0,"Science",IF((($AL1228="Banking and Finance")+($AL1228="Management and Administration")+($AL1228="Marketing")+($AL1228="Sales")+($AL1228="Entrepreneurship")+($AL1228="Hospitality and Tourism"))&gt;0,"Commerce",IF((($AL1228="Social Sciences and Humanities")+($AL1228="Law Studies")+($AL1228="Education and Training")+($AL1228="Art, Design")+($AL1228="Entertainment and Mass Media")+($AL1228="Community and Social Service")+($AL1228="Personal Care and Services")+($AL1228="Government and Public Administration")+($AL1228="Defence/ Protective Service")+($AL1228="Sports"))&gt;0,"Arts / Humanities",""))))</f>
        <v/>
      </c>
      <c r="BD1228" s="5" t="str">
        <f aca="false">IF($B1228="","",--(F1228&gt;=10)+--(G1228&gt;=10)+--(H1228&gt;=10)+--(I1228&gt;=10)+--(J1228&gt;=10)+--(K1228&gt;=10)+--(L1228&gt;=10)+--(M1228&gt;=10)+--(N1228&gt;=10)+--(O1228&gt;=10))</f>
        <v/>
      </c>
      <c r="BE1228" s="5" t="str">
        <f aca="false">IF($B1228="","",--(AND(F1228&lt;&gt;"",F1228&lt;=8))+--(AND(G1228&lt;&gt;"",G1228&lt;=8))+--(AND(H1228&lt;&gt;"",H1228&lt;=8))+--(AND(I1228&lt;&gt;"",I1228&lt;=8))+--(AND(J1228&lt;&gt;"",J1228&lt;=8))+--(AND(K1228&lt;&gt;"",K1228&lt;=8))+--(AND(L1228&lt;&gt;"",L1228&lt;=8))+--(AND(M1228&lt;&gt;"",M1228&lt;=8))+--(AND(N1228&lt;&gt;"",N1228&lt;=8))+--(AND(O1228&lt;&gt;"",O1228&lt;=8)))</f>
        <v/>
      </c>
    </row>
    <row r="1229" customFormat="false" ht="15" hidden="false" customHeight="false" outlineLevel="0" collapsed="false">
      <c r="AZ1229" s="5" t="str">
        <f aca="false">IF($B1229="","",SUMPRODUCT(($AL1229:$AO1229&lt;&gt;"")*(COUNTIF($AP1229:$AX1229,$AL1229:$AO1229)&gt;0)))</f>
        <v/>
      </c>
      <c r="BA1229" s="5" t="str">
        <f aca="false">IF($B1229="","",IF(AZ1229&gt;0,1,0))</f>
        <v/>
      </c>
      <c r="BB1229" s="5" t="str">
        <f aca="false">IF($AP1229="","",IF((($AP1229="Engineering and Technology")+($AP1229="Science and Mathematics")+($AP1229="Computer Science, IT and Allied Fields")+($AP1229="Life Sciences /Medicine and Healthcare")+($AP1229="Paramedical")+($AP1229="Architecture")+($AP1229="Environmental Service")+($AP1229="Agriculture, Food Industry and Forestry"))&gt;0,"Science",IF((($AP1229="Banking and Finance")+($AP1229="Management and Administration")+($AP1229="Marketing")+($AP1229="Sales")+($AP1229="Entrepreneurship")+($AP1229="Hospitality and Tourism"))&gt;0,"Commerce",IF((($AP1229="Social Sciences and Humanities")+($AP1229="Law Studies")+($AP1229="Education and Training")+($AP1229="Art, Design")+($AP1229="Entertainment and Mass Media")+($AP1229="Community and Social Service")+($AP1229="Personal Care and Services")+($AP1229="Government and Public Administration")+($AP1229="Defence/ Protective Service")+($AP1229="Sports"))&gt;0,"Arts / Humanities",""))))</f>
        <v/>
      </c>
      <c r="BC1229" s="5" t="str">
        <f aca="false">IF($AL1229="","",IF((($AL1229="Engineering and Technology")+($AL1229="Science and Mathematics")+($AL1229="Computer Science, IT and Allied Fields")+($AL1229="Life Sciences /Medicine and Healthcare")+($AL1229="Paramedical")+($AL1229="Architecture")+($AL1229="Environmental Service")+($AL1229="Agriculture, Food Industry and Forestry"))&gt;0,"Science",IF((($AL1229="Banking and Finance")+($AL1229="Management and Administration")+($AL1229="Marketing")+($AL1229="Sales")+($AL1229="Entrepreneurship")+($AL1229="Hospitality and Tourism"))&gt;0,"Commerce",IF((($AL1229="Social Sciences and Humanities")+($AL1229="Law Studies")+($AL1229="Education and Training")+($AL1229="Art, Design")+($AL1229="Entertainment and Mass Media")+($AL1229="Community and Social Service")+($AL1229="Personal Care and Services")+($AL1229="Government and Public Administration")+($AL1229="Defence/ Protective Service")+($AL1229="Sports"))&gt;0,"Arts / Humanities",""))))</f>
        <v/>
      </c>
      <c r="BD1229" s="5" t="str">
        <f aca="false">IF($B1229="","",--(F1229&gt;=10)+--(G1229&gt;=10)+--(H1229&gt;=10)+--(I1229&gt;=10)+--(J1229&gt;=10)+--(K1229&gt;=10)+--(L1229&gt;=10)+--(M1229&gt;=10)+--(N1229&gt;=10)+--(O1229&gt;=10))</f>
        <v/>
      </c>
      <c r="BE1229" s="5" t="str">
        <f aca="false">IF($B1229="","",--(AND(F1229&lt;&gt;"",F1229&lt;=8))+--(AND(G1229&lt;&gt;"",G1229&lt;=8))+--(AND(H1229&lt;&gt;"",H1229&lt;=8))+--(AND(I1229&lt;&gt;"",I1229&lt;=8))+--(AND(J1229&lt;&gt;"",J1229&lt;=8))+--(AND(K1229&lt;&gt;"",K1229&lt;=8))+--(AND(L1229&lt;&gt;"",L1229&lt;=8))+--(AND(M1229&lt;&gt;"",M1229&lt;=8))+--(AND(N1229&lt;&gt;"",N1229&lt;=8))+--(AND(O1229&lt;&gt;"",O1229&lt;=8)))</f>
        <v/>
      </c>
    </row>
    <row r="1230" customFormat="false" ht="15" hidden="false" customHeight="false" outlineLevel="0" collapsed="false">
      <c r="AZ1230" s="5" t="str">
        <f aca="false">IF($B1230="","",SUMPRODUCT(($AL1230:$AO1230&lt;&gt;"")*(COUNTIF($AP1230:$AX1230,$AL1230:$AO1230)&gt;0)))</f>
        <v/>
      </c>
      <c r="BA1230" s="5" t="str">
        <f aca="false">IF($B1230="","",IF(AZ1230&gt;0,1,0))</f>
        <v/>
      </c>
      <c r="BB1230" s="5" t="str">
        <f aca="false">IF($AP1230="","",IF((($AP1230="Engineering and Technology")+($AP1230="Science and Mathematics")+($AP1230="Computer Science, IT and Allied Fields")+($AP1230="Life Sciences /Medicine and Healthcare")+($AP1230="Paramedical")+($AP1230="Architecture")+($AP1230="Environmental Service")+($AP1230="Agriculture, Food Industry and Forestry"))&gt;0,"Science",IF((($AP1230="Banking and Finance")+($AP1230="Management and Administration")+($AP1230="Marketing")+($AP1230="Sales")+($AP1230="Entrepreneurship")+($AP1230="Hospitality and Tourism"))&gt;0,"Commerce",IF((($AP1230="Social Sciences and Humanities")+($AP1230="Law Studies")+($AP1230="Education and Training")+($AP1230="Art, Design")+($AP1230="Entertainment and Mass Media")+($AP1230="Community and Social Service")+($AP1230="Personal Care and Services")+($AP1230="Government and Public Administration")+($AP1230="Defence/ Protective Service")+($AP1230="Sports"))&gt;0,"Arts / Humanities",""))))</f>
        <v/>
      </c>
      <c r="BC1230" s="5" t="str">
        <f aca="false">IF($AL1230="","",IF((($AL1230="Engineering and Technology")+($AL1230="Science and Mathematics")+($AL1230="Computer Science, IT and Allied Fields")+($AL1230="Life Sciences /Medicine and Healthcare")+($AL1230="Paramedical")+($AL1230="Architecture")+($AL1230="Environmental Service")+($AL1230="Agriculture, Food Industry and Forestry"))&gt;0,"Science",IF((($AL1230="Banking and Finance")+($AL1230="Management and Administration")+($AL1230="Marketing")+($AL1230="Sales")+($AL1230="Entrepreneurship")+($AL1230="Hospitality and Tourism"))&gt;0,"Commerce",IF((($AL1230="Social Sciences and Humanities")+($AL1230="Law Studies")+($AL1230="Education and Training")+($AL1230="Art, Design")+($AL1230="Entertainment and Mass Media")+($AL1230="Community and Social Service")+($AL1230="Personal Care and Services")+($AL1230="Government and Public Administration")+($AL1230="Defence/ Protective Service")+($AL1230="Sports"))&gt;0,"Arts / Humanities",""))))</f>
        <v/>
      </c>
      <c r="BD1230" s="5" t="str">
        <f aca="false">IF($B1230="","",--(F1230&gt;=10)+--(G1230&gt;=10)+--(H1230&gt;=10)+--(I1230&gt;=10)+--(J1230&gt;=10)+--(K1230&gt;=10)+--(L1230&gt;=10)+--(M1230&gt;=10)+--(N1230&gt;=10)+--(O1230&gt;=10))</f>
        <v/>
      </c>
      <c r="BE1230" s="5" t="str">
        <f aca="false">IF($B1230="","",--(AND(F1230&lt;&gt;"",F1230&lt;=8))+--(AND(G1230&lt;&gt;"",G1230&lt;=8))+--(AND(H1230&lt;&gt;"",H1230&lt;=8))+--(AND(I1230&lt;&gt;"",I1230&lt;=8))+--(AND(J1230&lt;&gt;"",J1230&lt;=8))+--(AND(K1230&lt;&gt;"",K1230&lt;=8))+--(AND(L1230&lt;&gt;"",L1230&lt;=8))+--(AND(M1230&lt;&gt;"",M1230&lt;=8))+--(AND(N1230&lt;&gt;"",N1230&lt;=8))+--(AND(O1230&lt;&gt;"",O1230&lt;=8)))</f>
        <v/>
      </c>
    </row>
    <row r="1231" customFormat="false" ht="15" hidden="false" customHeight="false" outlineLevel="0" collapsed="false">
      <c r="AZ1231" s="5" t="str">
        <f aca="false">IF($B1231="","",SUMPRODUCT(($AL1231:$AO1231&lt;&gt;"")*(COUNTIF($AP1231:$AX1231,$AL1231:$AO1231)&gt;0)))</f>
        <v/>
      </c>
      <c r="BA1231" s="5" t="str">
        <f aca="false">IF($B1231="","",IF(AZ1231&gt;0,1,0))</f>
        <v/>
      </c>
      <c r="BB1231" s="5" t="str">
        <f aca="false">IF($AP1231="","",IF((($AP1231="Engineering and Technology")+($AP1231="Science and Mathematics")+($AP1231="Computer Science, IT and Allied Fields")+($AP1231="Life Sciences /Medicine and Healthcare")+($AP1231="Paramedical")+($AP1231="Architecture")+($AP1231="Environmental Service")+($AP1231="Agriculture, Food Industry and Forestry"))&gt;0,"Science",IF((($AP1231="Banking and Finance")+($AP1231="Management and Administration")+($AP1231="Marketing")+($AP1231="Sales")+($AP1231="Entrepreneurship")+($AP1231="Hospitality and Tourism"))&gt;0,"Commerce",IF((($AP1231="Social Sciences and Humanities")+($AP1231="Law Studies")+($AP1231="Education and Training")+($AP1231="Art, Design")+($AP1231="Entertainment and Mass Media")+($AP1231="Community and Social Service")+($AP1231="Personal Care and Services")+($AP1231="Government and Public Administration")+($AP1231="Defence/ Protective Service")+($AP1231="Sports"))&gt;0,"Arts / Humanities",""))))</f>
        <v/>
      </c>
      <c r="BC1231" s="5" t="str">
        <f aca="false">IF($AL1231="","",IF((($AL1231="Engineering and Technology")+($AL1231="Science and Mathematics")+($AL1231="Computer Science, IT and Allied Fields")+($AL1231="Life Sciences /Medicine and Healthcare")+($AL1231="Paramedical")+($AL1231="Architecture")+($AL1231="Environmental Service")+($AL1231="Agriculture, Food Industry and Forestry"))&gt;0,"Science",IF((($AL1231="Banking and Finance")+($AL1231="Management and Administration")+($AL1231="Marketing")+($AL1231="Sales")+($AL1231="Entrepreneurship")+($AL1231="Hospitality and Tourism"))&gt;0,"Commerce",IF((($AL1231="Social Sciences and Humanities")+($AL1231="Law Studies")+($AL1231="Education and Training")+($AL1231="Art, Design")+($AL1231="Entertainment and Mass Media")+($AL1231="Community and Social Service")+($AL1231="Personal Care and Services")+($AL1231="Government and Public Administration")+($AL1231="Defence/ Protective Service")+($AL1231="Sports"))&gt;0,"Arts / Humanities",""))))</f>
        <v/>
      </c>
      <c r="BD1231" s="5" t="str">
        <f aca="false">IF($B1231="","",--(F1231&gt;=10)+--(G1231&gt;=10)+--(H1231&gt;=10)+--(I1231&gt;=10)+--(J1231&gt;=10)+--(K1231&gt;=10)+--(L1231&gt;=10)+--(M1231&gt;=10)+--(N1231&gt;=10)+--(O1231&gt;=10))</f>
        <v/>
      </c>
      <c r="BE1231" s="5" t="str">
        <f aca="false">IF($B1231="","",--(AND(F1231&lt;&gt;"",F1231&lt;=8))+--(AND(G1231&lt;&gt;"",G1231&lt;=8))+--(AND(H1231&lt;&gt;"",H1231&lt;=8))+--(AND(I1231&lt;&gt;"",I1231&lt;=8))+--(AND(J1231&lt;&gt;"",J1231&lt;=8))+--(AND(K1231&lt;&gt;"",K1231&lt;=8))+--(AND(L1231&lt;&gt;"",L1231&lt;=8))+--(AND(M1231&lt;&gt;"",M1231&lt;=8))+--(AND(N1231&lt;&gt;"",N1231&lt;=8))+--(AND(O1231&lt;&gt;"",O1231&lt;=8)))</f>
        <v/>
      </c>
    </row>
    <row r="1232" customFormat="false" ht="15" hidden="false" customHeight="false" outlineLevel="0" collapsed="false">
      <c r="AZ1232" s="5" t="str">
        <f aca="false">IF($B1232="","",SUMPRODUCT(($AL1232:$AO1232&lt;&gt;"")*(COUNTIF($AP1232:$AX1232,$AL1232:$AO1232)&gt;0)))</f>
        <v/>
      </c>
      <c r="BA1232" s="5" t="str">
        <f aca="false">IF($B1232="","",IF(AZ1232&gt;0,1,0))</f>
        <v/>
      </c>
      <c r="BB1232" s="5" t="str">
        <f aca="false">IF($AP1232="","",IF((($AP1232="Engineering and Technology")+($AP1232="Science and Mathematics")+($AP1232="Computer Science, IT and Allied Fields")+($AP1232="Life Sciences /Medicine and Healthcare")+($AP1232="Paramedical")+($AP1232="Architecture")+($AP1232="Environmental Service")+($AP1232="Agriculture, Food Industry and Forestry"))&gt;0,"Science",IF((($AP1232="Banking and Finance")+($AP1232="Management and Administration")+($AP1232="Marketing")+($AP1232="Sales")+($AP1232="Entrepreneurship")+($AP1232="Hospitality and Tourism"))&gt;0,"Commerce",IF((($AP1232="Social Sciences and Humanities")+($AP1232="Law Studies")+($AP1232="Education and Training")+($AP1232="Art, Design")+($AP1232="Entertainment and Mass Media")+($AP1232="Community and Social Service")+($AP1232="Personal Care and Services")+($AP1232="Government and Public Administration")+($AP1232="Defence/ Protective Service")+($AP1232="Sports"))&gt;0,"Arts / Humanities",""))))</f>
        <v/>
      </c>
      <c r="BC1232" s="5" t="str">
        <f aca="false">IF($AL1232="","",IF((($AL1232="Engineering and Technology")+($AL1232="Science and Mathematics")+($AL1232="Computer Science, IT and Allied Fields")+($AL1232="Life Sciences /Medicine and Healthcare")+($AL1232="Paramedical")+($AL1232="Architecture")+($AL1232="Environmental Service")+($AL1232="Agriculture, Food Industry and Forestry"))&gt;0,"Science",IF((($AL1232="Banking and Finance")+($AL1232="Management and Administration")+($AL1232="Marketing")+($AL1232="Sales")+($AL1232="Entrepreneurship")+($AL1232="Hospitality and Tourism"))&gt;0,"Commerce",IF((($AL1232="Social Sciences and Humanities")+($AL1232="Law Studies")+($AL1232="Education and Training")+($AL1232="Art, Design")+($AL1232="Entertainment and Mass Media")+($AL1232="Community and Social Service")+($AL1232="Personal Care and Services")+($AL1232="Government and Public Administration")+($AL1232="Defence/ Protective Service")+($AL1232="Sports"))&gt;0,"Arts / Humanities",""))))</f>
        <v/>
      </c>
      <c r="BD1232" s="5" t="str">
        <f aca="false">IF($B1232="","",--(F1232&gt;=10)+--(G1232&gt;=10)+--(H1232&gt;=10)+--(I1232&gt;=10)+--(J1232&gt;=10)+--(K1232&gt;=10)+--(L1232&gt;=10)+--(M1232&gt;=10)+--(N1232&gt;=10)+--(O1232&gt;=10))</f>
        <v/>
      </c>
      <c r="BE1232" s="5" t="str">
        <f aca="false">IF($B1232="","",--(AND(F1232&lt;&gt;"",F1232&lt;=8))+--(AND(G1232&lt;&gt;"",G1232&lt;=8))+--(AND(H1232&lt;&gt;"",H1232&lt;=8))+--(AND(I1232&lt;&gt;"",I1232&lt;=8))+--(AND(J1232&lt;&gt;"",J1232&lt;=8))+--(AND(K1232&lt;&gt;"",K1232&lt;=8))+--(AND(L1232&lt;&gt;"",L1232&lt;=8))+--(AND(M1232&lt;&gt;"",M1232&lt;=8))+--(AND(N1232&lt;&gt;"",N1232&lt;=8))+--(AND(O1232&lt;&gt;"",O1232&lt;=8)))</f>
        <v/>
      </c>
    </row>
    <row r="1233" customFormat="false" ht="15" hidden="false" customHeight="false" outlineLevel="0" collapsed="false">
      <c r="AZ1233" s="5" t="str">
        <f aca="false">IF($B1233="","",SUMPRODUCT(($AL1233:$AO1233&lt;&gt;"")*(COUNTIF($AP1233:$AX1233,$AL1233:$AO1233)&gt;0)))</f>
        <v/>
      </c>
      <c r="BA1233" s="5" t="str">
        <f aca="false">IF($B1233="","",IF(AZ1233&gt;0,1,0))</f>
        <v/>
      </c>
      <c r="BB1233" s="5" t="str">
        <f aca="false">IF($AP1233="","",IF((($AP1233="Engineering and Technology")+($AP1233="Science and Mathematics")+($AP1233="Computer Science, IT and Allied Fields")+($AP1233="Life Sciences /Medicine and Healthcare")+($AP1233="Paramedical")+($AP1233="Architecture")+($AP1233="Environmental Service")+($AP1233="Agriculture, Food Industry and Forestry"))&gt;0,"Science",IF((($AP1233="Banking and Finance")+($AP1233="Management and Administration")+($AP1233="Marketing")+($AP1233="Sales")+($AP1233="Entrepreneurship")+($AP1233="Hospitality and Tourism"))&gt;0,"Commerce",IF((($AP1233="Social Sciences and Humanities")+($AP1233="Law Studies")+($AP1233="Education and Training")+($AP1233="Art, Design")+($AP1233="Entertainment and Mass Media")+($AP1233="Community and Social Service")+($AP1233="Personal Care and Services")+($AP1233="Government and Public Administration")+($AP1233="Defence/ Protective Service")+($AP1233="Sports"))&gt;0,"Arts / Humanities",""))))</f>
        <v/>
      </c>
      <c r="BC1233" s="5" t="str">
        <f aca="false">IF($AL1233="","",IF((($AL1233="Engineering and Technology")+($AL1233="Science and Mathematics")+($AL1233="Computer Science, IT and Allied Fields")+($AL1233="Life Sciences /Medicine and Healthcare")+($AL1233="Paramedical")+($AL1233="Architecture")+($AL1233="Environmental Service")+($AL1233="Agriculture, Food Industry and Forestry"))&gt;0,"Science",IF((($AL1233="Banking and Finance")+($AL1233="Management and Administration")+($AL1233="Marketing")+($AL1233="Sales")+($AL1233="Entrepreneurship")+($AL1233="Hospitality and Tourism"))&gt;0,"Commerce",IF((($AL1233="Social Sciences and Humanities")+($AL1233="Law Studies")+($AL1233="Education and Training")+($AL1233="Art, Design")+($AL1233="Entertainment and Mass Media")+($AL1233="Community and Social Service")+($AL1233="Personal Care and Services")+($AL1233="Government and Public Administration")+($AL1233="Defence/ Protective Service")+($AL1233="Sports"))&gt;0,"Arts / Humanities",""))))</f>
        <v/>
      </c>
      <c r="BD1233" s="5" t="str">
        <f aca="false">IF($B1233="","",--(F1233&gt;=10)+--(G1233&gt;=10)+--(H1233&gt;=10)+--(I1233&gt;=10)+--(J1233&gt;=10)+--(K1233&gt;=10)+--(L1233&gt;=10)+--(M1233&gt;=10)+--(N1233&gt;=10)+--(O1233&gt;=10))</f>
        <v/>
      </c>
      <c r="BE1233" s="5" t="str">
        <f aca="false">IF($B1233="","",--(AND(F1233&lt;&gt;"",F1233&lt;=8))+--(AND(G1233&lt;&gt;"",G1233&lt;=8))+--(AND(H1233&lt;&gt;"",H1233&lt;=8))+--(AND(I1233&lt;&gt;"",I1233&lt;=8))+--(AND(J1233&lt;&gt;"",J1233&lt;=8))+--(AND(K1233&lt;&gt;"",K1233&lt;=8))+--(AND(L1233&lt;&gt;"",L1233&lt;=8))+--(AND(M1233&lt;&gt;"",M1233&lt;=8))+--(AND(N1233&lt;&gt;"",N1233&lt;=8))+--(AND(O1233&lt;&gt;"",O1233&lt;=8)))</f>
        <v/>
      </c>
    </row>
    <row r="1234" customFormat="false" ht="15" hidden="false" customHeight="false" outlineLevel="0" collapsed="false">
      <c r="AZ1234" s="5" t="str">
        <f aca="false">IF($B1234="","",SUMPRODUCT(($AL1234:$AO1234&lt;&gt;"")*(COUNTIF($AP1234:$AX1234,$AL1234:$AO1234)&gt;0)))</f>
        <v/>
      </c>
      <c r="BA1234" s="5" t="str">
        <f aca="false">IF($B1234="","",IF(AZ1234&gt;0,1,0))</f>
        <v/>
      </c>
      <c r="BB1234" s="5" t="str">
        <f aca="false">IF($AP1234="","",IF((($AP1234="Engineering and Technology")+($AP1234="Science and Mathematics")+($AP1234="Computer Science, IT and Allied Fields")+($AP1234="Life Sciences /Medicine and Healthcare")+($AP1234="Paramedical")+($AP1234="Architecture")+($AP1234="Environmental Service")+($AP1234="Agriculture, Food Industry and Forestry"))&gt;0,"Science",IF((($AP1234="Banking and Finance")+($AP1234="Management and Administration")+($AP1234="Marketing")+($AP1234="Sales")+($AP1234="Entrepreneurship")+($AP1234="Hospitality and Tourism"))&gt;0,"Commerce",IF((($AP1234="Social Sciences and Humanities")+($AP1234="Law Studies")+($AP1234="Education and Training")+($AP1234="Art, Design")+($AP1234="Entertainment and Mass Media")+($AP1234="Community and Social Service")+($AP1234="Personal Care and Services")+($AP1234="Government and Public Administration")+($AP1234="Defence/ Protective Service")+($AP1234="Sports"))&gt;0,"Arts / Humanities",""))))</f>
        <v/>
      </c>
      <c r="BC1234" s="5" t="str">
        <f aca="false">IF($AL1234="","",IF((($AL1234="Engineering and Technology")+($AL1234="Science and Mathematics")+($AL1234="Computer Science, IT and Allied Fields")+($AL1234="Life Sciences /Medicine and Healthcare")+($AL1234="Paramedical")+($AL1234="Architecture")+($AL1234="Environmental Service")+($AL1234="Agriculture, Food Industry and Forestry"))&gt;0,"Science",IF((($AL1234="Banking and Finance")+($AL1234="Management and Administration")+($AL1234="Marketing")+($AL1234="Sales")+($AL1234="Entrepreneurship")+($AL1234="Hospitality and Tourism"))&gt;0,"Commerce",IF((($AL1234="Social Sciences and Humanities")+($AL1234="Law Studies")+($AL1234="Education and Training")+($AL1234="Art, Design")+($AL1234="Entertainment and Mass Media")+($AL1234="Community and Social Service")+($AL1234="Personal Care and Services")+($AL1234="Government and Public Administration")+($AL1234="Defence/ Protective Service")+($AL1234="Sports"))&gt;0,"Arts / Humanities",""))))</f>
        <v/>
      </c>
      <c r="BD1234" s="5" t="str">
        <f aca="false">IF($B1234="","",--(F1234&gt;=10)+--(G1234&gt;=10)+--(H1234&gt;=10)+--(I1234&gt;=10)+--(J1234&gt;=10)+--(K1234&gt;=10)+--(L1234&gt;=10)+--(M1234&gt;=10)+--(N1234&gt;=10)+--(O1234&gt;=10))</f>
        <v/>
      </c>
      <c r="BE1234" s="5" t="str">
        <f aca="false">IF($B1234="","",--(AND(F1234&lt;&gt;"",F1234&lt;=8))+--(AND(G1234&lt;&gt;"",G1234&lt;=8))+--(AND(H1234&lt;&gt;"",H1234&lt;=8))+--(AND(I1234&lt;&gt;"",I1234&lt;=8))+--(AND(J1234&lt;&gt;"",J1234&lt;=8))+--(AND(K1234&lt;&gt;"",K1234&lt;=8))+--(AND(L1234&lt;&gt;"",L1234&lt;=8))+--(AND(M1234&lt;&gt;"",M1234&lt;=8))+--(AND(N1234&lt;&gt;"",N1234&lt;=8))+--(AND(O1234&lt;&gt;"",O1234&lt;=8)))</f>
        <v/>
      </c>
    </row>
    <row r="1235" customFormat="false" ht="15" hidden="false" customHeight="false" outlineLevel="0" collapsed="false">
      <c r="AZ1235" s="5" t="str">
        <f aca="false">IF($B1235="","",SUMPRODUCT(($AL1235:$AO1235&lt;&gt;"")*(COUNTIF($AP1235:$AX1235,$AL1235:$AO1235)&gt;0)))</f>
        <v/>
      </c>
      <c r="BA1235" s="5" t="str">
        <f aca="false">IF($B1235="","",IF(AZ1235&gt;0,1,0))</f>
        <v/>
      </c>
      <c r="BB1235" s="5" t="str">
        <f aca="false">IF($AP1235="","",IF((($AP1235="Engineering and Technology")+($AP1235="Science and Mathematics")+($AP1235="Computer Science, IT and Allied Fields")+($AP1235="Life Sciences /Medicine and Healthcare")+($AP1235="Paramedical")+($AP1235="Architecture")+($AP1235="Environmental Service")+($AP1235="Agriculture, Food Industry and Forestry"))&gt;0,"Science",IF((($AP1235="Banking and Finance")+($AP1235="Management and Administration")+($AP1235="Marketing")+($AP1235="Sales")+($AP1235="Entrepreneurship")+($AP1235="Hospitality and Tourism"))&gt;0,"Commerce",IF((($AP1235="Social Sciences and Humanities")+($AP1235="Law Studies")+($AP1235="Education and Training")+($AP1235="Art, Design")+($AP1235="Entertainment and Mass Media")+($AP1235="Community and Social Service")+($AP1235="Personal Care and Services")+($AP1235="Government and Public Administration")+($AP1235="Defence/ Protective Service")+($AP1235="Sports"))&gt;0,"Arts / Humanities",""))))</f>
        <v/>
      </c>
      <c r="BC1235" s="5" t="str">
        <f aca="false">IF($AL1235="","",IF((($AL1235="Engineering and Technology")+($AL1235="Science and Mathematics")+($AL1235="Computer Science, IT and Allied Fields")+($AL1235="Life Sciences /Medicine and Healthcare")+($AL1235="Paramedical")+($AL1235="Architecture")+($AL1235="Environmental Service")+($AL1235="Agriculture, Food Industry and Forestry"))&gt;0,"Science",IF((($AL1235="Banking and Finance")+($AL1235="Management and Administration")+($AL1235="Marketing")+($AL1235="Sales")+($AL1235="Entrepreneurship")+($AL1235="Hospitality and Tourism"))&gt;0,"Commerce",IF((($AL1235="Social Sciences and Humanities")+($AL1235="Law Studies")+($AL1235="Education and Training")+($AL1235="Art, Design")+($AL1235="Entertainment and Mass Media")+($AL1235="Community and Social Service")+($AL1235="Personal Care and Services")+($AL1235="Government and Public Administration")+($AL1235="Defence/ Protective Service")+($AL1235="Sports"))&gt;0,"Arts / Humanities",""))))</f>
        <v/>
      </c>
      <c r="BD1235" s="5" t="str">
        <f aca="false">IF($B1235="","",--(F1235&gt;=10)+--(G1235&gt;=10)+--(H1235&gt;=10)+--(I1235&gt;=10)+--(J1235&gt;=10)+--(K1235&gt;=10)+--(L1235&gt;=10)+--(M1235&gt;=10)+--(N1235&gt;=10)+--(O1235&gt;=10))</f>
        <v/>
      </c>
      <c r="BE1235" s="5" t="str">
        <f aca="false">IF($B1235="","",--(AND(F1235&lt;&gt;"",F1235&lt;=8))+--(AND(G1235&lt;&gt;"",G1235&lt;=8))+--(AND(H1235&lt;&gt;"",H1235&lt;=8))+--(AND(I1235&lt;&gt;"",I1235&lt;=8))+--(AND(J1235&lt;&gt;"",J1235&lt;=8))+--(AND(K1235&lt;&gt;"",K1235&lt;=8))+--(AND(L1235&lt;&gt;"",L1235&lt;=8))+--(AND(M1235&lt;&gt;"",M1235&lt;=8))+--(AND(N1235&lt;&gt;"",N1235&lt;=8))+--(AND(O1235&lt;&gt;"",O1235&lt;=8)))</f>
        <v/>
      </c>
    </row>
    <row r="1236" customFormat="false" ht="15" hidden="false" customHeight="false" outlineLevel="0" collapsed="false">
      <c r="AZ1236" s="5" t="str">
        <f aca="false">IF($B1236="","",SUMPRODUCT(($AL1236:$AO1236&lt;&gt;"")*(COUNTIF($AP1236:$AX1236,$AL1236:$AO1236)&gt;0)))</f>
        <v/>
      </c>
      <c r="BA1236" s="5" t="str">
        <f aca="false">IF($B1236="","",IF(AZ1236&gt;0,1,0))</f>
        <v/>
      </c>
      <c r="BB1236" s="5" t="str">
        <f aca="false">IF($AP1236="","",IF((($AP1236="Engineering and Technology")+($AP1236="Science and Mathematics")+($AP1236="Computer Science, IT and Allied Fields")+($AP1236="Life Sciences /Medicine and Healthcare")+($AP1236="Paramedical")+($AP1236="Architecture")+($AP1236="Environmental Service")+($AP1236="Agriculture, Food Industry and Forestry"))&gt;0,"Science",IF((($AP1236="Banking and Finance")+($AP1236="Management and Administration")+($AP1236="Marketing")+($AP1236="Sales")+($AP1236="Entrepreneurship")+($AP1236="Hospitality and Tourism"))&gt;0,"Commerce",IF((($AP1236="Social Sciences and Humanities")+($AP1236="Law Studies")+($AP1236="Education and Training")+($AP1236="Art, Design")+($AP1236="Entertainment and Mass Media")+($AP1236="Community and Social Service")+($AP1236="Personal Care and Services")+($AP1236="Government and Public Administration")+($AP1236="Defence/ Protective Service")+($AP1236="Sports"))&gt;0,"Arts / Humanities",""))))</f>
        <v/>
      </c>
      <c r="BC1236" s="5" t="str">
        <f aca="false">IF($AL1236="","",IF((($AL1236="Engineering and Technology")+($AL1236="Science and Mathematics")+($AL1236="Computer Science, IT and Allied Fields")+($AL1236="Life Sciences /Medicine and Healthcare")+($AL1236="Paramedical")+($AL1236="Architecture")+($AL1236="Environmental Service")+($AL1236="Agriculture, Food Industry and Forestry"))&gt;0,"Science",IF((($AL1236="Banking and Finance")+($AL1236="Management and Administration")+($AL1236="Marketing")+($AL1236="Sales")+($AL1236="Entrepreneurship")+($AL1236="Hospitality and Tourism"))&gt;0,"Commerce",IF((($AL1236="Social Sciences and Humanities")+($AL1236="Law Studies")+($AL1236="Education and Training")+($AL1236="Art, Design")+($AL1236="Entertainment and Mass Media")+($AL1236="Community and Social Service")+($AL1236="Personal Care and Services")+($AL1236="Government and Public Administration")+($AL1236="Defence/ Protective Service")+($AL1236="Sports"))&gt;0,"Arts / Humanities",""))))</f>
        <v/>
      </c>
      <c r="BD1236" s="5" t="str">
        <f aca="false">IF($B1236="","",--(F1236&gt;=10)+--(G1236&gt;=10)+--(H1236&gt;=10)+--(I1236&gt;=10)+--(J1236&gt;=10)+--(K1236&gt;=10)+--(L1236&gt;=10)+--(M1236&gt;=10)+--(N1236&gt;=10)+--(O1236&gt;=10))</f>
        <v/>
      </c>
      <c r="BE1236" s="5" t="str">
        <f aca="false">IF($B1236="","",--(AND(F1236&lt;&gt;"",F1236&lt;=8))+--(AND(G1236&lt;&gt;"",G1236&lt;=8))+--(AND(H1236&lt;&gt;"",H1236&lt;=8))+--(AND(I1236&lt;&gt;"",I1236&lt;=8))+--(AND(J1236&lt;&gt;"",J1236&lt;=8))+--(AND(K1236&lt;&gt;"",K1236&lt;=8))+--(AND(L1236&lt;&gt;"",L1236&lt;=8))+--(AND(M1236&lt;&gt;"",M1236&lt;=8))+--(AND(N1236&lt;&gt;"",N1236&lt;=8))+--(AND(O1236&lt;&gt;"",O1236&lt;=8)))</f>
        <v/>
      </c>
    </row>
    <row r="1237" customFormat="false" ht="15" hidden="false" customHeight="false" outlineLevel="0" collapsed="false">
      <c r="AZ1237" s="5" t="str">
        <f aca="false">IF($B1237="","",SUMPRODUCT(($AL1237:$AO1237&lt;&gt;"")*(COUNTIF($AP1237:$AX1237,$AL1237:$AO1237)&gt;0)))</f>
        <v/>
      </c>
      <c r="BA1237" s="5" t="str">
        <f aca="false">IF($B1237="","",IF(AZ1237&gt;0,1,0))</f>
        <v/>
      </c>
      <c r="BB1237" s="5" t="str">
        <f aca="false">IF($AP1237="","",IF((($AP1237="Engineering and Technology")+($AP1237="Science and Mathematics")+($AP1237="Computer Science, IT and Allied Fields")+($AP1237="Life Sciences /Medicine and Healthcare")+($AP1237="Paramedical")+($AP1237="Architecture")+($AP1237="Environmental Service")+($AP1237="Agriculture, Food Industry and Forestry"))&gt;0,"Science",IF((($AP1237="Banking and Finance")+($AP1237="Management and Administration")+($AP1237="Marketing")+($AP1237="Sales")+($AP1237="Entrepreneurship")+($AP1237="Hospitality and Tourism"))&gt;0,"Commerce",IF((($AP1237="Social Sciences and Humanities")+($AP1237="Law Studies")+($AP1237="Education and Training")+($AP1237="Art, Design")+($AP1237="Entertainment and Mass Media")+($AP1237="Community and Social Service")+($AP1237="Personal Care and Services")+($AP1237="Government and Public Administration")+($AP1237="Defence/ Protective Service")+($AP1237="Sports"))&gt;0,"Arts / Humanities",""))))</f>
        <v/>
      </c>
      <c r="BC1237" s="5" t="str">
        <f aca="false">IF($AL1237="","",IF((($AL1237="Engineering and Technology")+($AL1237="Science and Mathematics")+($AL1237="Computer Science, IT and Allied Fields")+($AL1237="Life Sciences /Medicine and Healthcare")+($AL1237="Paramedical")+($AL1237="Architecture")+($AL1237="Environmental Service")+($AL1237="Agriculture, Food Industry and Forestry"))&gt;0,"Science",IF((($AL1237="Banking and Finance")+($AL1237="Management and Administration")+($AL1237="Marketing")+($AL1237="Sales")+($AL1237="Entrepreneurship")+($AL1237="Hospitality and Tourism"))&gt;0,"Commerce",IF((($AL1237="Social Sciences and Humanities")+($AL1237="Law Studies")+($AL1237="Education and Training")+($AL1237="Art, Design")+($AL1237="Entertainment and Mass Media")+($AL1237="Community and Social Service")+($AL1237="Personal Care and Services")+($AL1237="Government and Public Administration")+($AL1237="Defence/ Protective Service")+($AL1237="Sports"))&gt;0,"Arts / Humanities",""))))</f>
        <v/>
      </c>
      <c r="BD1237" s="5" t="str">
        <f aca="false">IF($B1237="","",--(F1237&gt;=10)+--(G1237&gt;=10)+--(H1237&gt;=10)+--(I1237&gt;=10)+--(J1237&gt;=10)+--(K1237&gt;=10)+--(L1237&gt;=10)+--(M1237&gt;=10)+--(N1237&gt;=10)+--(O1237&gt;=10))</f>
        <v/>
      </c>
      <c r="BE1237" s="5" t="str">
        <f aca="false">IF($B1237="","",--(AND(F1237&lt;&gt;"",F1237&lt;=8))+--(AND(G1237&lt;&gt;"",G1237&lt;=8))+--(AND(H1237&lt;&gt;"",H1237&lt;=8))+--(AND(I1237&lt;&gt;"",I1237&lt;=8))+--(AND(J1237&lt;&gt;"",J1237&lt;=8))+--(AND(K1237&lt;&gt;"",K1237&lt;=8))+--(AND(L1237&lt;&gt;"",L1237&lt;=8))+--(AND(M1237&lt;&gt;"",M1237&lt;=8))+--(AND(N1237&lt;&gt;"",N1237&lt;=8))+--(AND(O1237&lt;&gt;"",O1237&lt;=8)))</f>
        <v/>
      </c>
    </row>
    <row r="1238" customFormat="false" ht="15" hidden="false" customHeight="false" outlineLevel="0" collapsed="false">
      <c r="AZ1238" s="5" t="str">
        <f aca="false">IF($B1238="","",SUMPRODUCT(($AL1238:$AO1238&lt;&gt;"")*(COUNTIF($AP1238:$AX1238,$AL1238:$AO1238)&gt;0)))</f>
        <v/>
      </c>
      <c r="BA1238" s="5" t="str">
        <f aca="false">IF($B1238="","",IF(AZ1238&gt;0,1,0))</f>
        <v/>
      </c>
      <c r="BB1238" s="5" t="str">
        <f aca="false">IF($AP1238="","",IF((($AP1238="Engineering and Technology")+($AP1238="Science and Mathematics")+($AP1238="Computer Science, IT and Allied Fields")+($AP1238="Life Sciences /Medicine and Healthcare")+($AP1238="Paramedical")+($AP1238="Architecture")+($AP1238="Environmental Service")+($AP1238="Agriculture, Food Industry and Forestry"))&gt;0,"Science",IF((($AP1238="Banking and Finance")+($AP1238="Management and Administration")+($AP1238="Marketing")+($AP1238="Sales")+($AP1238="Entrepreneurship")+($AP1238="Hospitality and Tourism"))&gt;0,"Commerce",IF((($AP1238="Social Sciences and Humanities")+($AP1238="Law Studies")+($AP1238="Education and Training")+($AP1238="Art, Design")+($AP1238="Entertainment and Mass Media")+($AP1238="Community and Social Service")+($AP1238="Personal Care and Services")+($AP1238="Government and Public Administration")+($AP1238="Defence/ Protective Service")+($AP1238="Sports"))&gt;0,"Arts / Humanities",""))))</f>
        <v/>
      </c>
      <c r="BC1238" s="5" t="str">
        <f aca="false">IF($AL1238="","",IF((($AL1238="Engineering and Technology")+($AL1238="Science and Mathematics")+($AL1238="Computer Science, IT and Allied Fields")+($AL1238="Life Sciences /Medicine and Healthcare")+($AL1238="Paramedical")+($AL1238="Architecture")+($AL1238="Environmental Service")+($AL1238="Agriculture, Food Industry and Forestry"))&gt;0,"Science",IF((($AL1238="Banking and Finance")+($AL1238="Management and Administration")+($AL1238="Marketing")+($AL1238="Sales")+($AL1238="Entrepreneurship")+($AL1238="Hospitality and Tourism"))&gt;0,"Commerce",IF((($AL1238="Social Sciences and Humanities")+($AL1238="Law Studies")+($AL1238="Education and Training")+($AL1238="Art, Design")+($AL1238="Entertainment and Mass Media")+($AL1238="Community and Social Service")+($AL1238="Personal Care and Services")+($AL1238="Government and Public Administration")+($AL1238="Defence/ Protective Service")+($AL1238="Sports"))&gt;0,"Arts / Humanities",""))))</f>
        <v/>
      </c>
      <c r="BD1238" s="5" t="str">
        <f aca="false">IF($B1238="","",--(F1238&gt;=10)+--(G1238&gt;=10)+--(H1238&gt;=10)+--(I1238&gt;=10)+--(J1238&gt;=10)+--(K1238&gt;=10)+--(L1238&gt;=10)+--(M1238&gt;=10)+--(N1238&gt;=10)+--(O1238&gt;=10))</f>
        <v/>
      </c>
      <c r="BE1238" s="5" t="str">
        <f aca="false">IF($B1238="","",--(AND(F1238&lt;&gt;"",F1238&lt;=8))+--(AND(G1238&lt;&gt;"",G1238&lt;=8))+--(AND(H1238&lt;&gt;"",H1238&lt;=8))+--(AND(I1238&lt;&gt;"",I1238&lt;=8))+--(AND(J1238&lt;&gt;"",J1238&lt;=8))+--(AND(K1238&lt;&gt;"",K1238&lt;=8))+--(AND(L1238&lt;&gt;"",L1238&lt;=8))+--(AND(M1238&lt;&gt;"",M1238&lt;=8))+--(AND(N1238&lt;&gt;"",N1238&lt;=8))+--(AND(O1238&lt;&gt;"",O1238&lt;=8)))</f>
        <v/>
      </c>
    </row>
    <row r="1239" customFormat="false" ht="15" hidden="false" customHeight="false" outlineLevel="0" collapsed="false">
      <c r="AZ1239" s="5" t="str">
        <f aca="false">IF($B1239="","",SUMPRODUCT(($AL1239:$AO1239&lt;&gt;"")*(COUNTIF($AP1239:$AX1239,$AL1239:$AO1239)&gt;0)))</f>
        <v/>
      </c>
      <c r="BA1239" s="5" t="str">
        <f aca="false">IF($B1239="","",IF(AZ1239&gt;0,1,0))</f>
        <v/>
      </c>
      <c r="BB1239" s="5" t="str">
        <f aca="false">IF($AP1239="","",IF((($AP1239="Engineering and Technology")+($AP1239="Science and Mathematics")+($AP1239="Computer Science, IT and Allied Fields")+($AP1239="Life Sciences /Medicine and Healthcare")+($AP1239="Paramedical")+($AP1239="Architecture")+($AP1239="Environmental Service")+($AP1239="Agriculture, Food Industry and Forestry"))&gt;0,"Science",IF((($AP1239="Banking and Finance")+($AP1239="Management and Administration")+($AP1239="Marketing")+($AP1239="Sales")+($AP1239="Entrepreneurship")+($AP1239="Hospitality and Tourism"))&gt;0,"Commerce",IF((($AP1239="Social Sciences and Humanities")+($AP1239="Law Studies")+($AP1239="Education and Training")+($AP1239="Art, Design")+($AP1239="Entertainment and Mass Media")+($AP1239="Community and Social Service")+($AP1239="Personal Care and Services")+($AP1239="Government and Public Administration")+($AP1239="Defence/ Protective Service")+($AP1239="Sports"))&gt;0,"Arts / Humanities",""))))</f>
        <v/>
      </c>
      <c r="BC1239" s="5" t="str">
        <f aca="false">IF($AL1239="","",IF((($AL1239="Engineering and Technology")+($AL1239="Science and Mathematics")+($AL1239="Computer Science, IT and Allied Fields")+($AL1239="Life Sciences /Medicine and Healthcare")+($AL1239="Paramedical")+($AL1239="Architecture")+($AL1239="Environmental Service")+($AL1239="Agriculture, Food Industry and Forestry"))&gt;0,"Science",IF((($AL1239="Banking and Finance")+($AL1239="Management and Administration")+($AL1239="Marketing")+($AL1239="Sales")+($AL1239="Entrepreneurship")+($AL1239="Hospitality and Tourism"))&gt;0,"Commerce",IF((($AL1239="Social Sciences and Humanities")+($AL1239="Law Studies")+($AL1239="Education and Training")+($AL1239="Art, Design")+($AL1239="Entertainment and Mass Media")+($AL1239="Community and Social Service")+($AL1239="Personal Care and Services")+($AL1239="Government and Public Administration")+($AL1239="Defence/ Protective Service")+($AL1239="Sports"))&gt;0,"Arts / Humanities",""))))</f>
        <v/>
      </c>
      <c r="BD1239" s="5" t="str">
        <f aca="false">IF($B1239="","",--(F1239&gt;=10)+--(G1239&gt;=10)+--(H1239&gt;=10)+--(I1239&gt;=10)+--(J1239&gt;=10)+--(K1239&gt;=10)+--(L1239&gt;=10)+--(M1239&gt;=10)+--(N1239&gt;=10)+--(O1239&gt;=10))</f>
        <v/>
      </c>
      <c r="BE1239" s="5" t="str">
        <f aca="false">IF($B1239="","",--(AND(F1239&lt;&gt;"",F1239&lt;=8))+--(AND(G1239&lt;&gt;"",G1239&lt;=8))+--(AND(H1239&lt;&gt;"",H1239&lt;=8))+--(AND(I1239&lt;&gt;"",I1239&lt;=8))+--(AND(J1239&lt;&gt;"",J1239&lt;=8))+--(AND(K1239&lt;&gt;"",K1239&lt;=8))+--(AND(L1239&lt;&gt;"",L1239&lt;=8))+--(AND(M1239&lt;&gt;"",M1239&lt;=8))+--(AND(N1239&lt;&gt;"",N1239&lt;=8))+--(AND(O1239&lt;&gt;"",O1239&lt;=8)))</f>
        <v/>
      </c>
    </row>
    <row r="1240" customFormat="false" ht="15" hidden="false" customHeight="false" outlineLevel="0" collapsed="false">
      <c r="AZ1240" s="5" t="str">
        <f aca="false">IF($B1240="","",SUMPRODUCT(($AL1240:$AO1240&lt;&gt;"")*(COUNTIF($AP1240:$AX1240,$AL1240:$AO1240)&gt;0)))</f>
        <v/>
      </c>
      <c r="BA1240" s="5" t="str">
        <f aca="false">IF($B1240="","",IF(AZ1240&gt;0,1,0))</f>
        <v/>
      </c>
      <c r="BB1240" s="5" t="str">
        <f aca="false">IF($AP1240="","",IF((($AP1240="Engineering and Technology")+($AP1240="Science and Mathematics")+($AP1240="Computer Science, IT and Allied Fields")+($AP1240="Life Sciences /Medicine and Healthcare")+($AP1240="Paramedical")+($AP1240="Architecture")+($AP1240="Environmental Service")+($AP1240="Agriculture, Food Industry and Forestry"))&gt;0,"Science",IF((($AP1240="Banking and Finance")+($AP1240="Management and Administration")+($AP1240="Marketing")+($AP1240="Sales")+($AP1240="Entrepreneurship")+($AP1240="Hospitality and Tourism"))&gt;0,"Commerce",IF((($AP1240="Social Sciences and Humanities")+($AP1240="Law Studies")+($AP1240="Education and Training")+($AP1240="Art, Design")+($AP1240="Entertainment and Mass Media")+($AP1240="Community and Social Service")+($AP1240="Personal Care and Services")+($AP1240="Government and Public Administration")+($AP1240="Defence/ Protective Service")+($AP1240="Sports"))&gt;0,"Arts / Humanities",""))))</f>
        <v/>
      </c>
      <c r="BC1240" s="5" t="str">
        <f aca="false">IF($AL1240="","",IF((($AL1240="Engineering and Technology")+($AL1240="Science and Mathematics")+($AL1240="Computer Science, IT and Allied Fields")+($AL1240="Life Sciences /Medicine and Healthcare")+($AL1240="Paramedical")+($AL1240="Architecture")+($AL1240="Environmental Service")+($AL1240="Agriculture, Food Industry and Forestry"))&gt;0,"Science",IF((($AL1240="Banking and Finance")+($AL1240="Management and Administration")+($AL1240="Marketing")+($AL1240="Sales")+($AL1240="Entrepreneurship")+($AL1240="Hospitality and Tourism"))&gt;0,"Commerce",IF((($AL1240="Social Sciences and Humanities")+($AL1240="Law Studies")+($AL1240="Education and Training")+($AL1240="Art, Design")+($AL1240="Entertainment and Mass Media")+($AL1240="Community and Social Service")+($AL1240="Personal Care and Services")+($AL1240="Government and Public Administration")+($AL1240="Defence/ Protective Service")+($AL1240="Sports"))&gt;0,"Arts / Humanities",""))))</f>
        <v/>
      </c>
      <c r="BD1240" s="5" t="str">
        <f aca="false">IF($B1240="","",--(F1240&gt;=10)+--(G1240&gt;=10)+--(H1240&gt;=10)+--(I1240&gt;=10)+--(J1240&gt;=10)+--(K1240&gt;=10)+--(L1240&gt;=10)+--(M1240&gt;=10)+--(N1240&gt;=10)+--(O1240&gt;=10))</f>
        <v/>
      </c>
      <c r="BE1240" s="5" t="str">
        <f aca="false">IF($B1240="","",--(AND(F1240&lt;&gt;"",F1240&lt;=8))+--(AND(G1240&lt;&gt;"",G1240&lt;=8))+--(AND(H1240&lt;&gt;"",H1240&lt;=8))+--(AND(I1240&lt;&gt;"",I1240&lt;=8))+--(AND(J1240&lt;&gt;"",J1240&lt;=8))+--(AND(K1240&lt;&gt;"",K1240&lt;=8))+--(AND(L1240&lt;&gt;"",L1240&lt;=8))+--(AND(M1240&lt;&gt;"",M1240&lt;=8))+--(AND(N1240&lt;&gt;"",N1240&lt;=8))+--(AND(O1240&lt;&gt;"",O1240&lt;=8)))</f>
        <v/>
      </c>
    </row>
    <row r="1241" customFormat="false" ht="15" hidden="false" customHeight="false" outlineLevel="0" collapsed="false">
      <c r="AZ1241" s="5" t="str">
        <f aca="false">IF($B1241="","",SUMPRODUCT(($AL1241:$AO1241&lt;&gt;"")*(COUNTIF($AP1241:$AX1241,$AL1241:$AO1241)&gt;0)))</f>
        <v/>
      </c>
      <c r="BA1241" s="5" t="str">
        <f aca="false">IF($B1241="","",IF(AZ1241&gt;0,1,0))</f>
        <v/>
      </c>
      <c r="BB1241" s="5" t="str">
        <f aca="false">IF($AP1241="","",IF((($AP1241="Engineering and Technology")+($AP1241="Science and Mathematics")+($AP1241="Computer Science, IT and Allied Fields")+($AP1241="Life Sciences /Medicine and Healthcare")+($AP1241="Paramedical")+($AP1241="Architecture")+($AP1241="Environmental Service")+($AP1241="Agriculture, Food Industry and Forestry"))&gt;0,"Science",IF((($AP1241="Banking and Finance")+($AP1241="Management and Administration")+($AP1241="Marketing")+($AP1241="Sales")+($AP1241="Entrepreneurship")+($AP1241="Hospitality and Tourism"))&gt;0,"Commerce",IF((($AP1241="Social Sciences and Humanities")+($AP1241="Law Studies")+($AP1241="Education and Training")+($AP1241="Art, Design")+($AP1241="Entertainment and Mass Media")+($AP1241="Community and Social Service")+($AP1241="Personal Care and Services")+($AP1241="Government and Public Administration")+($AP1241="Defence/ Protective Service")+($AP1241="Sports"))&gt;0,"Arts / Humanities",""))))</f>
        <v/>
      </c>
      <c r="BC1241" s="5" t="str">
        <f aca="false">IF($AL1241="","",IF((($AL1241="Engineering and Technology")+($AL1241="Science and Mathematics")+($AL1241="Computer Science, IT and Allied Fields")+($AL1241="Life Sciences /Medicine and Healthcare")+($AL1241="Paramedical")+($AL1241="Architecture")+($AL1241="Environmental Service")+($AL1241="Agriculture, Food Industry and Forestry"))&gt;0,"Science",IF((($AL1241="Banking and Finance")+($AL1241="Management and Administration")+($AL1241="Marketing")+($AL1241="Sales")+($AL1241="Entrepreneurship")+($AL1241="Hospitality and Tourism"))&gt;0,"Commerce",IF((($AL1241="Social Sciences and Humanities")+($AL1241="Law Studies")+($AL1241="Education and Training")+($AL1241="Art, Design")+($AL1241="Entertainment and Mass Media")+($AL1241="Community and Social Service")+($AL1241="Personal Care and Services")+($AL1241="Government and Public Administration")+($AL1241="Defence/ Protective Service")+($AL1241="Sports"))&gt;0,"Arts / Humanities",""))))</f>
        <v/>
      </c>
      <c r="BD1241" s="5" t="str">
        <f aca="false">IF($B1241="","",--(F1241&gt;=10)+--(G1241&gt;=10)+--(H1241&gt;=10)+--(I1241&gt;=10)+--(J1241&gt;=10)+--(K1241&gt;=10)+--(L1241&gt;=10)+--(M1241&gt;=10)+--(N1241&gt;=10)+--(O1241&gt;=10))</f>
        <v/>
      </c>
      <c r="BE1241" s="5" t="str">
        <f aca="false">IF($B1241="","",--(AND(F1241&lt;&gt;"",F1241&lt;=8))+--(AND(G1241&lt;&gt;"",G1241&lt;=8))+--(AND(H1241&lt;&gt;"",H1241&lt;=8))+--(AND(I1241&lt;&gt;"",I1241&lt;=8))+--(AND(J1241&lt;&gt;"",J1241&lt;=8))+--(AND(K1241&lt;&gt;"",K1241&lt;=8))+--(AND(L1241&lt;&gt;"",L1241&lt;=8))+--(AND(M1241&lt;&gt;"",M1241&lt;=8))+--(AND(N1241&lt;&gt;"",N1241&lt;=8))+--(AND(O1241&lt;&gt;"",O1241&lt;=8)))</f>
        <v/>
      </c>
    </row>
    <row r="1242" customFormat="false" ht="15" hidden="false" customHeight="false" outlineLevel="0" collapsed="false">
      <c r="AZ1242" s="5" t="str">
        <f aca="false">IF($B1242="","",SUMPRODUCT(($AL1242:$AO1242&lt;&gt;"")*(COUNTIF($AP1242:$AX1242,$AL1242:$AO1242)&gt;0)))</f>
        <v/>
      </c>
      <c r="BA1242" s="5" t="str">
        <f aca="false">IF($B1242="","",IF(AZ1242&gt;0,1,0))</f>
        <v/>
      </c>
      <c r="BB1242" s="5" t="str">
        <f aca="false">IF($AP1242="","",IF((($AP1242="Engineering and Technology")+($AP1242="Science and Mathematics")+($AP1242="Computer Science, IT and Allied Fields")+($AP1242="Life Sciences /Medicine and Healthcare")+($AP1242="Paramedical")+($AP1242="Architecture")+($AP1242="Environmental Service")+($AP1242="Agriculture, Food Industry and Forestry"))&gt;0,"Science",IF((($AP1242="Banking and Finance")+($AP1242="Management and Administration")+($AP1242="Marketing")+($AP1242="Sales")+($AP1242="Entrepreneurship")+($AP1242="Hospitality and Tourism"))&gt;0,"Commerce",IF((($AP1242="Social Sciences and Humanities")+($AP1242="Law Studies")+($AP1242="Education and Training")+($AP1242="Art, Design")+($AP1242="Entertainment and Mass Media")+($AP1242="Community and Social Service")+($AP1242="Personal Care and Services")+($AP1242="Government and Public Administration")+($AP1242="Defence/ Protective Service")+($AP1242="Sports"))&gt;0,"Arts / Humanities",""))))</f>
        <v/>
      </c>
      <c r="BC1242" s="5" t="str">
        <f aca="false">IF($AL1242="","",IF((($AL1242="Engineering and Technology")+($AL1242="Science and Mathematics")+($AL1242="Computer Science, IT and Allied Fields")+($AL1242="Life Sciences /Medicine and Healthcare")+($AL1242="Paramedical")+($AL1242="Architecture")+($AL1242="Environmental Service")+($AL1242="Agriculture, Food Industry and Forestry"))&gt;0,"Science",IF((($AL1242="Banking and Finance")+($AL1242="Management and Administration")+($AL1242="Marketing")+($AL1242="Sales")+($AL1242="Entrepreneurship")+($AL1242="Hospitality and Tourism"))&gt;0,"Commerce",IF((($AL1242="Social Sciences and Humanities")+($AL1242="Law Studies")+($AL1242="Education and Training")+($AL1242="Art, Design")+($AL1242="Entertainment and Mass Media")+($AL1242="Community and Social Service")+($AL1242="Personal Care and Services")+($AL1242="Government and Public Administration")+($AL1242="Defence/ Protective Service")+($AL1242="Sports"))&gt;0,"Arts / Humanities",""))))</f>
        <v/>
      </c>
      <c r="BD1242" s="5" t="str">
        <f aca="false">IF($B1242="","",--(F1242&gt;=10)+--(G1242&gt;=10)+--(H1242&gt;=10)+--(I1242&gt;=10)+--(J1242&gt;=10)+--(K1242&gt;=10)+--(L1242&gt;=10)+--(M1242&gt;=10)+--(N1242&gt;=10)+--(O1242&gt;=10))</f>
        <v/>
      </c>
      <c r="BE1242" s="5" t="str">
        <f aca="false">IF($B1242="","",--(AND(F1242&lt;&gt;"",F1242&lt;=8))+--(AND(G1242&lt;&gt;"",G1242&lt;=8))+--(AND(H1242&lt;&gt;"",H1242&lt;=8))+--(AND(I1242&lt;&gt;"",I1242&lt;=8))+--(AND(J1242&lt;&gt;"",J1242&lt;=8))+--(AND(K1242&lt;&gt;"",K1242&lt;=8))+--(AND(L1242&lt;&gt;"",L1242&lt;=8))+--(AND(M1242&lt;&gt;"",M1242&lt;=8))+--(AND(N1242&lt;&gt;"",N1242&lt;=8))+--(AND(O1242&lt;&gt;"",O1242&lt;=8)))</f>
        <v/>
      </c>
    </row>
    <row r="1243" customFormat="false" ht="15" hidden="false" customHeight="false" outlineLevel="0" collapsed="false">
      <c r="AZ1243" s="5" t="str">
        <f aca="false">IF($B1243="","",SUMPRODUCT(($AL1243:$AO1243&lt;&gt;"")*(COUNTIF($AP1243:$AX1243,$AL1243:$AO1243)&gt;0)))</f>
        <v/>
      </c>
      <c r="BA1243" s="5" t="str">
        <f aca="false">IF($B1243="","",IF(AZ1243&gt;0,1,0))</f>
        <v/>
      </c>
      <c r="BB1243" s="5" t="str">
        <f aca="false">IF($AP1243="","",IF((($AP1243="Engineering and Technology")+($AP1243="Science and Mathematics")+($AP1243="Computer Science, IT and Allied Fields")+($AP1243="Life Sciences /Medicine and Healthcare")+($AP1243="Paramedical")+($AP1243="Architecture")+($AP1243="Environmental Service")+($AP1243="Agriculture, Food Industry and Forestry"))&gt;0,"Science",IF((($AP1243="Banking and Finance")+($AP1243="Management and Administration")+($AP1243="Marketing")+($AP1243="Sales")+($AP1243="Entrepreneurship")+($AP1243="Hospitality and Tourism"))&gt;0,"Commerce",IF((($AP1243="Social Sciences and Humanities")+($AP1243="Law Studies")+($AP1243="Education and Training")+($AP1243="Art, Design")+($AP1243="Entertainment and Mass Media")+($AP1243="Community and Social Service")+($AP1243="Personal Care and Services")+($AP1243="Government and Public Administration")+($AP1243="Defence/ Protective Service")+($AP1243="Sports"))&gt;0,"Arts / Humanities",""))))</f>
        <v/>
      </c>
      <c r="BC1243" s="5" t="str">
        <f aca="false">IF($AL1243="","",IF((($AL1243="Engineering and Technology")+($AL1243="Science and Mathematics")+($AL1243="Computer Science, IT and Allied Fields")+($AL1243="Life Sciences /Medicine and Healthcare")+($AL1243="Paramedical")+($AL1243="Architecture")+($AL1243="Environmental Service")+($AL1243="Agriculture, Food Industry and Forestry"))&gt;0,"Science",IF((($AL1243="Banking and Finance")+($AL1243="Management and Administration")+($AL1243="Marketing")+($AL1243="Sales")+($AL1243="Entrepreneurship")+($AL1243="Hospitality and Tourism"))&gt;0,"Commerce",IF((($AL1243="Social Sciences and Humanities")+($AL1243="Law Studies")+($AL1243="Education and Training")+($AL1243="Art, Design")+($AL1243="Entertainment and Mass Media")+($AL1243="Community and Social Service")+($AL1243="Personal Care and Services")+($AL1243="Government and Public Administration")+($AL1243="Defence/ Protective Service")+($AL1243="Sports"))&gt;0,"Arts / Humanities",""))))</f>
        <v/>
      </c>
      <c r="BD1243" s="5" t="str">
        <f aca="false">IF($B1243="","",--(F1243&gt;=10)+--(G1243&gt;=10)+--(H1243&gt;=10)+--(I1243&gt;=10)+--(J1243&gt;=10)+--(K1243&gt;=10)+--(L1243&gt;=10)+--(M1243&gt;=10)+--(N1243&gt;=10)+--(O1243&gt;=10))</f>
        <v/>
      </c>
      <c r="BE1243" s="5" t="str">
        <f aca="false">IF($B1243="","",--(AND(F1243&lt;&gt;"",F1243&lt;=8))+--(AND(G1243&lt;&gt;"",G1243&lt;=8))+--(AND(H1243&lt;&gt;"",H1243&lt;=8))+--(AND(I1243&lt;&gt;"",I1243&lt;=8))+--(AND(J1243&lt;&gt;"",J1243&lt;=8))+--(AND(K1243&lt;&gt;"",K1243&lt;=8))+--(AND(L1243&lt;&gt;"",L1243&lt;=8))+--(AND(M1243&lt;&gt;"",M1243&lt;=8))+--(AND(N1243&lt;&gt;"",N1243&lt;=8))+--(AND(O1243&lt;&gt;"",O1243&lt;=8)))</f>
        <v/>
      </c>
    </row>
    <row r="1244" customFormat="false" ht="15" hidden="false" customHeight="false" outlineLevel="0" collapsed="false">
      <c r="AZ1244" s="5" t="str">
        <f aca="false">IF($B1244="","",SUMPRODUCT(($AL1244:$AO1244&lt;&gt;"")*(COUNTIF($AP1244:$AX1244,$AL1244:$AO1244)&gt;0)))</f>
        <v/>
      </c>
      <c r="BA1244" s="5" t="str">
        <f aca="false">IF($B1244="","",IF(AZ1244&gt;0,1,0))</f>
        <v/>
      </c>
      <c r="BB1244" s="5" t="str">
        <f aca="false">IF($AP1244="","",IF((($AP1244="Engineering and Technology")+($AP1244="Science and Mathematics")+($AP1244="Computer Science, IT and Allied Fields")+($AP1244="Life Sciences /Medicine and Healthcare")+($AP1244="Paramedical")+($AP1244="Architecture")+($AP1244="Environmental Service")+($AP1244="Agriculture, Food Industry and Forestry"))&gt;0,"Science",IF((($AP1244="Banking and Finance")+($AP1244="Management and Administration")+($AP1244="Marketing")+($AP1244="Sales")+($AP1244="Entrepreneurship")+($AP1244="Hospitality and Tourism"))&gt;0,"Commerce",IF((($AP1244="Social Sciences and Humanities")+($AP1244="Law Studies")+($AP1244="Education and Training")+($AP1244="Art, Design")+($AP1244="Entertainment and Mass Media")+($AP1244="Community and Social Service")+($AP1244="Personal Care and Services")+($AP1244="Government and Public Administration")+($AP1244="Defence/ Protective Service")+($AP1244="Sports"))&gt;0,"Arts / Humanities",""))))</f>
        <v/>
      </c>
      <c r="BC1244" s="5" t="str">
        <f aca="false">IF($AL1244="","",IF((($AL1244="Engineering and Technology")+($AL1244="Science and Mathematics")+($AL1244="Computer Science, IT and Allied Fields")+($AL1244="Life Sciences /Medicine and Healthcare")+($AL1244="Paramedical")+($AL1244="Architecture")+($AL1244="Environmental Service")+($AL1244="Agriculture, Food Industry and Forestry"))&gt;0,"Science",IF((($AL1244="Banking and Finance")+($AL1244="Management and Administration")+($AL1244="Marketing")+($AL1244="Sales")+($AL1244="Entrepreneurship")+($AL1244="Hospitality and Tourism"))&gt;0,"Commerce",IF((($AL1244="Social Sciences and Humanities")+($AL1244="Law Studies")+($AL1244="Education and Training")+($AL1244="Art, Design")+($AL1244="Entertainment and Mass Media")+($AL1244="Community and Social Service")+($AL1244="Personal Care and Services")+($AL1244="Government and Public Administration")+($AL1244="Defence/ Protective Service")+($AL1244="Sports"))&gt;0,"Arts / Humanities",""))))</f>
        <v/>
      </c>
      <c r="BD1244" s="5" t="str">
        <f aca="false">IF($B1244="","",--(F1244&gt;=10)+--(G1244&gt;=10)+--(H1244&gt;=10)+--(I1244&gt;=10)+--(J1244&gt;=10)+--(K1244&gt;=10)+--(L1244&gt;=10)+--(M1244&gt;=10)+--(N1244&gt;=10)+--(O1244&gt;=10))</f>
        <v/>
      </c>
      <c r="BE1244" s="5" t="str">
        <f aca="false">IF($B1244="","",--(AND(F1244&lt;&gt;"",F1244&lt;=8))+--(AND(G1244&lt;&gt;"",G1244&lt;=8))+--(AND(H1244&lt;&gt;"",H1244&lt;=8))+--(AND(I1244&lt;&gt;"",I1244&lt;=8))+--(AND(J1244&lt;&gt;"",J1244&lt;=8))+--(AND(K1244&lt;&gt;"",K1244&lt;=8))+--(AND(L1244&lt;&gt;"",L1244&lt;=8))+--(AND(M1244&lt;&gt;"",M1244&lt;=8))+--(AND(N1244&lt;&gt;"",N1244&lt;=8))+--(AND(O1244&lt;&gt;"",O1244&lt;=8)))</f>
        <v/>
      </c>
    </row>
    <row r="1245" customFormat="false" ht="15" hidden="false" customHeight="false" outlineLevel="0" collapsed="false">
      <c r="AZ1245" s="5" t="str">
        <f aca="false">IF($B1245="","",SUMPRODUCT(($AL1245:$AO1245&lt;&gt;"")*(COUNTIF($AP1245:$AX1245,$AL1245:$AO1245)&gt;0)))</f>
        <v/>
      </c>
      <c r="BA1245" s="5" t="str">
        <f aca="false">IF($B1245="","",IF(AZ1245&gt;0,1,0))</f>
        <v/>
      </c>
      <c r="BB1245" s="5" t="str">
        <f aca="false">IF($AP1245="","",IF((($AP1245="Engineering and Technology")+($AP1245="Science and Mathematics")+($AP1245="Computer Science, IT and Allied Fields")+($AP1245="Life Sciences /Medicine and Healthcare")+($AP1245="Paramedical")+($AP1245="Architecture")+($AP1245="Environmental Service")+($AP1245="Agriculture, Food Industry and Forestry"))&gt;0,"Science",IF((($AP1245="Banking and Finance")+($AP1245="Management and Administration")+($AP1245="Marketing")+($AP1245="Sales")+($AP1245="Entrepreneurship")+($AP1245="Hospitality and Tourism"))&gt;0,"Commerce",IF((($AP1245="Social Sciences and Humanities")+($AP1245="Law Studies")+($AP1245="Education and Training")+($AP1245="Art, Design")+($AP1245="Entertainment and Mass Media")+($AP1245="Community and Social Service")+($AP1245="Personal Care and Services")+($AP1245="Government and Public Administration")+($AP1245="Defence/ Protective Service")+($AP1245="Sports"))&gt;0,"Arts / Humanities",""))))</f>
        <v/>
      </c>
      <c r="BC1245" s="5" t="str">
        <f aca="false">IF($AL1245="","",IF((($AL1245="Engineering and Technology")+($AL1245="Science and Mathematics")+($AL1245="Computer Science, IT and Allied Fields")+($AL1245="Life Sciences /Medicine and Healthcare")+($AL1245="Paramedical")+($AL1245="Architecture")+($AL1245="Environmental Service")+($AL1245="Agriculture, Food Industry and Forestry"))&gt;0,"Science",IF((($AL1245="Banking and Finance")+($AL1245="Management and Administration")+($AL1245="Marketing")+($AL1245="Sales")+($AL1245="Entrepreneurship")+($AL1245="Hospitality and Tourism"))&gt;0,"Commerce",IF((($AL1245="Social Sciences and Humanities")+($AL1245="Law Studies")+($AL1245="Education and Training")+($AL1245="Art, Design")+($AL1245="Entertainment and Mass Media")+($AL1245="Community and Social Service")+($AL1245="Personal Care and Services")+($AL1245="Government and Public Administration")+($AL1245="Defence/ Protective Service")+($AL1245="Sports"))&gt;0,"Arts / Humanities",""))))</f>
        <v/>
      </c>
      <c r="BD1245" s="5" t="str">
        <f aca="false">IF($B1245="","",--(F1245&gt;=10)+--(G1245&gt;=10)+--(H1245&gt;=10)+--(I1245&gt;=10)+--(J1245&gt;=10)+--(K1245&gt;=10)+--(L1245&gt;=10)+--(M1245&gt;=10)+--(N1245&gt;=10)+--(O1245&gt;=10))</f>
        <v/>
      </c>
      <c r="BE1245" s="5" t="str">
        <f aca="false">IF($B1245="","",--(AND(F1245&lt;&gt;"",F1245&lt;=8))+--(AND(G1245&lt;&gt;"",G1245&lt;=8))+--(AND(H1245&lt;&gt;"",H1245&lt;=8))+--(AND(I1245&lt;&gt;"",I1245&lt;=8))+--(AND(J1245&lt;&gt;"",J1245&lt;=8))+--(AND(K1245&lt;&gt;"",K1245&lt;=8))+--(AND(L1245&lt;&gt;"",L1245&lt;=8))+--(AND(M1245&lt;&gt;"",M1245&lt;=8))+--(AND(N1245&lt;&gt;"",N1245&lt;=8))+--(AND(O1245&lt;&gt;"",O1245&lt;=8)))</f>
        <v/>
      </c>
    </row>
    <row r="1246" customFormat="false" ht="15" hidden="false" customHeight="false" outlineLevel="0" collapsed="false">
      <c r="AZ1246" s="5" t="str">
        <f aca="false">IF($B1246="","",SUMPRODUCT(($AL1246:$AO1246&lt;&gt;"")*(COUNTIF($AP1246:$AX1246,$AL1246:$AO1246)&gt;0)))</f>
        <v/>
      </c>
      <c r="BA1246" s="5" t="str">
        <f aca="false">IF($B1246="","",IF(AZ1246&gt;0,1,0))</f>
        <v/>
      </c>
      <c r="BB1246" s="5" t="str">
        <f aca="false">IF($AP1246="","",IF((($AP1246="Engineering and Technology")+($AP1246="Science and Mathematics")+($AP1246="Computer Science, IT and Allied Fields")+($AP1246="Life Sciences /Medicine and Healthcare")+($AP1246="Paramedical")+($AP1246="Architecture")+($AP1246="Environmental Service")+($AP1246="Agriculture, Food Industry and Forestry"))&gt;0,"Science",IF((($AP1246="Banking and Finance")+($AP1246="Management and Administration")+($AP1246="Marketing")+($AP1246="Sales")+($AP1246="Entrepreneurship")+($AP1246="Hospitality and Tourism"))&gt;0,"Commerce",IF((($AP1246="Social Sciences and Humanities")+($AP1246="Law Studies")+($AP1246="Education and Training")+($AP1246="Art, Design")+($AP1246="Entertainment and Mass Media")+($AP1246="Community and Social Service")+($AP1246="Personal Care and Services")+($AP1246="Government and Public Administration")+($AP1246="Defence/ Protective Service")+($AP1246="Sports"))&gt;0,"Arts / Humanities",""))))</f>
        <v/>
      </c>
      <c r="BC1246" s="5" t="str">
        <f aca="false">IF($AL1246="","",IF((($AL1246="Engineering and Technology")+($AL1246="Science and Mathematics")+($AL1246="Computer Science, IT and Allied Fields")+($AL1246="Life Sciences /Medicine and Healthcare")+($AL1246="Paramedical")+($AL1246="Architecture")+($AL1246="Environmental Service")+($AL1246="Agriculture, Food Industry and Forestry"))&gt;0,"Science",IF((($AL1246="Banking and Finance")+($AL1246="Management and Administration")+($AL1246="Marketing")+($AL1246="Sales")+($AL1246="Entrepreneurship")+($AL1246="Hospitality and Tourism"))&gt;0,"Commerce",IF((($AL1246="Social Sciences and Humanities")+($AL1246="Law Studies")+($AL1246="Education and Training")+($AL1246="Art, Design")+($AL1246="Entertainment and Mass Media")+($AL1246="Community and Social Service")+($AL1246="Personal Care and Services")+($AL1246="Government and Public Administration")+($AL1246="Defence/ Protective Service")+($AL1246="Sports"))&gt;0,"Arts / Humanities",""))))</f>
        <v/>
      </c>
      <c r="BD1246" s="5" t="str">
        <f aca="false">IF($B1246="","",--(F1246&gt;=10)+--(G1246&gt;=10)+--(H1246&gt;=10)+--(I1246&gt;=10)+--(J1246&gt;=10)+--(K1246&gt;=10)+--(L1246&gt;=10)+--(M1246&gt;=10)+--(N1246&gt;=10)+--(O1246&gt;=10))</f>
        <v/>
      </c>
      <c r="BE1246" s="5" t="str">
        <f aca="false">IF($B1246="","",--(AND(F1246&lt;&gt;"",F1246&lt;=8))+--(AND(G1246&lt;&gt;"",G1246&lt;=8))+--(AND(H1246&lt;&gt;"",H1246&lt;=8))+--(AND(I1246&lt;&gt;"",I1246&lt;=8))+--(AND(J1246&lt;&gt;"",J1246&lt;=8))+--(AND(K1246&lt;&gt;"",K1246&lt;=8))+--(AND(L1246&lt;&gt;"",L1246&lt;=8))+--(AND(M1246&lt;&gt;"",M1246&lt;=8))+--(AND(N1246&lt;&gt;"",N1246&lt;=8))+--(AND(O1246&lt;&gt;"",O1246&lt;=8)))</f>
        <v/>
      </c>
    </row>
    <row r="1247" customFormat="false" ht="15" hidden="false" customHeight="false" outlineLevel="0" collapsed="false">
      <c r="AZ1247" s="5" t="str">
        <f aca="false">IF($B1247="","",SUMPRODUCT(($AL1247:$AO1247&lt;&gt;"")*(COUNTIF($AP1247:$AX1247,$AL1247:$AO1247)&gt;0)))</f>
        <v/>
      </c>
      <c r="BA1247" s="5" t="str">
        <f aca="false">IF($B1247="","",IF(AZ1247&gt;0,1,0))</f>
        <v/>
      </c>
      <c r="BB1247" s="5" t="str">
        <f aca="false">IF($AP1247="","",IF((($AP1247="Engineering and Technology")+($AP1247="Science and Mathematics")+($AP1247="Computer Science, IT and Allied Fields")+($AP1247="Life Sciences /Medicine and Healthcare")+($AP1247="Paramedical")+($AP1247="Architecture")+($AP1247="Environmental Service")+($AP1247="Agriculture, Food Industry and Forestry"))&gt;0,"Science",IF((($AP1247="Banking and Finance")+($AP1247="Management and Administration")+($AP1247="Marketing")+($AP1247="Sales")+($AP1247="Entrepreneurship")+($AP1247="Hospitality and Tourism"))&gt;0,"Commerce",IF((($AP1247="Social Sciences and Humanities")+($AP1247="Law Studies")+($AP1247="Education and Training")+($AP1247="Art, Design")+($AP1247="Entertainment and Mass Media")+($AP1247="Community and Social Service")+($AP1247="Personal Care and Services")+($AP1247="Government and Public Administration")+($AP1247="Defence/ Protective Service")+($AP1247="Sports"))&gt;0,"Arts / Humanities",""))))</f>
        <v/>
      </c>
      <c r="BC1247" s="5" t="str">
        <f aca="false">IF($AL1247="","",IF((($AL1247="Engineering and Technology")+($AL1247="Science and Mathematics")+($AL1247="Computer Science, IT and Allied Fields")+($AL1247="Life Sciences /Medicine and Healthcare")+($AL1247="Paramedical")+($AL1247="Architecture")+($AL1247="Environmental Service")+($AL1247="Agriculture, Food Industry and Forestry"))&gt;0,"Science",IF((($AL1247="Banking and Finance")+($AL1247="Management and Administration")+($AL1247="Marketing")+($AL1247="Sales")+($AL1247="Entrepreneurship")+($AL1247="Hospitality and Tourism"))&gt;0,"Commerce",IF((($AL1247="Social Sciences and Humanities")+($AL1247="Law Studies")+($AL1247="Education and Training")+($AL1247="Art, Design")+($AL1247="Entertainment and Mass Media")+($AL1247="Community and Social Service")+($AL1247="Personal Care and Services")+($AL1247="Government and Public Administration")+($AL1247="Defence/ Protective Service")+($AL1247="Sports"))&gt;0,"Arts / Humanities",""))))</f>
        <v/>
      </c>
      <c r="BD1247" s="5" t="str">
        <f aca="false">IF($B1247="","",--(F1247&gt;=10)+--(G1247&gt;=10)+--(H1247&gt;=10)+--(I1247&gt;=10)+--(J1247&gt;=10)+--(K1247&gt;=10)+--(L1247&gt;=10)+--(M1247&gt;=10)+--(N1247&gt;=10)+--(O1247&gt;=10))</f>
        <v/>
      </c>
      <c r="BE1247" s="5" t="str">
        <f aca="false">IF($B1247="","",--(AND(F1247&lt;&gt;"",F1247&lt;=8))+--(AND(G1247&lt;&gt;"",G1247&lt;=8))+--(AND(H1247&lt;&gt;"",H1247&lt;=8))+--(AND(I1247&lt;&gt;"",I1247&lt;=8))+--(AND(J1247&lt;&gt;"",J1247&lt;=8))+--(AND(K1247&lt;&gt;"",K1247&lt;=8))+--(AND(L1247&lt;&gt;"",L1247&lt;=8))+--(AND(M1247&lt;&gt;"",M1247&lt;=8))+--(AND(N1247&lt;&gt;"",N1247&lt;=8))+--(AND(O1247&lt;&gt;"",O1247&lt;=8)))</f>
        <v/>
      </c>
    </row>
    <row r="1248" customFormat="false" ht="15" hidden="false" customHeight="false" outlineLevel="0" collapsed="false">
      <c r="AZ1248" s="5" t="str">
        <f aca="false">IF($B1248="","",SUMPRODUCT(($AL1248:$AO1248&lt;&gt;"")*(COUNTIF($AP1248:$AX1248,$AL1248:$AO1248)&gt;0)))</f>
        <v/>
      </c>
      <c r="BA1248" s="5" t="str">
        <f aca="false">IF($B1248="","",IF(AZ1248&gt;0,1,0))</f>
        <v/>
      </c>
      <c r="BB1248" s="5" t="str">
        <f aca="false">IF($AP1248="","",IF((($AP1248="Engineering and Technology")+($AP1248="Science and Mathematics")+($AP1248="Computer Science, IT and Allied Fields")+($AP1248="Life Sciences /Medicine and Healthcare")+($AP1248="Paramedical")+($AP1248="Architecture")+($AP1248="Environmental Service")+($AP1248="Agriculture, Food Industry and Forestry"))&gt;0,"Science",IF((($AP1248="Banking and Finance")+($AP1248="Management and Administration")+($AP1248="Marketing")+($AP1248="Sales")+($AP1248="Entrepreneurship")+($AP1248="Hospitality and Tourism"))&gt;0,"Commerce",IF((($AP1248="Social Sciences and Humanities")+($AP1248="Law Studies")+($AP1248="Education and Training")+($AP1248="Art, Design")+($AP1248="Entertainment and Mass Media")+($AP1248="Community and Social Service")+($AP1248="Personal Care and Services")+($AP1248="Government and Public Administration")+($AP1248="Defence/ Protective Service")+($AP1248="Sports"))&gt;0,"Arts / Humanities",""))))</f>
        <v/>
      </c>
      <c r="BC1248" s="5" t="str">
        <f aca="false">IF($AL1248="","",IF((($AL1248="Engineering and Technology")+($AL1248="Science and Mathematics")+($AL1248="Computer Science, IT and Allied Fields")+($AL1248="Life Sciences /Medicine and Healthcare")+($AL1248="Paramedical")+($AL1248="Architecture")+($AL1248="Environmental Service")+($AL1248="Agriculture, Food Industry and Forestry"))&gt;0,"Science",IF((($AL1248="Banking and Finance")+($AL1248="Management and Administration")+($AL1248="Marketing")+($AL1248="Sales")+($AL1248="Entrepreneurship")+($AL1248="Hospitality and Tourism"))&gt;0,"Commerce",IF((($AL1248="Social Sciences and Humanities")+($AL1248="Law Studies")+($AL1248="Education and Training")+($AL1248="Art, Design")+($AL1248="Entertainment and Mass Media")+($AL1248="Community and Social Service")+($AL1248="Personal Care and Services")+($AL1248="Government and Public Administration")+($AL1248="Defence/ Protective Service")+($AL1248="Sports"))&gt;0,"Arts / Humanities",""))))</f>
        <v/>
      </c>
      <c r="BD1248" s="5" t="str">
        <f aca="false">IF($B1248="","",--(F1248&gt;=10)+--(G1248&gt;=10)+--(H1248&gt;=10)+--(I1248&gt;=10)+--(J1248&gt;=10)+--(K1248&gt;=10)+--(L1248&gt;=10)+--(M1248&gt;=10)+--(N1248&gt;=10)+--(O1248&gt;=10))</f>
        <v/>
      </c>
      <c r="BE1248" s="5" t="str">
        <f aca="false">IF($B1248="","",--(AND(F1248&lt;&gt;"",F1248&lt;=8))+--(AND(G1248&lt;&gt;"",G1248&lt;=8))+--(AND(H1248&lt;&gt;"",H1248&lt;=8))+--(AND(I1248&lt;&gt;"",I1248&lt;=8))+--(AND(J1248&lt;&gt;"",J1248&lt;=8))+--(AND(K1248&lt;&gt;"",K1248&lt;=8))+--(AND(L1248&lt;&gt;"",L1248&lt;=8))+--(AND(M1248&lt;&gt;"",M1248&lt;=8))+--(AND(N1248&lt;&gt;"",N1248&lt;=8))+--(AND(O1248&lt;&gt;"",O1248&lt;=8)))</f>
        <v/>
      </c>
    </row>
    <row r="1249" customFormat="false" ht="15" hidden="false" customHeight="false" outlineLevel="0" collapsed="false">
      <c r="AZ1249" s="5" t="str">
        <f aca="false">IF($B1249="","",SUMPRODUCT(($AL1249:$AO1249&lt;&gt;"")*(COUNTIF($AP1249:$AX1249,$AL1249:$AO1249)&gt;0)))</f>
        <v/>
      </c>
      <c r="BA1249" s="5" t="str">
        <f aca="false">IF($B1249="","",IF(AZ1249&gt;0,1,0))</f>
        <v/>
      </c>
      <c r="BB1249" s="5" t="str">
        <f aca="false">IF($AP1249="","",IF((($AP1249="Engineering and Technology")+($AP1249="Science and Mathematics")+($AP1249="Computer Science, IT and Allied Fields")+($AP1249="Life Sciences /Medicine and Healthcare")+($AP1249="Paramedical")+($AP1249="Architecture")+($AP1249="Environmental Service")+($AP1249="Agriculture, Food Industry and Forestry"))&gt;0,"Science",IF((($AP1249="Banking and Finance")+($AP1249="Management and Administration")+($AP1249="Marketing")+($AP1249="Sales")+($AP1249="Entrepreneurship")+($AP1249="Hospitality and Tourism"))&gt;0,"Commerce",IF((($AP1249="Social Sciences and Humanities")+($AP1249="Law Studies")+($AP1249="Education and Training")+($AP1249="Art, Design")+($AP1249="Entertainment and Mass Media")+($AP1249="Community and Social Service")+($AP1249="Personal Care and Services")+($AP1249="Government and Public Administration")+($AP1249="Defence/ Protective Service")+($AP1249="Sports"))&gt;0,"Arts / Humanities",""))))</f>
        <v/>
      </c>
      <c r="BC1249" s="5" t="str">
        <f aca="false">IF($AL1249="","",IF((($AL1249="Engineering and Technology")+($AL1249="Science and Mathematics")+($AL1249="Computer Science, IT and Allied Fields")+($AL1249="Life Sciences /Medicine and Healthcare")+($AL1249="Paramedical")+($AL1249="Architecture")+($AL1249="Environmental Service")+($AL1249="Agriculture, Food Industry and Forestry"))&gt;0,"Science",IF((($AL1249="Banking and Finance")+($AL1249="Management and Administration")+($AL1249="Marketing")+($AL1249="Sales")+($AL1249="Entrepreneurship")+($AL1249="Hospitality and Tourism"))&gt;0,"Commerce",IF((($AL1249="Social Sciences and Humanities")+($AL1249="Law Studies")+($AL1249="Education and Training")+($AL1249="Art, Design")+($AL1249="Entertainment and Mass Media")+($AL1249="Community and Social Service")+($AL1249="Personal Care and Services")+($AL1249="Government and Public Administration")+($AL1249="Defence/ Protective Service")+($AL1249="Sports"))&gt;0,"Arts / Humanities",""))))</f>
        <v/>
      </c>
      <c r="BD1249" s="5" t="str">
        <f aca="false">IF($B1249="","",--(F1249&gt;=10)+--(G1249&gt;=10)+--(H1249&gt;=10)+--(I1249&gt;=10)+--(J1249&gt;=10)+--(K1249&gt;=10)+--(L1249&gt;=10)+--(M1249&gt;=10)+--(N1249&gt;=10)+--(O1249&gt;=10))</f>
        <v/>
      </c>
      <c r="BE1249" s="5" t="str">
        <f aca="false">IF($B1249="","",--(AND(F1249&lt;&gt;"",F1249&lt;=8))+--(AND(G1249&lt;&gt;"",G1249&lt;=8))+--(AND(H1249&lt;&gt;"",H1249&lt;=8))+--(AND(I1249&lt;&gt;"",I1249&lt;=8))+--(AND(J1249&lt;&gt;"",J1249&lt;=8))+--(AND(K1249&lt;&gt;"",K1249&lt;=8))+--(AND(L1249&lt;&gt;"",L1249&lt;=8))+--(AND(M1249&lt;&gt;"",M1249&lt;=8))+--(AND(N1249&lt;&gt;"",N1249&lt;=8))+--(AND(O1249&lt;&gt;"",O1249&lt;=8)))</f>
        <v/>
      </c>
    </row>
    <row r="1250" customFormat="false" ht="15" hidden="false" customHeight="false" outlineLevel="0" collapsed="false">
      <c r="AZ1250" s="5" t="str">
        <f aca="false">IF($B1250="","",SUMPRODUCT(($AL1250:$AO1250&lt;&gt;"")*(COUNTIF($AP1250:$AX1250,$AL1250:$AO1250)&gt;0)))</f>
        <v/>
      </c>
      <c r="BA1250" s="5" t="str">
        <f aca="false">IF($B1250="","",IF(AZ1250&gt;0,1,0))</f>
        <v/>
      </c>
      <c r="BB1250" s="5" t="str">
        <f aca="false">IF($AP1250="","",IF((($AP1250="Engineering and Technology")+($AP1250="Science and Mathematics")+($AP1250="Computer Science, IT and Allied Fields")+($AP1250="Life Sciences /Medicine and Healthcare")+($AP1250="Paramedical")+($AP1250="Architecture")+($AP1250="Environmental Service")+($AP1250="Agriculture, Food Industry and Forestry"))&gt;0,"Science",IF((($AP1250="Banking and Finance")+($AP1250="Management and Administration")+($AP1250="Marketing")+($AP1250="Sales")+($AP1250="Entrepreneurship")+($AP1250="Hospitality and Tourism"))&gt;0,"Commerce",IF((($AP1250="Social Sciences and Humanities")+($AP1250="Law Studies")+($AP1250="Education and Training")+($AP1250="Art, Design")+($AP1250="Entertainment and Mass Media")+($AP1250="Community and Social Service")+($AP1250="Personal Care and Services")+($AP1250="Government and Public Administration")+($AP1250="Defence/ Protective Service")+($AP1250="Sports"))&gt;0,"Arts / Humanities",""))))</f>
        <v/>
      </c>
      <c r="BC1250" s="5" t="str">
        <f aca="false">IF($AL1250="","",IF((($AL1250="Engineering and Technology")+($AL1250="Science and Mathematics")+($AL1250="Computer Science, IT and Allied Fields")+($AL1250="Life Sciences /Medicine and Healthcare")+($AL1250="Paramedical")+($AL1250="Architecture")+($AL1250="Environmental Service")+($AL1250="Agriculture, Food Industry and Forestry"))&gt;0,"Science",IF((($AL1250="Banking and Finance")+($AL1250="Management and Administration")+($AL1250="Marketing")+($AL1250="Sales")+($AL1250="Entrepreneurship")+($AL1250="Hospitality and Tourism"))&gt;0,"Commerce",IF((($AL1250="Social Sciences and Humanities")+($AL1250="Law Studies")+($AL1250="Education and Training")+($AL1250="Art, Design")+($AL1250="Entertainment and Mass Media")+($AL1250="Community and Social Service")+($AL1250="Personal Care and Services")+($AL1250="Government and Public Administration")+($AL1250="Defence/ Protective Service")+($AL1250="Sports"))&gt;0,"Arts / Humanities",""))))</f>
        <v/>
      </c>
      <c r="BD1250" s="5" t="str">
        <f aca="false">IF($B1250="","",--(F1250&gt;=10)+--(G1250&gt;=10)+--(H1250&gt;=10)+--(I1250&gt;=10)+--(J1250&gt;=10)+--(K1250&gt;=10)+--(L1250&gt;=10)+--(M1250&gt;=10)+--(N1250&gt;=10)+--(O1250&gt;=10))</f>
        <v/>
      </c>
      <c r="BE1250" s="5" t="str">
        <f aca="false">IF($B1250="","",--(AND(F1250&lt;&gt;"",F1250&lt;=8))+--(AND(G1250&lt;&gt;"",G1250&lt;=8))+--(AND(H1250&lt;&gt;"",H1250&lt;=8))+--(AND(I1250&lt;&gt;"",I1250&lt;=8))+--(AND(J1250&lt;&gt;"",J1250&lt;=8))+--(AND(K1250&lt;&gt;"",K1250&lt;=8))+--(AND(L1250&lt;&gt;"",L1250&lt;=8))+--(AND(M1250&lt;&gt;"",M1250&lt;=8))+--(AND(N1250&lt;&gt;"",N1250&lt;=8))+--(AND(O1250&lt;&gt;"",O1250&lt;=8)))</f>
        <v/>
      </c>
    </row>
    <row r="1251" customFormat="false" ht="15" hidden="false" customHeight="false" outlineLevel="0" collapsed="false">
      <c r="AZ1251" s="5" t="str">
        <f aca="false">IF($B1251="","",SUMPRODUCT(($AL1251:$AO1251&lt;&gt;"")*(COUNTIF($AP1251:$AX1251,$AL1251:$AO1251)&gt;0)))</f>
        <v/>
      </c>
      <c r="BA1251" s="5" t="str">
        <f aca="false">IF($B1251="","",IF(AZ1251&gt;0,1,0))</f>
        <v/>
      </c>
      <c r="BB1251" s="5" t="str">
        <f aca="false">IF($AP1251="","",IF((($AP1251="Engineering and Technology")+($AP1251="Science and Mathematics")+($AP1251="Computer Science, IT and Allied Fields")+($AP1251="Life Sciences /Medicine and Healthcare")+($AP1251="Paramedical")+($AP1251="Architecture")+($AP1251="Environmental Service")+($AP1251="Agriculture, Food Industry and Forestry"))&gt;0,"Science",IF((($AP1251="Banking and Finance")+($AP1251="Management and Administration")+($AP1251="Marketing")+($AP1251="Sales")+($AP1251="Entrepreneurship")+($AP1251="Hospitality and Tourism"))&gt;0,"Commerce",IF((($AP1251="Social Sciences and Humanities")+($AP1251="Law Studies")+($AP1251="Education and Training")+($AP1251="Art, Design")+($AP1251="Entertainment and Mass Media")+($AP1251="Community and Social Service")+($AP1251="Personal Care and Services")+($AP1251="Government and Public Administration")+($AP1251="Defence/ Protective Service")+($AP1251="Sports"))&gt;0,"Arts / Humanities",""))))</f>
        <v/>
      </c>
      <c r="BC1251" s="5" t="str">
        <f aca="false">IF($AL1251="","",IF((($AL1251="Engineering and Technology")+($AL1251="Science and Mathematics")+($AL1251="Computer Science, IT and Allied Fields")+($AL1251="Life Sciences /Medicine and Healthcare")+($AL1251="Paramedical")+($AL1251="Architecture")+($AL1251="Environmental Service")+($AL1251="Agriculture, Food Industry and Forestry"))&gt;0,"Science",IF((($AL1251="Banking and Finance")+($AL1251="Management and Administration")+($AL1251="Marketing")+($AL1251="Sales")+($AL1251="Entrepreneurship")+($AL1251="Hospitality and Tourism"))&gt;0,"Commerce",IF((($AL1251="Social Sciences and Humanities")+($AL1251="Law Studies")+($AL1251="Education and Training")+($AL1251="Art, Design")+($AL1251="Entertainment and Mass Media")+($AL1251="Community and Social Service")+($AL1251="Personal Care and Services")+($AL1251="Government and Public Administration")+($AL1251="Defence/ Protective Service")+($AL1251="Sports"))&gt;0,"Arts / Humanities",""))))</f>
        <v/>
      </c>
      <c r="BD1251" s="5" t="str">
        <f aca="false">IF($B1251="","",--(F1251&gt;=10)+--(G1251&gt;=10)+--(H1251&gt;=10)+--(I1251&gt;=10)+--(J1251&gt;=10)+--(K1251&gt;=10)+--(L1251&gt;=10)+--(M1251&gt;=10)+--(N1251&gt;=10)+--(O1251&gt;=10))</f>
        <v/>
      </c>
      <c r="BE1251" s="5" t="str">
        <f aca="false">IF($B1251="","",--(AND(F1251&lt;&gt;"",F1251&lt;=8))+--(AND(G1251&lt;&gt;"",G1251&lt;=8))+--(AND(H1251&lt;&gt;"",H1251&lt;=8))+--(AND(I1251&lt;&gt;"",I1251&lt;=8))+--(AND(J1251&lt;&gt;"",J1251&lt;=8))+--(AND(K1251&lt;&gt;"",K1251&lt;=8))+--(AND(L1251&lt;&gt;"",L1251&lt;=8))+--(AND(M1251&lt;&gt;"",M1251&lt;=8))+--(AND(N1251&lt;&gt;"",N1251&lt;=8))+--(AND(O1251&lt;&gt;"",O1251&lt;=8)))</f>
        <v/>
      </c>
    </row>
    <row r="1252" customFormat="false" ht="15" hidden="false" customHeight="false" outlineLevel="0" collapsed="false">
      <c r="AZ1252" s="5" t="str">
        <f aca="false">IF($B1252="","",SUMPRODUCT(($AL1252:$AO1252&lt;&gt;"")*(COUNTIF($AP1252:$AX1252,$AL1252:$AO1252)&gt;0)))</f>
        <v/>
      </c>
      <c r="BA1252" s="5" t="str">
        <f aca="false">IF($B1252="","",IF(AZ1252&gt;0,1,0))</f>
        <v/>
      </c>
      <c r="BB1252" s="5" t="str">
        <f aca="false">IF($AP1252="","",IF((($AP1252="Engineering and Technology")+($AP1252="Science and Mathematics")+($AP1252="Computer Science, IT and Allied Fields")+($AP1252="Life Sciences /Medicine and Healthcare")+($AP1252="Paramedical")+($AP1252="Architecture")+($AP1252="Environmental Service")+($AP1252="Agriculture, Food Industry and Forestry"))&gt;0,"Science",IF((($AP1252="Banking and Finance")+($AP1252="Management and Administration")+($AP1252="Marketing")+($AP1252="Sales")+($AP1252="Entrepreneurship")+($AP1252="Hospitality and Tourism"))&gt;0,"Commerce",IF((($AP1252="Social Sciences and Humanities")+($AP1252="Law Studies")+($AP1252="Education and Training")+($AP1252="Art, Design")+($AP1252="Entertainment and Mass Media")+($AP1252="Community and Social Service")+($AP1252="Personal Care and Services")+($AP1252="Government and Public Administration")+($AP1252="Defence/ Protective Service")+($AP1252="Sports"))&gt;0,"Arts / Humanities",""))))</f>
        <v/>
      </c>
      <c r="BC1252" s="5" t="str">
        <f aca="false">IF($AL1252="","",IF((($AL1252="Engineering and Technology")+($AL1252="Science and Mathematics")+($AL1252="Computer Science, IT and Allied Fields")+($AL1252="Life Sciences /Medicine and Healthcare")+($AL1252="Paramedical")+($AL1252="Architecture")+($AL1252="Environmental Service")+($AL1252="Agriculture, Food Industry and Forestry"))&gt;0,"Science",IF((($AL1252="Banking and Finance")+($AL1252="Management and Administration")+($AL1252="Marketing")+($AL1252="Sales")+($AL1252="Entrepreneurship")+($AL1252="Hospitality and Tourism"))&gt;0,"Commerce",IF((($AL1252="Social Sciences and Humanities")+($AL1252="Law Studies")+($AL1252="Education and Training")+($AL1252="Art, Design")+($AL1252="Entertainment and Mass Media")+($AL1252="Community and Social Service")+($AL1252="Personal Care and Services")+($AL1252="Government and Public Administration")+($AL1252="Defence/ Protective Service")+($AL1252="Sports"))&gt;0,"Arts / Humanities",""))))</f>
        <v/>
      </c>
      <c r="BD1252" s="5" t="str">
        <f aca="false">IF($B1252="","",--(F1252&gt;=10)+--(G1252&gt;=10)+--(H1252&gt;=10)+--(I1252&gt;=10)+--(J1252&gt;=10)+--(K1252&gt;=10)+--(L1252&gt;=10)+--(M1252&gt;=10)+--(N1252&gt;=10)+--(O1252&gt;=10))</f>
        <v/>
      </c>
      <c r="BE1252" s="5" t="str">
        <f aca="false">IF($B1252="","",--(AND(F1252&lt;&gt;"",F1252&lt;=8))+--(AND(G1252&lt;&gt;"",G1252&lt;=8))+--(AND(H1252&lt;&gt;"",H1252&lt;=8))+--(AND(I1252&lt;&gt;"",I1252&lt;=8))+--(AND(J1252&lt;&gt;"",J1252&lt;=8))+--(AND(K1252&lt;&gt;"",K1252&lt;=8))+--(AND(L1252&lt;&gt;"",L1252&lt;=8))+--(AND(M1252&lt;&gt;"",M1252&lt;=8))+--(AND(N1252&lt;&gt;"",N1252&lt;=8))+--(AND(O1252&lt;&gt;"",O1252&lt;=8)))</f>
        <v/>
      </c>
    </row>
    <row r="1253" customFormat="false" ht="15" hidden="false" customHeight="false" outlineLevel="0" collapsed="false">
      <c r="AZ1253" s="5" t="str">
        <f aca="false">IF($B1253="","",SUMPRODUCT(($AL1253:$AO1253&lt;&gt;"")*(COUNTIF($AP1253:$AX1253,$AL1253:$AO1253)&gt;0)))</f>
        <v/>
      </c>
      <c r="BA1253" s="5" t="str">
        <f aca="false">IF($B1253="","",IF(AZ1253&gt;0,1,0))</f>
        <v/>
      </c>
      <c r="BB1253" s="5" t="str">
        <f aca="false">IF($AP1253="","",IF((($AP1253="Engineering and Technology")+($AP1253="Science and Mathematics")+($AP1253="Computer Science, IT and Allied Fields")+($AP1253="Life Sciences /Medicine and Healthcare")+($AP1253="Paramedical")+($AP1253="Architecture")+($AP1253="Environmental Service")+($AP1253="Agriculture, Food Industry and Forestry"))&gt;0,"Science",IF((($AP1253="Banking and Finance")+($AP1253="Management and Administration")+($AP1253="Marketing")+($AP1253="Sales")+($AP1253="Entrepreneurship")+($AP1253="Hospitality and Tourism"))&gt;0,"Commerce",IF((($AP1253="Social Sciences and Humanities")+($AP1253="Law Studies")+($AP1253="Education and Training")+($AP1253="Art, Design")+($AP1253="Entertainment and Mass Media")+($AP1253="Community and Social Service")+($AP1253="Personal Care and Services")+($AP1253="Government and Public Administration")+($AP1253="Defence/ Protective Service")+($AP1253="Sports"))&gt;0,"Arts / Humanities",""))))</f>
        <v/>
      </c>
      <c r="BC1253" s="5" t="str">
        <f aca="false">IF($AL1253="","",IF((($AL1253="Engineering and Technology")+($AL1253="Science and Mathematics")+($AL1253="Computer Science, IT and Allied Fields")+($AL1253="Life Sciences /Medicine and Healthcare")+($AL1253="Paramedical")+($AL1253="Architecture")+($AL1253="Environmental Service")+($AL1253="Agriculture, Food Industry and Forestry"))&gt;0,"Science",IF((($AL1253="Banking and Finance")+($AL1253="Management and Administration")+($AL1253="Marketing")+($AL1253="Sales")+($AL1253="Entrepreneurship")+($AL1253="Hospitality and Tourism"))&gt;0,"Commerce",IF((($AL1253="Social Sciences and Humanities")+($AL1253="Law Studies")+($AL1253="Education and Training")+($AL1253="Art, Design")+($AL1253="Entertainment and Mass Media")+($AL1253="Community and Social Service")+($AL1253="Personal Care and Services")+($AL1253="Government and Public Administration")+($AL1253="Defence/ Protective Service")+($AL1253="Sports"))&gt;0,"Arts / Humanities",""))))</f>
        <v/>
      </c>
      <c r="BD1253" s="5" t="str">
        <f aca="false">IF($B1253="","",--(F1253&gt;=10)+--(G1253&gt;=10)+--(H1253&gt;=10)+--(I1253&gt;=10)+--(J1253&gt;=10)+--(K1253&gt;=10)+--(L1253&gt;=10)+--(M1253&gt;=10)+--(N1253&gt;=10)+--(O1253&gt;=10))</f>
        <v/>
      </c>
      <c r="BE1253" s="5" t="str">
        <f aca="false">IF($B1253="","",--(AND(F1253&lt;&gt;"",F1253&lt;=8))+--(AND(G1253&lt;&gt;"",G1253&lt;=8))+--(AND(H1253&lt;&gt;"",H1253&lt;=8))+--(AND(I1253&lt;&gt;"",I1253&lt;=8))+--(AND(J1253&lt;&gt;"",J1253&lt;=8))+--(AND(K1253&lt;&gt;"",K1253&lt;=8))+--(AND(L1253&lt;&gt;"",L1253&lt;=8))+--(AND(M1253&lt;&gt;"",M1253&lt;=8))+--(AND(N1253&lt;&gt;"",N1253&lt;=8))+--(AND(O1253&lt;&gt;"",O1253&lt;=8)))</f>
        <v/>
      </c>
    </row>
    <row r="1254" customFormat="false" ht="15" hidden="false" customHeight="false" outlineLevel="0" collapsed="false">
      <c r="AZ1254" s="5" t="str">
        <f aca="false">IF($B1254="","",SUMPRODUCT(($AL1254:$AO1254&lt;&gt;"")*(COUNTIF($AP1254:$AX1254,$AL1254:$AO1254)&gt;0)))</f>
        <v/>
      </c>
      <c r="BA1254" s="5" t="str">
        <f aca="false">IF($B1254="","",IF(AZ1254&gt;0,1,0))</f>
        <v/>
      </c>
      <c r="BB1254" s="5" t="str">
        <f aca="false">IF($AP1254="","",IF((($AP1254="Engineering and Technology")+($AP1254="Science and Mathematics")+($AP1254="Computer Science, IT and Allied Fields")+($AP1254="Life Sciences /Medicine and Healthcare")+($AP1254="Paramedical")+($AP1254="Architecture")+($AP1254="Environmental Service")+($AP1254="Agriculture, Food Industry and Forestry"))&gt;0,"Science",IF((($AP1254="Banking and Finance")+($AP1254="Management and Administration")+($AP1254="Marketing")+($AP1254="Sales")+($AP1254="Entrepreneurship")+($AP1254="Hospitality and Tourism"))&gt;0,"Commerce",IF((($AP1254="Social Sciences and Humanities")+($AP1254="Law Studies")+($AP1254="Education and Training")+($AP1254="Art, Design")+($AP1254="Entertainment and Mass Media")+($AP1254="Community and Social Service")+($AP1254="Personal Care and Services")+($AP1254="Government and Public Administration")+($AP1254="Defence/ Protective Service")+($AP1254="Sports"))&gt;0,"Arts / Humanities",""))))</f>
        <v/>
      </c>
      <c r="BC1254" s="5" t="str">
        <f aca="false">IF($AL1254="","",IF((($AL1254="Engineering and Technology")+($AL1254="Science and Mathematics")+($AL1254="Computer Science, IT and Allied Fields")+($AL1254="Life Sciences /Medicine and Healthcare")+($AL1254="Paramedical")+($AL1254="Architecture")+($AL1254="Environmental Service")+($AL1254="Agriculture, Food Industry and Forestry"))&gt;0,"Science",IF((($AL1254="Banking and Finance")+($AL1254="Management and Administration")+($AL1254="Marketing")+($AL1254="Sales")+($AL1254="Entrepreneurship")+($AL1254="Hospitality and Tourism"))&gt;0,"Commerce",IF((($AL1254="Social Sciences and Humanities")+($AL1254="Law Studies")+($AL1254="Education and Training")+($AL1254="Art, Design")+($AL1254="Entertainment and Mass Media")+($AL1254="Community and Social Service")+($AL1254="Personal Care and Services")+($AL1254="Government and Public Administration")+($AL1254="Defence/ Protective Service")+($AL1254="Sports"))&gt;0,"Arts / Humanities",""))))</f>
        <v/>
      </c>
      <c r="BD1254" s="5" t="str">
        <f aca="false">IF($B1254="","",--(F1254&gt;=10)+--(G1254&gt;=10)+--(H1254&gt;=10)+--(I1254&gt;=10)+--(J1254&gt;=10)+--(K1254&gt;=10)+--(L1254&gt;=10)+--(M1254&gt;=10)+--(N1254&gt;=10)+--(O1254&gt;=10))</f>
        <v/>
      </c>
      <c r="BE1254" s="5" t="str">
        <f aca="false">IF($B1254="","",--(AND(F1254&lt;&gt;"",F1254&lt;=8))+--(AND(G1254&lt;&gt;"",G1254&lt;=8))+--(AND(H1254&lt;&gt;"",H1254&lt;=8))+--(AND(I1254&lt;&gt;"",I1254&lt;=8))+--(AND(J1254&lt;&gt;"",J1254&lt;=8))+--(AND(K1254&lt;&gt;"",K1254&lt;=8))+--(AND(L1254&lt;&gt;"",L1254&lt;=8))+--(AND(M1254&lt;&gt;"",M1254&lt;=8))+--(AND(N1254&lt;&gt;"",N1254&lt;=8))+--(AND(O1254&lt;&gt;"",O1254&lt;=8)))</f>
        <v/>
      </c>
    </row>
    <row r="1255" customFormat="false" ht="15" hidden="false" customHeight="false" outlineLevel="0" collapsed="false">
      <c r="AZ1255" s="5" t="str">
        <f aca="false">IF($B1255="","",SUMPRODUCT(($AL1255:$AO1255&lt;&gt;"")*(COUNTIF($AP1255:$AX1255,$AL1255:$AO1255)&gt;0)))</f>
        <v/>
      </c>
      <c r="BA1255" s="5" t="str">
        <f aca="false">IF($B1255="","",IF(AZ1255&gt;0,1,0))</f>
        <v/>
      </c>
      <c r="BB1255" s="5" t="str">
        <f aca="false">IF($AP1255="","",IF((($AP1255="Engineering and Technology")+($AP1255="Science and Mathematics")+($AP1255="Computer Science, IT and Allied Fields")+($AP1255="Life Sciences /Medicine and Healthcare")+($AP1255="Paramedical")+($AP1255="Architecture")+($AP1255="Environmental Service")+($AP1255="Agriculture, Food Industry and Forestry"))&gt;0,"Science",IF((($AP1255="Banking and Finance")+($AP1255="Management and Administration")+($AP1255="Marketing")+($AP1255="Sales")+($AP1255="Entrepreneurship")+($AP1255="Hospitality and Tourism"))&gt;0,"Commerce",IF((($AP1255="Social Sciences and Humanities")+($AP1255="Law Studies")+($AP1255="Education and Training")+($AP1255="Art, Design")+($AP1255="Entertainment and Mass Media")+($AP1255="Community and Social Service")+($AP1255="Personal Care and Services")+($AP1255="Government and Public Administration")+($AP1255="Defence/ Protective Service")+($AP1255="Sports"))&gt;0,"Arts / Humanities",""))))</f>
        <v/>
      </c>
      <c r="BC1255" s="5" t="str">
        <f aca="false">IF($AL1255="","",IF((($AL1255="Engineering and Technology")+($AL1255="Science and Mathematics")+($AL1255="Computer Science, IT and Allied Fields")+($AL1255="Life Sciences /Medicine and Healthcare")+($AL1255="Paramedical")+($AL1255="Architecture")+($AL1255="Environmental Service")+($AL1255="Agriculture, Food Industry and Forestry"))&gt;0,"Science",IF((($AL1255="Banking and Finance")+($AL1255="Management and Administration")+($AL1255="Marketing")+($AL1255="Sales")+($AL1255="Entrepreneurship")+($AL1255="Hospitality and Tourism"))&gt;0,"Commerce",IF((($AL1255="Social Sciences and Humanities")+($AL1255="Law Studies")+($AL1255="Education and Training")+($AL1255="Art, Design")+($AL1255="Entertainment and Mass Media")+($AL1255="Community and Social Service")+($AL1255="Personal Care and Services")+($AL1255="Government and Public Administration")+($AL1255="Defence/ Protective Service")+($AL1255="Sports"))&gt;0,"Arts / Humanities",""))))</f>
        <v/>
      </c>
      <c r="BD1255" s="5" t="str">
        <f aca="false">IF($B1255="","",--(F1255&gt;=10)+--(G1255&gt;=10)+--(H1255&gt;=10)+--(I1255&gt;=10)+--(J1255&gt;=10)+--(K1255&gt;=10)+--(L1255&gt;=10)+--(M1255&gt;=10)+--(N1255&gt;=10)+--(O1255&gt;=10))</f>
        <v/>
      </c>
      <c r="BE1255" s="5" t="str">
        <f aca="false">IF($B1255="","",--(AND(F1255&lt;&gt;"",F1255&lt;=8))+--(AND(G1255&lt;&gt;"",G1255&lt;=8))+--(AND(H1255&lt;&gt;"",H1255&lt;=8))+--(AND(I1255&lt;&gt;"",I1255&lt;=8))+--(AND(J1255&lt;&gt;"",J1255&lt;=8))+--(AND(K1255&lt;&gt;"",K1255&lt;=8))+--(AND(L1255&lt;&gt;"",L1255&lt;=8))+--(AND(M1255&lt;&gt;"",M1255&lt;=8))+--(AND(N1255&lt;&gt;"",N1255&lt;=8))+--(AND(O1255&lt;&gt;"",O1255&lt;=8)))</f>
        <v/>
      </c>
    </row>
    <row r="1256" customFormat="false" ht="15" hidden="false" customHeight="false" outlineLevel="0" collapsed="false">
      <c r="AZ1256" s="5" t="str">
        <f aca="false">IF($B1256="","",SUMPRODUCT(($AL1256:$AO1256&lt;&gt;"")*(COUNTIF($AP1256:$AX1256,$AL1256:$AO1256)&gt;0)))</f>
        <v/>
      </c>
      <c r="BA1256" s="5" t="str">
        <f aca="false">IF($B1256="","",IF(AZ1256&gt;0,1,0))</f>
        <v/>
      </c>
      <c r="BB1256" s="5" t="str">
        <f aca="false">IF($AP1256="","",IF((($AP1256="Engineering and Technology")+($AP1256="Science and Mathematics")+($AP1256="Computer Science, IT and Allied Fields")+($AP1256="Life Sciences /Medicine and Healthcare")+($AP1256="Paramedical")+($AP1256="Architecture")+($AP1256="Environmental Service")+($AP1256="Agriculture, Food Industry and Forestry"))&gt;0,"Science",IF((($AP1256="Banking and Finance")+($AP1256="Management and Administration")+($AP1256="Marketing")+($AP1256="Sales")+($AP1256="Entrepreneurship")+($AP1256="Hospitality and Tourism"))&gt;0,"Commerce",IF((($AP1256="Social Sciences and Humanities")+($AP1256="Law Studies")+($AP1256="Education and Training")+($AP1256="Art, Design")+($AP1256="Entertainment and Mass Media")+($AP1256="Community and Social Service")+($AP1256="Personal Care and Services")+($AP1256="Government and Public Administration")+($AP1256="Defence/ Protective Service")+($AP1256="Sports"))&gt;0,"Arts / Humanities",""))))</f>
        <v/>
      </c>
      <c r="BC1256" s="5" t="str">
        <f aca="false">IF($AL1256="","",IF((($AL1256="Engineering and Technology")+($AL1256="Science and Mathematics")+($AL1256="Computer Science, IT and Allied Fields")+($AL1256="Life Sciences /Medicine and Healthcare")+($AL1256="Paramedical")+($AL1256="Architecture")+($AL1256="Environmental Service")+($AL1256="Agriculture, Food Industry and Forestry"))&gt;0,"Science",IF((($AL1256="Banking and Finance")+($AL1256="Management and Administration")+($AL1256="Marketing")+($AL1256="Sales")+($AL1256="Entrepreneurship")+($AL1256="Hospitality and Tourism"))&gt;0,"Commerce",IF((($AL1256="Social Sciences and Humanities")+($AL1256="Law Studies")+($AL1256="Education and Training")+($AL1256="Art, Design")+($AL1256="Entertainment and Mass Media")+($AL1256="Community and Social Service")+($AL1256="Personal Care and Services")+($AL1256="Government and Public Administration")+($AL1256="Defence/ Protective Service")+($AL1256="Sports"))&gt;0,"Arts / Humanities",""))))</f>
        <v/>
      </c>
      <c r="BD1256" s="5" t="str">
        <f aca="false">IF($B1256="","",--(F1256&gt;=10)+--(G1256&gt;=10)+--(H1256&gt;=10)+--(I1256&gt;=10)+--(J1256&gt;=10)+--(K1256&gt;=10)+--(L1256&gt;=10)+--(M1256&gt;=10)+--(N1256&gt;=10)+--(O1256&gt;=10))</f>
        <v/>
      </c>
      <c r="BE1256" s="5" t="str">
        <f aca="false">IF($B1256="","",--(AND(F1256&lt;&gt;"",F1256&lt;=8))+--(AND(G1256&lt;&gt;"",G1256&lt;=8))+--(AND(H1256&lt;&gt;"",H1256&lt;=8))+--(AND(I1256&lt;&gt;"",I1256&lt;=8))+--(AND(J1256&lt;&gt;"",J1256&lt;=8))+--(AND(K1256&lt;&gt;"",K1256&lt;=8))+--(AND(L1256&lt;&gt;"",L1256&lt;=8))+--(AND(M1256&lt;&gt;"",M1256&lt;=8))+--(AND(N1256&lt;&gt;"",N1256&lt;=8))+--(AND(O1256&lt;&gt;"",O1256&lt;=8)))</f>
        <v/>
      </c>
    </row>
    <row r="1257" customFormat="false" ht="15" hidden="false" customHeight="false" outlineLevel="0" collapsed="false">
      <c r="AZ1257" s="5" t="str">
        <f aca="false">IF($B1257="","",SUMPRODUCT(($AL1257:$AO1257&lt;&gt;"")*(COUNTIF($AP1257:$AX1257,$AL1257:$AO1257)&gt;0)))</f>
        <v/>
      </c>
      <c r="BA1257" s="5" t="str">
        <f aca="false">IF($B1257="","",IF(AZ1257&gt;0,1,0))</f>
        <v/>
      </c>
      <c r="BB1257" s="5" t="str">
        <f aca="false">IF($AP1257="","",IF((($AP1257="Engineering and Technology")+($AP1257="Science and Mathematics")+($AP1257="Computer Science, IT and Allied Fields")+($AP1257="Life Sciences /Medicine and Healthcare")+($AP1257="Paramedical")+($AP1257="Architecture")+($AP1257="Environmental Service")+($AP1257="Agriculture, Food Industry and Forestry"))&gt;0,"Science",IF((($AP1257="Banking and Finance")+($AP1257="Management and Administration")+($AP1257="Marketing")+($AP1257="Sales")+($AP1257="Entrepreneurship")+($AP1257="Hospitality and Tourism"))&gt;0,"Commerce",IF((($AP1257="Social Sciences and Humanities")+($AP1257="Law Studies")+($AP1257="Education and Training")+($AP1257="Art, Design")+($AP1257="Entertainment and Mass Media")+($AP1257="Community and Social Service")+($AP1257="Personal Care and Services")+($AP1257="Government and Public Administration")+($AP1257="Defence/ Protective Service")+($AP1257="Sports"))&gt;0,"Arts / Humanities",""))))</f>
        <v/>
      </c>
      <c r="BC1257" s="5" t="str">
        <f aca="false">IF($AL1257="","",IF((($AL1257="Engineering and Technology")+($AL1257="Science and Mathematics")+($AL1257="Computer Science, IT and Allied Fields")+($AL1257="Life Sciences /Medicine and Healthcare")+($AL1257="Paramedical")+($AL1257="Architecture")+($AL1257="Environmental Service")+($AL1257="Agriculture, Food Industry and Forestry"))&gt;0,"Science",IF((($AL1257="Banking and Finance")+($AL1257="Management and Administration")+($AL1257="Marketing")+($AL1257="Sales")+($AL1257="Entrepreneurship")+($AL1257="Hospitality and Tourism"))&gt;0,"Commerce",IF((($AL1257="Social Sciences and Humanities")+($AL1257="Law Studies")+($AL1257="Education and Training")+($AL1257="Art, Design")+($AL1257="Entertainment and Mass Media")+($AL1257="Community and Social Service")+($AL1257="Personal Care and Services")+($AL1257="Government and Public Administration")+($AL1257="Defence/ Protective Service")+($AL1257="Sports"))&gt;0,"Arts / Humanities",""))))</f>
        <v/>
      </c>
      <c r="BD1257" s="5" t="str">
        <f aca="false">IF($B1257="","",--(F1257&gt;=10)+--(G1257&gt;=10)+--(H1257&gt;=10)+--(I1257&gt;=10)+--(J1257&gt;=10)+--(K1257&gt;=10)+--(L1257&gt;=10)+--(M1257&gt;=10)+--(N1257&gt;=10)+--(O1257&gt;=10))</f>
        <v/>
      </c>
      <c r="BE1257" s="5" t="str">
        <f aca="false">IF($B1257="","",--(AND(F1257&lt;&gt;"",F1257&lt;=8))+--(AND(G1257&lt;&gt;"",G1257&lt;=8))+--(AND(H1257&lt;&gt;"",H1257&lt;=8))+--(AND(I1257&lt;&gt;"",I1257&lt;=8))+--(AND(J1257&lt;&gt;"",J1257&lt;=8))+--(AND(K1257&lt;&gt;"",K1257&lt;=8))+--(AND(L1257&lt;&gt;"",L1257&lt;=8))+--(AND(M1257&lt;&gt;"",M1257&lt;=8))+--(AND(N1257&lt;&gt;"",N1257&lt;=8))+--(AND(O1257&lt;&gt;"",O1257&lt;=8)))</f>
        <v/>
      </c>
    </row>
    <row r="1258" customFormat="false" ht="15" hidden="false" customHeight="false" outlineLevel="0" collapsed="false">
      <c r="AZ1258" s="5" t="str">
        <f aca="false">IF($B1258="","",SUMPRODUCT(($AL1258:$AO1258&lt;&gt;"")*(COUNTIF($AP1258:$AX1258,$AL1258:$AO1258)&gt;0)))</f>
        <v/>
      </c>
      <c r="BA1258" s="5" t="str">
        <f aca="false">IF($B1258="","",IF(AZ1258&gt;0,1,0))</f>
        <v/>
      </c>
      <c r="BB1258" s="5" t="str">
        <f aca="false">IF($AP1258="","",IF((($AP1258="Engineering and Technology")+($AP1258="Science and Mathematics")+($AP1258="Computer Science, IT and Allied Fields")+($AP1258="Life Sciences /Medicine and Healthcare")+($AP1258="Paramedical")+($AP1258="Architecture")+($AP1258="Environmental Service")+($AP1258="Agriculture, Food Industry and Forestry"))&gt;0,"Science",IF((($AP1258="Banking and Finance")+($AP1258="Management and Administration")+($AP1258="Marketing")+($AP1258="Sales")+($AP1258="Entrepreneurship")+($AP1258="Hospitality and Tourism"))&gt;0,"Commerce",IF((($AP1258="Social Sciences and Humanities")+($AP1258="Law Studies")+($AP1258="Education and Training")+($AP1258="Art, Design")+($AP1258="Entertainment and Mass Media")+($AP1258="Community and Social Service")+($AP1258="Personal Care and Services")+($AP1258="Government and Public Administration")+($AP1258="Defence/ Protective Service")+($AP1258="Sports"))&gt;0,"Arts / Humanities",""))))</f>
        <v/>
      </c>
      <c r="BC1258" s="5" t="str">
        <f aca="false">IF($AL1258="","",IF((($AL1258="Engineering and Technology")+($AL1258="Science and Mathematics")+($AL1258="Computer Science, IT and Allied Fields")+($AL1258="Life Sciences /Medicine and Healthcare")+($AL1258="Paramedical")+($AL1258="Architecture")+($AL1258="Environmental Service")+($AL1258="Agriculture, Food Industry and Forestry"))&gt;0,"Science",IF((($AL1258="Banking and Finance")+($AL1258="Management and Administration")+($AL1258="Marketing")+($AL1258="Sales")+($AL1258="Entrepreneurship")+($AL1258="Hospitality and Tourism"))&gt;0,"Commerce",IF((($AL1258="Social Sciences and Humanities")+($AL1258="Law Studies")+($AL1258="Education and Training")+($AL1258="Art, Design")+($AL1258="Entertainment and Mass Media")+($AL1258="Community and Social Service")+($AL1258="Personal Care and Services")+($AL1258="Government and Public Administration")+($AL1258="Defence/ Protective Service")+($AL1258="Sports"))&gt;0,"Arts / Humanities",""))))</f>
        <v/>
      </c>
      <c r="BD1258" s="5" t="str">
        <f aca="false">IF($B1258="","",--(F1258&gt;=10)+--(G1258&gt;=10)+--(H1258&gt;=10)+--(I1258&gt;=10)+--(J1258&gt;=10)+--(K1258&gt;=10)+--(L1258&gt;=10)+--(M1258&gt;=10)+--(N1258&gt;=10)+--(O1258&gt;=10))</f>
        <v/>
      </c>
      <c r="BE1258" s="5" t="str">
        <f aca="false">IF($B1258="","",--(AND(F1258&lt;&gt;"",F1258&lt;=8))+--(AND(G1258&lt;&gt;"",G1258&lt;=8))+--(AND(H1258&lt;&gt;"",H1258&lt;=8))+--(AND(I1258&lt;&gt;"",I1258&lt;=8))+--(AND(J1258&lt;&gt;"",J1258&lt;=8))+--(AND(K1258&lt;&gt;"",K1258&lt;=8))+--(AND(L1258&lt;&gt;"",L1258&lt;=8))+--(AND(M1258&lt;&gt;"",M1258&lt;=8))+--(AND(N1258&lt;&gt;"",N1258&lt;=8))+--(AND(O1258&lt;&gt;"",O1258&lt;=8)))</f>
        <v/>
      </c>
    </row>
    <row r="1259" customFormat="false" ht="15" hidden="false" customHeight="false" outlineLevel="0" collapsed="false">
      <c r="AZ1259" s="5" t="str">
        <f aca="false">IF($B1259="","",SUMPRODUCT(($AL1259:$AO1259&lt;&gt;"")*(COUNTIF($AP1259:$AX1259,$AL1259:$AO1259)&gt;0)))</f>
        <v/>
      </c>
      <c r="BA1259" s="5" t="str">
        <f aca="false">IF($B1259="","",IF(AZ1259&gt;0,1,0))</f>
        <v/>
      </c>
      <c r="BB1259" s="5" t="str">
        <f aca="false">IF($AP1259="","",IF((($AP1259="Engineering and Technology")+($AP1259="Science and Mathematics")+($AP1259="Computer Science, IT and Allied Fields")+($AP1259="Life Sciences /Medicine and Healthcare")+($AP1259="Paramedical")+($AP1259="Architecture")+($AP1259="Environmental Service")+($AP1259="Agriculture, Food Industry and Forestry"))&gt;0,"Science",IF((($AP1259="Banking and Finance")+($AP1259="Management and Administration")+($AP1259="Marketing")+($AP1259="Sales")+($AP1259="Entrepreneurship")+($AP1259="Hospitality and Tourism"))&gt;0,"Commerce",IF((($AP1259="Social Sciences and Humanities")+($AP1259="Law Studies")+($AP1259="Education and Training")+($AP1259="Art, Design")+($AP1259="Entertainment and Mass Media")+($AP1259="Community and Social Service")+($AP1259="Personal Care and Services")+($AP1259="Government and Public Administration")+($AP1259="Defence/ Protective Service")+($AP1259="Sports"))&gt;0,"Arts / Humanities",""))))</f>
        <v/>
      </c>
      <c r="BC1259" s="5" t="str">
        <f aca="false">IF($AL1259="","",IF((($AL1259="Engineering and Technology")+($AL1259="Science and Mathematics")+($AL1259="Computer Science, IT and Allied Fields")+($AL1259="Life Sciences /Medicine and Healthcare")+($AL1259="Paramedical")+($AL1259="Architecture")+($AL1259="Environmental Service")+($AL1259="Agriculture, Food Industry and Forestry"))&gt;0,"Science",IF((($AL1259="Banking and Finance")+($AL1259="Management and Administration")+($AL1259="Marketing")+($AL1259="Sales")+($AL1259="Entrepreneurship")+($AL1259="Hospitality and Tourism"))&gt;0,"Commerce",IF((($AL1259="Social Sciences and Humanities")+($AL1259="Law Studies")+($AL1259="Education and Training")+($AL1259="Art, Design")+($AL1259="Entertainment and Mass Media")+($AL1259="Community and Social Service")+($AL1259="Personal Care and Services")+($AL1259="Government and Public Administration")+($AL1259="Defence/ Protective Service")+($AL1259="Sports"))&gt;0,"Arts / Humanities",""))))</f>
        <v/>
      </c>
      <c r="BD1259" s="5" t="str">
        <f aca="false">IF($B1259="","",--(F1259&gt;=10)+--(G1259&gt;=10)+--(H1259&gt;=10)+--(I1259&gt;=10)+--(J1259&gt;=10)+--(K1259&gt;=10)+--(L1259&gt;=10)+--(M1259&gt;=10)+--(N1259&gt;=10)+--(O1259&gt;=10))</f>
        <v/>
      </c>
      <c r="BE1259" s="5" t="str">
        <f aca="false">IF($B1259="","",--(AND(F1259&lt;&gt;"",F1259&lt;=8))+--(AND(G1259&lt;&gt;"",G1259&lt;=8))+--(AND(H1259&lt;&gt;"",H1259&lt;=8))+--(AND(I1259&lt;&gt;"",I1259&lt;=8))+--(AND(J1259&lt;&gt;"",J1259&lt;=8))+--(AND(K1259&lt;&gt;"",K1259&lt;=8))+--(AND(L1259&lt;&gt;"",L1259&lt;=8))+--(AND(M1259&lt;&gt;"",M1259&lt;=8))+--(AND(N1259&lt;&gt;"",N1259&lt;=8))+--(AND(O1259&lt;&gt;"",O1259&lt;=8)))</f>
        <v/>
      </c>
    </row>
    <row r="1260" customFormat="false" ht="15" hidden="false" customHeight="false" outlineLevel="0" collapsed="false">
      <c r="AZ1260" s="5" t="str">
        <f aca="false">IF($B1260="","",SUMPRODUCT(($AL1260:$AO1260&lt;&gt;"")*(COUNTIF($AP1260:$AX1260,$AL1260:$AO1260)&gt;0)))</f>
        <v/>
      </c>
      <c r="BA1260" s="5" t="str">
        <f aca="false">IF($B1260="","",IF(AZ1260&gt;0,1,0))</f>
        <v/>
      </c>
      <c r="BB1260" s="5" t="str">
        <f aca="false">IF($AP1260="","",IF((($AP1260="Engineering and Technology")+($AP1260="Science and Mathematics")+($AP1260="Computer Science, IT and Allied Fields")+($AP1260="Life Sciences /Medicine and Healthcare")+($AP1260="Paramedical")+($AP1260="Architecture")+($AP1260="Environmental Service")+($AP1260="Agriculture, Food Industry and Forestry"))&gt;0,"Science",IF((($AP1260="Banking and Finance")+($AP1260="Management and Administration")+($AP1260="Marketing")+($AP1260="Sales")+($AP1260="Entrepreneurship")+($AP1260="Hospitality and Tourism"))&gt;0,"Commerce",IF((($AP1260="Social Sciences and Humanities")+($AP1260="Law Studies")+($AP1260="Education and Training")+($AP1260="Art, Design")+($AP1260="Entertainment and Mass Media")+($AP1260="Community and Social Service")+($AP1260="Personal Care and Services")+($AP1260="Government and Public Administration")+($AP1260="Defence/ Protective Service")+($AP1260="Sports"))&gt;0,"Arts / Humanities",""))))</f>
        <v/>
      </c>
      <c r="BC1260" s="5" t="str">
        <f aca="false">IF($AL1260="","",IF((($AL1260="Engineering and Technology")+($AL1260="Science and Mathematics")+($AL1260="Computer Science, IT and Allied Fields")+($AL1260="Life Sciences /Medicine and Healthcare")+($AL1260="Paramedical")+($AL1260="Architecture")+($AL1260="Environmental Service")+($AL1260="Agriculture, Food Industry and Forestry"))&gt;0,"Science",IF((($AL1260="Banking and Finance")+($AL1260="Management and Administration")+($AL1260="Marketing")+($AL1260="Sales")+($AL1260="Entrepreneurship")+($AL1260="Hospitality and Tourism"))&gt;0,"Commerce",IF((($AL1260="Social Sciences and Humanities")+($AL1260="Law Studies")+($AL1260="Education and Training")+($AL1260="Art, Design")+($AL1260="Entertainment and Mass Media")+($AL1260="Community and Social Service")+($AL1260="Personal Care and Services")+($AL1260="Government and Public Administration")+($AL1260="Defence/ Protective Service")+($AL1260="Sports"))&gt;0,"Arts / Humanities",""))))</f>
        <v/>
      </c>
      <c r="BD1260" s="5" t="str">
        <f aca="false">IF($B1260="","",--(F1260&gt;=10)+--(G1260&gt;=10)+--(H1260&gt;=10)+--(I1260&gt;=10)+--(J1260&gt;=10)+--(K1260&gt;=10)+--(L1260&gt;=10)+--(M1260&gt;=10)+--(N1260&gt;=10)+--(O1260&gt;=10))</f>
        <v/>
      </c>
      <c r="BE1260" s="5" t="str">
        <f aca="false">IF($B1260="","",--(AND(F1260&lt;&gt;"",F1260&lt;=8))+--(AND(G1260&lt;&gt;"",G1260&lt;=8))+--(AND(H1260&lt;&gt;"",H1260&lt;=8))+--(AND(I1260&lt;&gt;"",I1260&lt;=8))+--(AND(J1260&lt;&gt;"",J1260&lt;=8))+--(AND(K1260&lt;&gt;"",K1260&lt;=8))+--(AND(L1260&lt;&gt;"",L1260&lt;=8))+--(AND(M1260&lt;&gt;"",M1260&lt;=8))+--(AND(N1260&lt;&gt;"",N1260&lt;=8))+--(AND(O1260&lt;&gt;"",O1260&lt;=8)))</f>
        <v/>
      </c>
    </row>
    <row r="1261" customFormat="false" ht="15" hidden="false" customHeight="false" outlineLevel="0" collapsed="false">
      <c r="AZ1261" s="5" t="str">
        <f aca="false">IF($B1261="","",SUMPRODUCT(($AL1261:$AO1261&lt;&gt;"")*(COUNTIF($AP1261:$AX1261,$AL1261:$AO1261)&gt;0)))</f>
        <v/>
      </c>
      <c r="BA1261" s="5" t="str">
        <f aca="false">IF($B1261="","",IF(AZ1261&gt;0,1,0))</f>
        <v/>
      </c>
      <c r="BB1261" s="5" t="str">
        <f aca="false">IF($AP1261="","",IF((($AP1261="Engineering and Technology")+($AP1261="Science and Mathematics")+($AP1261="Computer Science, IT and Allied Fields")+($AP1261="Life Sciences /Medicine and Healthcare")+($AP1261="Paramedical")+($AP1261="Architecture")+($AP1261="Environmental Service")+($AP1261="Agriculture, Food Industry and Forestry"))&gt;0,"Science",IF((($AP1261="Banking and Finance")+($AP1261="Management and Administration")+($AP1261="Marketing")+($AP1261="Sales")+($AP1261="Entrepreneurship")+($AP1261="Hospitality and Tourism"))&gt;0,"Commerce",IF((($AP1261="Social Sciences and Humanities")+($AP1261="Law Studies")+($AP1261="Education and Training")+($AP1261="Art, Design")+($AP1261="Entertainment and Mass Media")+($AP1261="Community and Social Service")+($AP1261="Personal Care and Services")+($AP1261="Government and Public Administration")+($AP1261="Defence/ Protective Service")+($AP1261="Sports"))&gt;0,"Arts / Humanities",""))))</f>
        <v/>
      </c>
      <c r="BC1261" s="5" t="str">
        <f aca="false">IF($AL1261="","",IF((($AL1261="Engineering and Technology")+($AL1261="Science and Mathematics")+($AL1261="Computer Science, IT and Allied Fields")+($AL1261="Life Sciences /Medicine and Healthcare")+($AL1261="Paramedical")+($AL1261="Architecture")+($AL1261="Environmental Service")+($AL1261="Agriculture, Food Industry and Forestry"))&gt;0,"Science",IF((($AL1261="Banking and Finance")+($AL1261="Management and Administration")+($AL1261="Marketing")+($AL1261="Sales")+($AL1261="Entrepreneurship")+($AL1261="Hospitality and Tourism"))&gt;0,"Commerce",IF((($AL1261="Social Sciences and Humanities")+($AL1261="Law Studies")+($AL1261="Education and Training")+($AL1261="Art, Design")+($AL1261="Entertainment and Mass Media")+($AL1261="Community and Social Service")+($AL1261="Personal Care and Services")+($AL1261="Government and Public Administration")+($AL1261="Defence/ Protective Service")+($AL1261="Sports"))&gt;0,"Arts / Humanities",""))))</f>
        <v/>
      </c>
      <c r="BD1261" s="5" t="str">
        <f aca="false">IF($B1261="","",--(F1261&gt;=10)+--(G1261&gt;=10)+--(H1261&gt;=10)+--(I1261&gt;=10)+--(J1261&gt;=10)+--(K1261&gt;=10)+--(L1261&gt;=10)+--(M1261&gt;=10)+--(N1261&gt;=10)+--(O1261&gt;=10))</f>
        <v/>
      </c>
      <c r="BE1261" s="5" t="str">
        <f aca="false">IF($B1261="","",--(AND(F1261&lt;&gt;"",F1261&lt;=8))+--(AND(G1261&lt;&gt;"",G1261&lt;=8))+--(AND(H1261&lt;&gt;"",H1261&lt;=8))+--(AND(I1261&lt;&gt;"",I1261&lt;=8))+--(AND(J1261&lt;&gt;"",J1261&lt;=8))+--(AND(K1261&lt;&gt;"",K1261&lt;=8))+--(AND(L1261&lt;&gt;"",L1261&lt;=8))+--(AND(M1261&lt;&gt;"",M1261&lt;=8))+--(AND(N1261&lt;&gt;"",N1261&lt;=8))+--(AND(O1261&lt;&gt;"",O1261&lt;=8)))</f>
        <v/>
      </c>
    </row>
    <row r="1262" customFormat="false" ht="15" hidden="false" customHeight="false" outlineLevel="0" collapsed="false">
      <c r="AZ1262" s="5" t="str">
        <f aca="false">IF($B1262="","",SUMPRODUCT(($AL1262:$AO1262&lt;&gt;"")*(COUNTIF($AP1262:$AX1262,$AL1262:$AO1262)&gt;0)))</f>
        <v/>
      </c>
      <c r="BA1262" s="5" t="str">
        <f aca="false">IF($B1262="","",IF(AZ1262&gt;0,1,0))</f>
        <v/>
      </c>
      <c r="BB1262" s="5" t="str">
        <f aca="false">IF($AP1262="","",IF((($AP1262="Engineering and Technology")+($AP1262="Science and Mathematics")+($AP1262="Computer Science, IT and Allied Fields")+($AP1262="Life Sciences /Medicine and Healthcare")+($AP1262="Paramedical")+($AP1262="Architecture")+($AP1262="Environmental Service")+($AP1262="Agriculture, Food Industry and Forestry"))&gt;0,"Science",IF((($AP1262="Banking and Finance")+($AP1262="Management and Administration")+($AP1262="Marketing")+($AP1262="Sales")+($AP1262="Entrepreneurship")+($AP1262="Hospitality and Tourism"))&gt;0,"Commerce",IF((($AP1262="Social Sciences and Humanities")+($AP1262="Law Studies")+($AP1262="Education and Training")+($AP1262="Art, Design")+($AP1262="Entertainment and Mass Media")+($AP1262="Community and Social Service")+($AP1262="Personal Care and Services")+($AP1262="Government and Public Administration")+($AP1262="Defence/ Protective Service")+($AP1262="Sports"))&gt;0,"Arts / Humanities",""))))</f>
        <v/>
      </c>
      <c r="BC1262" s="5" t="str">
        <f aca="false">IF($AL1262="","",IF((($AL1262="Engineering and Technology")+($AL1262="Science and Mathematics")+($AL1262="Computer Science, IT and Allied Fields")+($AL1262="Life Sciences /Medicine and Healthcare")+($AL1262="Paramedical")+($AL1262="Architecture")+($AL1262="Environmental Service")+($AL1262="Agriculture, Food Industry and Forestry"))&gt;0,"Science",IF((($AL1262="Banking and Finance")+($AL1262="Management and Administration")+($AL1262="Marketing")+($AL1262="Sales")+($AL1262="Entrepreneurship")+($AL1262="Hospitality and Tourism"))&gt;0,"Commerce",IF((($AL1262="Social Sciences and Humanities")+($AL1262="Law Studies")+($AL1262="Education and Training")+($AL1262="Art, Design")+($AL1262="Entertainment and Mass Media")+($AL1262="Community and Social Service")+($AL1262="Personal Care and Services")+($AL1262="Government and Public Administration")+($AL1262="Defence/ Protective Service")+($AL1262="Sports"))&gt;0,"Arts / Humanities",""))))</f>
        <v/>
      </c>
      <c r="BD1262" s="5" t="str">
        <f aca="false">IF($B1262="","",--(F1262&gt;=10)+--(G1262&gt;=10)+--(H1262&gt;=10)+--(I1262&gt;=10)+--(J1262&gt;=10)+--(K1262&gt;=10)+--(L1262&gt;=10)+--(M1262&gt;=10)+--(N1262&gt;=10)+--(O1262&gt;=10))</f>
        <v/>
      </c>
      <c r="BE1262" s="5" t="str">
        <f aca="false">IF($B1262="","",--(AND(F1262&lt;&gt;"",F1262&lt;=8))+--(AND(G1262&lt;&gt;"",G1262&lt;=8))+--(AND(H1262&lt;&gt;"",H1262&lt;=8))+--(AND(I1262&lt;&gt;"",I1262&lt;=8))+--(AND(J1262&lt;&gt;"",J1262&lt;=8))+--(AND(K1262&lt;&gt;"",K1262&lt;=8))+--(AND(L1262&lt;&gt;"",L1262&lt;=8))+--(AND(M1262&lt;&gt;"",M1262&lt;=8))+--(AND(N1262&lt;&gt;"",N1262&lt;=8))+--(AND(O1262&lt;&gt;"",O1262&lt;=8)))</f>
        <v/>
      </c>
    </row>
    <row r="1263" customFormat="false" ht="15" hidden="false" customHeight="false" outlineLevel="0" collapsed="false">
      <c r="AZ1263" s="5" t="str">
        <f aca="false">IF($B1263="","",SUMPRODUCT(($AL1263:$AO1263&lt;&gt;"")*(COUNTIF($AP1263:$AX1263,$AL1263:$AO1263)&gt;0)))</f>
        <v/>
      </c>
      <c r="BA1263" s="5" t="str">
        <f aca="false">IF($B1263="","",IF(AZ1263&gt;0,1,0))</f>
        <v/>
      </c>
      <c r="BB1263" s="5" t="str">
        <f aca="false">IF($AP1263="","",IF((($AP1263="Engineering and Technology")+($AP1263="Science and Mathematics")+($AP1263="Computer Science, IT and Allied Fields")+($AP1263="Life Sciences /Medicine and Healthcare")+($AP1263="Paramedical")+($AP1263="Architecture")+($AP1263="Environmental Service")+($AP1263="Agriculture, Food Industry and Forestry"))&gt;0,"Science",IF((($AP1263="Banking and Finance")+($AP1263="Management and Administration")+($AP1263="Marketing")+($AP1263="Sales")+($AP1263="Entrepreneurship")+($AP1263="Hospitality and Tourism"))&gt;0,"Commerce",IF((($AP1263="Social Sciences and Humanities")+($AP1263="Law Studies")+($AP1263="Education and Training")+($AP1263="Art, Design")+($AP1263="Entertainment and Mass Media")+($AP1263="Community and Social Service")+($AP1263="Personal Care and Services")+($AP1263="Government and Public Administration")+($AP1263="Defence/ Protective Service")+($AP1263="Sports"))&gt;0,"Arts / Humanities",""))))</f>
        <v/>
      </c>
      <c r="BC1263" s="5" t="str">
        <f aca="false">IF($AL1263="","",IF((($AL1263="Engineering and Technology")+($AL1263="Science and Mathematics")+($AL1263="Computer Science, IT and Allied Fields")+($AL1263="Life Sciences /Medicine and Healthcare")+($AL1263="Paramedical")+($AL1263="Architecture")+($AL1263="Environmental Service")+($AL1263="Agriculture, Food Industry and Forestry"))&gt;0,"Science",IF((($AL1263="Banking and Finance")+($AL1263="Management and Administration")+($AL1263="Marketing")+($AL1263="Sales")+($AL1263="Entrepreneurship")+($AL1263="Hospitality and Tourism"))&gt;0,"Commerce",IF((($AL1263="Social Sciences and Humanities")+($AL1263="Law Studies")+($AL1263="Education and Training")+($AL1263="Art, Design")+($AL1263="Entertainment and Mass Media")+($AL1263="Community and Social Service")+($AL1263="Personal Care and Services")+($AL1263="Government and Public Administration")+($AL1263="Defence/ Protective Service")+($AL1263="Sports"))&gt;0,"Arts / Humanities",""))))</f>
        <v/>
      </c>
      <c r="BD1263" s="5" t="str">
        <f aca="false">IF($B1263="","",--(F1263&gt;=10)+--(G1263&gt;=10)+--(H1263&gt;=10)+--(I1263&gt;=10)+--(J1263&gt;=10)+--(K1263&gt;=10)+--(L1263&gt;=10)+--(M1263&gt;=10)+--(N1263&gt;=10)+--(O1263&gt;=10))</f>
        <v/>
      </c>
      <c r="BE1263" s="5" t="str">
        <f aca="false">IF($B1263="","",--(AND(F1263&lt;&gt;"",F1263&lt;=8))+--(AND(G1263&lt;&gt;"",G1263&lt;=8))+--(AND(H1263&lt;&gt;"",H1263&lt;=8))+--(AND(I1263&lt;&gt;"",I1263&lt;=8))+--(AND(J1263&lt;&gt;"",J1263&lt;=8))+--(AND(K1263&lt;&gt;"",K1263&lt;=8))+--(AND(L1263&lt;&gt;"",L1263&lt;=8))+--(AND(M1263&lt;&gt;"",M1263&lt;=8))+--(AND(N1263&lt;&gt;"",N1263&lt;=8))+--(AND(O1263&lt;&gt;"",O1263&lt;=8)))</f>
        <v/>
      </c>
    </row>
    <row r="1264" customFormat="false" ht="15" hidden="false" customHeight="false" outlineLevel="0" collapsed="false">
      <c r="AZ1264" s="5" t="str">
        <f aca="false">IF($B1264="","",SUMPRODUCT(($AL1264:$AO1264&lt;&gt;"")*(COUNTIF($AP1264:$AX1264,$AL1264:$AO1264)&gt;0)))</f>
        <v/>
      </c>
      <c r="BA1264" s="5" t="str">
        <f aca="false">IF($B1264="","",IF(AZ1264&gt;0,1,0))</f>
        <v/>
      </c>
      <c r="BB1264" s="5" t="str">
        <f aca="false">IF($AP1264="","",IF((($AP1264="Engineering and Technology")+($AP1264="Science and Mathematics")+($AP1264="Computer Science, IT and Allied Fields")+($AP1264="Life Sciences /Medicine and Healthcare")+($AP1264="Paramedical")+($AP1264="Architecture")+($AP1264="Environmental Service")+($AP1264="Agriculture, Food Industry and Forestry"))&gt;0,"Science",IF((($AP1264="Banking and Finance")+($AP1264="Management and Administration")+($AP1264="Marketing")+($AP1264="Sales")+($AP1264="Entrepreneurship")+($AP1264="Hospitality and Tourism"))&gt;0,"Commerce",IF((($AP1264="Social Sciences and Humanities")+($AP1264="Law Studies")+($AP1264="Education and Training")+($AP1264="Art, Design")+($AP1264="Entertainment and Mass Media")+($AP1264="Community and Social Service")+($AP1264="Personal Care and Services")+($AP1264="Government and Public Administration")+($AP1264="Defence/ Protective Service")+($AP1264="Sports"))&gt;0,"Arts / Humanities",""))))</f>
        <v/>
      </c>
      <c r="BC1264" s="5" t="str">
        <f aca="false">IF($AL1264="","",IF((($AL1264="Engineering and Technology")+($AL1264="Science and Mathematics")+($AL1264="Computer Science, IT and Allied Fields")+($AL1264="Life Sciences /Medicine and Healthcare")+($AL1264="Paramedical")+($AL1264="Architecture")+($AL1264="Environmental Service")+($AL1264="Agriculture, Food Industry and Forestry"))&gt;0,"Science",IF((($AL1264="Banking and Finance")+($AL1264="Management and Administration")+($AL1264="Marketing")+($AL1264="Sales")+($AL1264="Entrepreneurship")+($AL1264="Hospitality and Tourism"))&gt;0,"Commerce",IF((($AL1264="Social Sciences and Humanities")+($AL1264="Law Studies")+($AL1264="Education and Training")+($AL1264="Art, Design")+($AL1264="Entertainment and Mass Media")+($AL1264="Community and Social Service")+($AL1264="Personal Care and Services")+($AL1264="Government and Public Administration")+($AL1264="Defence/ Protective Service")+($AL1264="Sports"))&gt;0,"Arts / Humanities",""))))</f>
        <v/>
      </c>
      <c r="BD1264" s="5" t="str">
        <f aca="false">IF($B1264="","",--(F1264&gt;=10)+--(G1264&gt;=10)+--(H1264&gt;=10)+--(I1264&gt;=10)+--(J1264&gt;=10)+--(K1264&gt;=10)+--(L1264&gt;=10)+--(M1264&gt;=10)+--(N1264&gt;=10)+--(O1264&gt;=10))</f>
        <v/>
      </c>
      <c r="BE1264" s="5" t="str">
        <f aca="false">IF($B1264="","",--(AND(F1264&lt;&gt;"",F1264&lt;=8))+--(AND(G1264&lt;&gt;"",G1264&lt;=8))+--(AND(H1264&lt;&gt;"",H1264&lt;=8))+--(AND(I1264&lt;&gt;"",I1264&lt;=8))+--(AND(J1264&lt;&gt;"",J1264&lt;=8))+--(AND(K1264&lt;&gt;"",K1264&lt;=8))+--(AND(L1264&lt;&gt;"",L1264&lt;=8))+--(AND(M1264&lt;&gt;"",M1264&lt;=8))+--(AND(N1264&lt;&gt;"",N1264&lt;=8))+--(AND(O1264&lt;&gt;"",O1264&lt;=8)))</f>
        <v/>
      </c>
    </row>
    <row r="1265" customFormat="false" ht="15" hidden="false" customHeight="false" outlineLevel="0" collapsed="false">
      <c r="AZ1265" s="5" t="str">
        <f aca="false">IF($B1265="","",SUMPRODUCT(($AL1265:$AO1265&lt;&gt;"")*(COUNTIF($AP1265:$AX1265,$AL1265:$AO1265)&gt;0)))</f>
        <v/>
      </c>
      <c r="BA1265" s="5" t="str">
        <f aca="false">IF($B1265="","",IF(AZ1265&gt;0,1,0))</f>
        <v/>
      </c>
      <c r="BB1265" s="5" t="str">
        <f aca="false">IF($AP1265="","",IF((($AP1265="Engineering and Technology")+($AP1265="Science and Mathematics")+($AP1265="Computer Science, IT and Allied Fields")+($AP1265="Life Sciences /Medicine and Healthcare")+($AP1265="Paramedical")+($AP1265="Architecture")+($AP1265="Environmental Service")+($AP1265="Agriculture, Food Industry and Forestry"))&gt;0,"Science",IF((($AP1265="Banking and Finance")+($AP1265="Management and Administration")+($AP1265="Marketing")+($AP1265="Sales")+($AP1265="Entrepreneurship")+($AP1265="Hospitality and Tourism"))&gt;0,"Commerce",IF((($AP1265="Social Sciences and Humanities")+($AP1265="Law Studies")+($AP1265="Education and Training")+($AP1265="Art, Design")+($AP1265="Entertainment and Mass Media")+($AP1265="Community and Social Service")+($AP1265="Personal Care and Services")+($AP1265="Government and Public Administration")+($AP1265="Defence/ Protective Service")+($AP1265="Sports"))&gt;0,"Arts / Humanities",""))))</f>
        <v/>
      </c>
      <c r="BC1265" s="5" t="str">
        <f aca="false">IF($AL1265="","",IF((($AL1265="Engineering and Technology")+($AL1265="Science and Mathematics")+($AL1265="Computer Science, IT and Allied Fields")+($AL1265="Life Sciences /Medicine and Healthcare")+($AL1265="Paramedical")+($AL1265="Architecture")+($AL1265="Environmental Service")+($AL1265="Agriculture, Food Industry and Forestry"))&gt;0,"Science",IF((($AL1265="Banking and Finance")+($AL1265="Management and Administration")+($AL1265="Marketing")+($AL1265="Sales")+($AL1265="Entrepreneurship")+($AL1265="Hospitality and Tourism"))&gt;0,"Commerce",IF((($AL1265="Social Sciences and Humanities")+($AL1265="Law Studies")+($AL1265="Education and Training")+($AL1265="Art, Design")+($AL1265="Entertainment and Mass Media")+($AL1265="Community and Social Service")+($AL1265="Personal Care and Services")+($AL1265="Government and Public Administration")+($AL1265="Defence/ Protective Service")+($AL1265="Sports"))&gt;0,"Arts / Humanities",""))))</f>
        <v/>
      </c>
      <c r="BD1265" s="5" t="str">
        <f aca="false">IF($B1265="","",--(F1265&gt;=10)+--(G1265&gt;=10)+--(H1265&gt;=10)+--(I1265&gt;=10)+--(J1265&gt;=10)+--(K1265&gt;=10)+--(L1265&gt;=10)+--(M1265&gt;=10)+--(N1265&gt;=10)+--(O1265&gt;=10))</f>
        <v/>
      </c>
      <c r="BE1265" s="5" t="str">
        <f aca="false">IF($B1265="","",--(AND(F1265&lt;&gt;"",F1265&lt;=8))+--(AND(G1265&lt;&gt;"",G1265&lt;=8))+--(AND(H1265&lt;&gt;"",H1265&lt;=8))+--(AND(I1265&lt;&gt;"",I1265&lt;=8))+--(AND(J1265&lt;&gt;"",J1265&lt;=8))+--(AND(K1265&lt;&gt;"",K1265&lt;=8))+--(AND(L1265&lt;&gt;"",L1265&lt;=8))+--(AND(M1265&lt;&gt;"",M1265&lt;=8))+--(AND(N1265&lt;&gt;"",N1265&lt;=8))+--(AND(O1265&lt;&gt;"",O1265&lt;=8)))</f>
        <v/>
      </c>
    </row>
    <row r="1266" customFormat="false" ht="15" hidden="false" customHeight="false" outlineLevel="0" collapsed="false">
      <c r="AZ1266" s="5" t="str">
        <f aca="false">IF($B1266="","",SUMPRODUCT(($AL1266:$AO1266&lt;&gt;"")*(COUNTIF($AP1266:$AX1266,$AL1266:$AO1266)&gt;0)))</f>
        <v/>
      </c>
      <c r="BA1266" s="5" t="str">
        <f aca="false">IF($B1266="","",IF(AZ1266&gt;0,1,0))</f>
        <v/>
      </c>
      <c r="BB1266" s="5" t="str">
        <f aca="false">IF($AP1266="","",IF((($AP1266="Engineering and Technology")+($AP1266="Science and Mathematics")+($AP1266="Computer Science, IT and Allied Fields")+($AP1266="Life Sciences /Medicine and Healthcare")+($AP1266="Paramedical")+($AP1266="Architecture")+($AP1266="Environmental Service")+($AP1266="Agriculture, Food Industry and Forestry"))&gt;0,"Science",IF((($AP1266="Banking and Finance")+($AP1266="Management and Administration")+($AP1266="Marketing")+($AP1266="Sales")+($AP1266="Entrepreneurship")+($AP1266="Hospitality and Tourism"))&gt;0,"Commerce",IF((($AP1266="Social Sciences and Humanities")+($AP1266="Law Studies")+($AP1266="Education and Training")+($AP1266="Art, Design")+($AP1266="Entertainment and Mass Media")+($AP1266="Community and Social Service")+($AP1266="Personal Care and Services")+($AP1266="Government and Public Administration")+($AP1266="Defence/ Protective Service")+($AP1266="Sports"))&gt;0,"Arts / Humanities",""))))</f>
        <v/>
      </c>
      <c r="BC1266" s="5" t="str">
        <f aca="false">IF($AL1266="","",IF((($AL1266="Engineering and Technology")+($AL1266="Science and Mathematics")+($AL1266="Computer Science, IT and Allied Fields")+($AL1266="Life Sciences /Medicine and Healthcare")+($AL1266="Paramedical")+($AL1266="Architecture")+($AL1266="Environmental Service")+($AL1266="Agriculture, Food Industry and Forestry"))&gt;0,"Science",IF((($AL1266="Banking and Finance")+($AL1266="Management and Administration")+($AL1266="Marketing")+($AL1266="Sales")+($AL1266="Entrepreneurship")+($AL1266="Hospitality and Tourism"))&gt;0,"Commerce",IF((($AL1266="Social Sciences and Humanities")+($AL1266="Law Studies")+($AL1266="Education and Training")+($AL1266="Art, Design")+($AL1266="Entertainment and Mass Media")+($AL1266="Community and Social Service")+($AL1266="Personal Care and Services")+($AL1266="Government and Public Administration")+($AL1266="Defence/ Protective Service")+($AL1266="Sports"))&gt;0,"Arts / Humanities",""))))</f>
        <v/>
      </c>
      <c r="BD1266" s="5" t="str">
        <f aca="false">IF($B1266="","",--(F1266&gt;=10)+--(G1266&gt;=10)+--(H1266&gt;=10)+--(I1266&gt;=10)+--(J1266&gt;=10)+--(K1266&gt;=10)+--(L1266&gt;=10)+--(M1266&gt;=10)+--(N1266&gt;=10)+--(O1266&gt;=10))</f>
        <v/>
      </c>
      <c r="BE1266" s="5" t="str">
        <f aca="false">IF($B1266="","",--(AND(F1266&lt;&gt;"",F1266&lt;=8))+--(AND(G1266&lt;&gt;"",G1266&lt;=8))+--(AND(H1266&lt;&gt;"",H1266&lt;=8))+--(AND(I1266&lt;&gt;"",I1266&lt;=8))+--(AND(J1266&lt;&gt;"",J1266&lt;=8))+--(AND(K1266&lt;&gt;"",K1266&lt;=8))+--(AND(L1266&lt;&gt;"",L1266&lt;=8))+--(AND(M1266&lt;&gt;"",M1266&lt;=8))+--(AND(N1266&lt;&gt;"",N1266&lt;=8))+--(AND(O1266&lt;&gt;"",O1266&lt;=8)))</f>
        <v/>
      </c>
    </row>
    <row r="1267" customFormat="false" ht="15" hidden="false" customHeight="false" outlineLevel="0" collapsed="false">
      <c r="AZ1267" s="5" t="str">
        <f aca="false">IF($B1267="","",SUMPRODUCT(($AL1267:$AO1267&lt;&gt;"")*(COUNTIF($AP1267:$AX1267,$AL1267:$AO1267)&gt;0)))</f>
        <v/>
      </c>
      <c r="BA1267" s="5" t="str">
        <f aca="false">IF($B1267="","",IF(AZ1267&gt;0,1,0))</f>
        <v/>
      </c>
      <c r="BB1267" s="5" t="str">
        <f aca="false">IF($AP1267="","",IF((($AP1267="Engineering and Technology")+($AP1267="Science and Mathematics")+($AP1267="Computer Science, IT and Allied Fields")+($AP1267="Life Sciences /Medicine and Healthcare")+($AP1267="Paramedical")+($AP1267="Architecture")+($AP1267="Environmental Service")+($AP1267="Agriculture, Food Industry and Forestry"))&gt;0,"Science",IF((($AP1267="Banking and Finance")+($AP1267="Management and Administration")+($AP1267="Marketing")+($AP1267="Sales")+($AP1267="Entrepreneurship")+($AP1267="Hospitality and Tourism"))&gt;0,"Commerce",IF((($AP1267="Social Sciences and Humanities")+($AP1267="Law Studies")+($AP1267="Education and Training")+($AP1267="Art, Design")+($AP1267="Entertainment and Mass Media")+($AP1267="Community and Social Service")+($AP1267="Personal Care and Services")+($AP1267="Government and Public Administration")+($AP1267="Defence/ Protective Service")+($AP1267="Sports"))&gt;0,"Arts / Humanities",""))))</f>
        <v/>
      </c>
      <c r="BC1267" s="5" t="str">
        <f aca="false">IF($AL1267="","",IF((($AL1267="Engineering and Technology")+($AL1267="Science and Mathematics")+($AL1267="Computer Science, IT and Allied Fields")+($AL1267="Life Sciences /Medicine and Healthcare")+($AL1267="Paramedical")+($AL1267="Architecture")+($AL1267="Environmental Service")+($AL1267="Agriculture, Food Industry and Forestry"))&gt;0,"Science",IF((($AL1267="Banking and Finance")+($AL1267="Management and Administration")+($AL1267="Marketing")+($AL1267="Sales")+($AL1267="Entrepreneurship")+($AL1267="Hospitality and Tourism"))&gt;0,"Commerce",IF((($AL1267="Social Sciences and Humanities")+($AL1267="Law Studies")+($AL1267="Education and Training")+($AL1267="Art, Design")+($AL1267="Entertainment and Mass Media")+($AL1267="Community and Social Service")+($AL1267="Personal Care and Services")+($AL1267="Government and Public Administration")+($AL1267="Defence/ Protective Service")+($AL1267="Sports"))&gt;0,"Arts / Humanities",""))))</f>
        <v/>
      </c>
      <c r="BD1267" s="5" t="str">
        <f aca="false">IF($B1267="","",--(F1267&gt;=10)+--(G1267&gt;=10)+--(H1267&gt;=10)+--(I1267&gt;=10)+--(J1267&gt;=10)+--(K1267&gt;=10)+--(L1267&gt;=10)+--(M1267&gt;=10)+--(N1267&gt;=10)+--(O1267&gt;=10))</f>
        <v/>
      </c>
      <c r="BE1267" s="5" t="str">
        <f aca="false">IF($B1267="","",--(AND(F1267&lt;&gt;"",F1267&lt;=8))+--(AND(G1267&lt;&gt;"",G1267&lt;=8))+--(AND(H1267&lt;&gt;"",H1267&lt;=8))+--(AND(I1267&lt;&gt;"",I1267&lt;=8))+--(AND(J1267&lt;&gt;"",J1267&lt;=8))+--(AND(K1267&lt;&gt;"",K1267&lt;=8))+--(AND(L1267&lt;&gt;"",L1267&lt;=8))+--(AND(M1267&lt;&gt;"",M1267&lt;=8))+--(AND(N1267&lt;&gt;"",N1267&lt;=8))+--(AND(O1267&lt;&gt;"",O1267&lt;=8)))</f>
        <v/>
      </c>
    </row>
    <row r="1268" customFormat="false" ht="15" hidden="false" customHeight="false" outlineLevel="0" collapsed="false">
      <c r="AZ1268" s="5" t="str">
        <f aca="false">IF($B1268="","",SUMPRODUCT(($AL1268:$AO1268&lt;&gt;"")*(COUNTIF($AP1268:$AX1268,$AL1268:$AO1268)&gt;0)))</f>
        <v/>
      </c>
      <c r="BA1268" s="5" t="str">
        <f aca="false">IF($B1268="","",IF(AZ1268&gt;0,1,0))</f>
        <v/>
      </c>
      <c r="BB1268" s="5" t="str">
        <f aca="false">IF($AP1268="","",IF((($AP1268="Engineering and Technology")+($AP1268="Science and Mathematics")+($AP1268="Computer Science, IT and Allied Fields")+($AP1268="Life Sciences /Medicine and Healthcare")+($AP1268="Paramedical")+($AP1268="Architecture")+($AP1268="Environmental Service")+($AP1268="Agriculture, Food Industry and Forestry"))&gt;0,"Science",IF((($AP1268="Banking and Finance")+($AP1268="Management and Administration")+($AP1268="Marketing")+($AP1268="Sales")+($AP1268="Entrepreneurship")+($AP1268="Hospitality and Tourism"))&gt;0,"Commerce",IF((($AP1268="Social Sciences and Humanities")+($AP1268="Law Studies")+($AP1268="Education and Training")+($AP1268="Art, Design")+($AP1268="Entertainment and Mass Media")+($AP1268="Community and Social Service")+($AP1268="Personal Care and Services")+($AP1268="Government and Public Administration")+($AP1268="Defence/ Protective Service")+($AP1268="Sports"))&gt;0,"Arts / Humanities",""))))</f>
        <v/>
      </c>
      <c r="BC1268" s="5" t="str">
        <f aca="false">IF($AL1268="","",IF((($AL1268="Engineering and Technology")+($AL1268="Science and Mathematics")+($AL1268="Computer Science, IT and Allied Fields")+($AL1268="Life Sciences /Medicine and Healthcare")+($AL1268="Paramedical")+($AL1268="Architecture")+($AL1268="Environmental Service")+($AL1268="Agriculture, Food Industry and Forestry"))&gt;0,"Science",IF((($AL1268="Banking and Finance")+($AL1268="Management and Administration")+($AL1268="Marketing")+($AL1268="Sales")+($AL1268="Entrepreneurship")+($AL1268="Hospitality and Tourism"))&gt;0,"Commerce",IF((($AL1268="Social Sciences and Humanities")+($AL1268="Law Studies")+($AL1268="Education and Training")+($AL1268="Art, Design")+($AL1268="Entertainment and Mass Media")+($AL1268="Community and Social Service")+($AL1268="Personal Care and Services")+($AL1268="Government and Public Administration")+($AL1268="Defence/ Protective Service")+($AL1268="Sports"))&gt;0,"Arts / Humanities",""))))</f>
        <v/>
      </c>
      <c r="BD1268" s="5" t="str">
        <f aca="false">IF($B1268="","",--(F1268&gt;=10)+--(G1268&gt;=10)+--(H1268&gt;=10)+--(I1268&gt;=10)+--(J1268&gt;=10)+--(K1268&gt;=10)+--(L1268&gt;=10)+--(M1268&gt;=10)+--(N1268&gt;=10)+--(O1268&gt;=10))</f>
        <v/>
      </c>
      <c r="BE1268" s="5" t="str">
        <f aca="false">IF($B1268="","",--(AND(F1268&lt;&gt;"",F1268&lt;=8))+--(AND(G1268&lt;&gt;"",G1268&lt;=8))+--(AND(H1268&lt;&gt;"",H1268&lt;=8))+--(AND(I1268&lt;&gt;"",I1268&lt;=8))+--(AND(J1268&lt;&gt;"",J1268&lt;=8))+--(AND(K1268&lt;&gt;"",K1268&lt;=8))+--(AND(L1268&lt;&gt;"",L1268&lt;=8))+--(AND(M1268&lt;&gt;"",M1268&lt;=8))+--(AND(N1268&lt;&gt;"",N1268&lt;=8))+--(AND(O1268&lt;&gt;"",O1268&lt;=8)))</f>
        <v/>
      </c>
    </row>
    <row r="1269" customFormat="false" ht="15" hidden="false" customHeight="false" outlineLevel="0" collapsed="false">
      <c r="AZ1269" s="5" t="str">
        <f aca="false">IF($B1269="","",SUMPRODUCT(($AL1269:$AO1269&lt;&gt;"")*(COUNTIF($AP1269:$AX1269,$AL1269:$AO1269)&gt;0)))</f>
        <v/>
      </c>
      <c r="BA1269" s="5" t="str">
        <f aca="false">IF($B1269="","",IF(AZ1269&gt;0,1,0))</f>
        <v/>
      </c>
      <c r="BB1269" s="5" t="str">
        <f aca="false">IF($AP1269="","",IF((($AP1269="Engineering and Technology")+($AP1269="Science and Mathematics")+($AP1269="Computer Science, IT and Allied Fields")+($AP1269="Life Sciences /Medicine and Healthcare")+($AP1269="Paramedical")+($AP1269="Architecture")+($AP1269="Environmental Service")+($AP1269="Agriculture, Food Industry and Forestry"))&gt;0,"Science",IF((($AP1269="Banking and Finance")+($AP1269="Management and Administration")+($AP1269="Marketing")+($AP1269="Sales")+($AP1269="Entrepreneurship")+($AP1269="Hospitality and Tourism"))&gt;0,"Commerce",IF((($AP1269="Social Sciences and Humanities")+($AP1269="Law Studies")+($AP1269="Education and Training")+($AP1269="Art, Design")+($AP1269="Entertainment and Mass Media")+($AP1269="Community and Social Service")+($AP1269="Personal Care and Services")+($AP1269="Government and Public Administration")+($AP1269="Defence/ Protective Service")+($AP1269="Sports"))&gt;0,"Arts / Humanities",""))))</f>
        <v/>
      </c>
      <c r="BC1269" s="5" t="str">
        <f aca="false">IF($AL1269="","",IF((($AL1269="Engineering and Technology")+($AL1269="Science and Mathematics")+($AL1269="Computer Science, IT and Allied Fields")+($AL1269="Life Sciences /Medicine and Healthcare")+($AL1269="Paramedical")+($AL1269="Architecture")+($AL1269="Environmental Service")+($AL1269="Agriculture, Food Industry and Forestry"))&gt;0,"Science",IF((($AL1269="Banking and Finance")+($AL1269="Management and Administration")+($AL1269="Marketing")+($AL1269="Sales")+($AL1269="Entrepreneurship")+($AL1269="Hospitality and Tourism"))&gt;0,"Commerce",IF((($AL1269="Social Sciences and Humanities")+($AL1269="Law Studies")+($AL1269="Education and Training")+($AL1269="Art, Design")+($AL1269="Entertainment and Mass Media")+($AL1269="Community and Social Service")+($AL1269="Personal Care and Services")+($AL1269="Government and Public Administration")+($AL1269="Defence/ Protective Service")+($AL1269="Sports"))&gt;0,"Arts / Humanities",""))))</f>
        <v/>
      </c>
      <c r="BD1269" s="5" t="str">
        <f aca="false">IF($B1269="","",--(F1269&gt;=10)+--(G1269&gt;=10)+--(H1269&gt;=10)+--(I1269&gt;=10)+--(J1269&gt;=10)+--(K1269&gt;=10)+--(L1269&gt;=10)+--(M1269&gt;=10)+--(N1269&gt;=10)+--(O1269&gt;=10))</f>
        <v/>
      </c>
      <c r="BE1269" s="5" t="str">
        <f aca="false">IF($B1269="","",--(AND(F1269&lt;&gt;"",F1269&lt;=8))+--(AND(G1269&lt;&gt;"",G1269&lt;=8))+--(AND(H1269&lt;&gt;"",H1269&lt;=8))+--(AND(I1269&lt;&gt;"",I1269&lt;=8))+--(AND(J1269&lt;&gt;"",J1269&lt;=8))+--(AND(K1269&lt;&gt;"",K1269&lt;=8))+--(AND(L1269&lt;&gt;"",L1269&lt;=8))+--(AND(M1269&lt;&gt;"",M1269&lt;=8))+--(AND(N1269&lt;&gt;"",N1269&lt;=8))+--(AND(O1269&lt;&gt;"",O1269&lt;=8)))</f>
        <v/>
      </c>
    </row>
    <row r="1270" customFormat="false" ht="15" hidden="false" customHeight="false" outlineLevel="0" collapsed="false">
      <c r="AZ1270" s="5" t="str">
        <f aca="false">IF($B1270="","",SUMPRODUCT(($AL1270:$AO1270&lt;&gt;"")*(COUNTIF($AP1270:$AX1270,$AL1270:$AO1270)&gt;0)))</f>
        <v/>
      </c>
      <c r="BA1270" s="5" t="str">
        <f aca="false">IF($B1270="","",IF(AZ1270&gt;0,1,0))</f>
        <v/>
      </c>
      <c r="BB1270" s="5" t="str">
        <f aca="false">IF($AP1270="","",IF((($AP1270="Engineering and Technology")+($AP1270="Science and Mathematics")+($AP1270="Computer Science, IT and Allied Fields")+($AP1270="Life Sciences /Medicine and Healthcare")+($AP1270="Paramedical")+($AP1270="Architecture")+($AP1270="Environmental Service")+($AP1270="Agriculture, Food Industry and Forestry"))&gt;0,"Science",IF((($AP1270="Banking and Finance")+($AP1270="Management and Administration")+($AP1270="Marketing")+($AP1270="Sales")+($AP1270="Entrepreneurship")+($AP1270="Hospitality and Tourism"))&gt;0,"Commerce",IF((($AP1270="Social Sciences and Humanities")+($AP1270="Law Studies")+($AP1270="Education and Training")+($AP1270="Art, Design")+($AP1270="Entertainment and Mass Media")+($AP1270="Community and Social Service")+($AP1270="Personal Care and Services")+($AP1270="Government and Public Administration")+($AP1270="Defence/ Protective Service")+($AP1270="Sports"))&gt;0,"Arts / Humanities",""))))</f>
        <v/>
      </c>
      <c r="BC1270" s="5" t="str">
        <f aca="false">IF($AL1270="","",IF((($AL1270="Engineering and Technology")+($AL1270="Science and Mathematics")+($AL1270="Computer Science, IT and Allied Fields")+($AL1270="Life Sciences /Medicine and Healthcare")+($AL1270="Paramedical")+($AL1270="Architecture")+($AL1270="Environmental Service")+($AL1270="Agriculture, Food Industry and Forestry"))&gt;0,"Science",IF((($AL1270="Banking and Finance")+($AL1270="Management and Administration")+($AL1270="Marketing")+($AL1270="Sales")+($AL1270="Entrepreneurship")+($AL1270="Hospitality and Tourism"))&gt;0,"Commerce",IF((($AL1270="Social Sciences and Humanities")+($AL1270="Law Studies")+($AL1270="Education and Training")+($AL1270="Art, Design")+($AL1270="Entertainment and Mass Media")+($AL1270="Community and Social Service")+($AL1270="Personal Care and Services")+($AL1270="Government and Public Administration")+($AL1270="Defence/ Protective Service")+($AL1270="Sports"))&gt;0,"Arts / Humanities",""))))</f>
        <v/>
      </c>
      <c r="BD1270" s="5" t="str">
        <f aca="false">IF($B1270="","",--(F1270&gt;=10)+--(G1270&gt;=10)+--(H1270&gt;=10)+--(I1270&gt;=10)+--(J1270&gt;=10)+--(K1270&gt;=10)+--(L1270&gt;=10)+--(M1270&gt;=10)+--(N1270&gt;=10)+--(O1270&gt;=10))</f>
        <v/>
      </c>
      <c r="BE1270" s="5" t="str">
        <f aca="false">IF($B1270="","",--(AND(F1270&lt;&gt;"",F1270&lt;=8))+--(AND(G1270&lt;&gt;"",G1270&lt;=8))+--(AND(H1270&lt;&gt;"",H1270&lt;=8))+--(AND(I1270&lt;&gt;"",I1270&lt;=8))+--(AND(J1270&lt;&gt;"",J1270&lt;=8))+--(AND(K1270&lt;&gt;"",K1270&lt;=8))+--(AND(L1270&lt;&gt;"",L1270&lt;=8))+--(AND(M1270&lt;&gt;"",M1270&lt;=8))+--(AND(N1270&lt;&gt;"",N1270&lt;=8))+--(AND(O1270&lt;&gt;"",O1270&lt;=8)))</f>
        <v/>
      </c>
    </row>
    <row r="1271" customFormat="false" ht="15" hidden="false" customHeight="false" outlineLevel="0" collapsed="false">
      <c r="AZ1271" s="5" t="str">
        <f aca="false">IF($B1271="","",SUMPRODUCT(($AL1271:$AO1271&lt;&gt;"")*(COUNTIF($AP1271:$AX1271,$AL1271:$AO1271)&gt;0)))</f>
        <v/>
      </c>
      <c r="BA1271" s="5" t="str">
        <f aca="false">IF($B1271="","",IF(AZ1271&gt;0,1,0))</f>
        <v/>
      </c>
      <c r="BB1271" s="5" t="str">
        <f aca="false">IF($AP1271="","",IF((($AP1271="Engineering and Technology")+($AP1271="Science and Mathematics")+($AP1271="Computer Science, IT and Allied Fields")+($AP1271="Life Sciences /Medicine and Healthcare")+($AP1271="Paramedical")+($AP1271="Architecture")+($AP1271="Environmental Service")+($AP1271="Agriculture, Food Industry and Forestry"))&gt;0,"Science",IF((($AP1271="Banking and Finance")+($AP1271="Management and Administration")+($AP1271="Marketing")+($AP1271="Sales")+($AP1271="Entrepreneurship")+($AP1271="Hospitality and Tourism"))&gt;0,"Commerce",IF((($AP1271="Social Sciences and Humanities")+($AP1271="Law Studies")+($AP1271="Education and Training")+($AP1271="Art, Design")+($AP1271="Entertainment and Mass Media")+($AP1271="Community and Social Service")+($AP1271="Personal Care and Services")+($AP1271="Government and Public Administration")+($AP1271="Defence/ Protective Service")+($AP1271="Sports"))&gt;0,"Arts / Humanities",""))))</f>
        <v/>
      </c>
      <c r="BC1271" s="5" t="str">
        <f aca="false">IF($AL1271="","",IF((($AL1271="Engineering and Technology")+($AL1271="Science and Mathematics")+($AL1271="Computer Science, IT and Allied Fields")+($AL1271="Life Sciences /Medicine and Healthcare")+($AL1271="Paramedical")+($AL1271="Architecture")+($AL1271="Environmental Service")+($AL1271="Agriculture, Food Industry and Forestry"))&gt;0,"Science",IF((($AL1271="Banking and Finance")+($AL1271="Management and Administration")+($AL1271="Marketing")+($AL1271="Sales")+($AL1271="Entrepreneurship")+($AL1271="Hospitality and Tourism"))&gt;0,"Commerce",IF((($AL1271="Social Sciences and Humanities")+($AL1271="Law Studies")+($AL1271="Education and Training")+($AL1271="Art, Design")+($AL1271="Entertainment and Mass Media")+($AL1271="Community and Social Service")+($AL1271="Personal Care and Services")+($AL1271="Government and Public Administration")+($AL1271="Defence/ Protective Service")+($AL1271="Sports"))&gt;0,"Arts / Humanities",""))))</f>
        <v/>
      </c>
      <c r="BD1271" s="5" t="str">
        <f aca="false">IF($B1271="","",--(F1271&gt;=10)+--(G1271&gt;=10)+--(H1271&gt;=10)+--(I1271&gt;=10)+--(J1271&gt;=10)+--(K1271&gt;=10)+--(L1271&gt;=10)+--(M1271&gt;=10)+--(N1271&gt;=10)+--(O1271&gt;=10))</f>
        <v/>
      </c>
      <c r="BE1271" s="5" t="str">
        <f aca="false">IF($B1271="","",--(AND(F1271&lt;&gt;"",F1271&lt;=8))+--(AND(G1271&lt;&gt;"",G1271&lt;=8))+--(AND(H1271&lt;&gt;"",H1271&lt;=8))+--(AND(I1271&lt;&gt;"",I1271&lt;=8))+--(AND(J1271&lt;&gt;"",J1271&lt;=8))+--(AND(K1271&lt;&gt;"",K1271&lt;=8))+--(AND(L1271&lt;&gt;"",L1271&lt;=8))+--(AND(M1271&lt;&gt;"",M1271&lt;=8))+--(AND(N1271&lt;&gt;"",N1271&lt;=8))+--(AND(O1271&lt;&gt;"",O1271&lt;=8)))</f>
        <v/>
      </c>
    </row>
    <row r="1272" customFormat="false" ht="15" hidden="false" customHeight="false" outlineLevel="0" collapsed="false">
      <c r="AZ1272" s="5" t="str">
        <f aca="false">IF($B1272="","",SUMPRODUCT(($AL1272:$AO1272&lt;&gt;"")*(COUNTIF($AP1272:$AX1272,$AL1272:$AO1272)&gt;0)))</f>
        <v/>
      </c>
      <c r="BA1272" s="5" t="str">
        <f aca="false">IF($B1272="","",IF(AZ1272&gt;0,1,0))</f>
        <v/>
      </c>
      <c r="BB1272" s="5" t="str">
        <f aca="false">IF($AP1272="","",IF((($AP1272="Engineering and Technology")+($AP1272="Science and Mathematics")+($AP1272="Computer Science, IT and Allied Fields")+($AP1272="Life Sciences /Medicine and Healthcare")+($AP1272="Paramedical")+($AP1272="Architecture")+($AP1272="Environmental Service")+($AP1272="Agriculture, Food Industry and Forestry"))&gt;0,"Science",IF((($AP1272="Banking and Finance")+($AP1272="Management and Administration")+($AP1272="Marketing")+($AP1272="Sales")+($AP1272="Entrepreneurship")+($AP1272="Hospitality and Tourism"))&gt;0,"Commerce",IF((($AP1272="Social Sciences and Humanities")+($AP1272="Law Studies")+($AP1272="Education and Training")+($AP1272="Art, Design")+($AP1272="Entertainment and Mass Media")+($AP1272="Community and Social Service")+($AP1272="Personal Care and Services")+($AP1272="Government and Public Administration")+($AP1272="Defence/ Protective Service")+($AP1272="Sports"))&gt;0,"Arts / Humanities",""))))</f>
        <v/>
      </c>
      <c r="BC1272" s="5" t="str">
        <f aca="false">IF($AL1272="","",IF((($AL1272="Engineering and Technology")+($AL1272="Science and Mathematics")+($AL1272="Computer Science, IT and Allied Fields")+($AL1272="Life Sciences /Medicine and Healthcare")+($AL1272="Paramedical")+($AL1272="Architecture")+($AL1272="Environmental Service")+($AL1272="Agriculture, Food Industry and Forestry"))&gt;0,"Science",IF((($AL1272="Banking and Finance")+($AL1272="Management and Administration")+($AL1272="Marketing")+($AL1272="Sales")+($AL1272="Entrepreneurship")+($AL1272="Hospitality and Tourism"))&gt;0,"Commerce",IF((($AL1272="Social Sciences and Humanities")+($AL1272="Law Studies")+($AL1272="Education and Training")+($AL1272="Art, Design")+($AL1272="Entertainment and Mass Media")+($AL1272="Community and Social Service")+($AL1272="Personal Care and Services")+($AL1272="Government and Public Administration")+($AL1272="Defence/ Protective Service")+($AL1272="Sports"))&gt;0,"Arts / Humanities",""))))</f>
        <v/>
      </c>
      <c r="BD1272" s="5" t="str">
        <f aca="false">IF($B1272="","",--(F1272&gt;=10)+--(G1272&gt;=10)+--(H1272&gt;=10)+--(I1272&gt;=10)+--(J1272&gt;=10)+--(K1272&gt;=10)+--(L1272&gt;=10)+--(M1272&gt;=10)+--(N1272&gt;=10)+--(O1272&gt;=10))</f>
        <v/>
      </c>
      <c r="BE1272" s="5" t="str">
        <f aca="false">IF($B1272="","",--(AND(F1272&lt;&gt;"",F1272&lt;=8))+--(AND(G1272&lt;&gt;"",G1272&lt;=8))+--(AND(H1272&lt;&gt;"",H1272&lt;=8))+--(AND(I1272&lt;&gt;"",I1272&lt;=8))+--(AND(J1272&lt;&gt;"",J1272&lt;=8))+--(AND(K1272&lt;&gt;"",K1272&lt;=8))+--(AND(L1272&lt;&gt;"",L1272&lt;=8))+--(AND(M1272&lt;&gt;"",M1272&lt;=8))+--(AND(N1272&lt;&gt;"",N1272&lt;=8))+--(AND(O1272&lt;&gt;"",O1272&lt;=8)))</f>
        <v/>
      </c>
    </row>
    <row r="1273" customFormat="false" ht="15" hidden="false" customHeight="false" outlineLevel="0" collapsed="false">
      <c r="AZ1273" s="5" t="str">
        <f aca="false">IF($B1273="","",SUMPRODUCT(($AL1273:$AO1273&lt;&gt;"")*(COUNTIF($AP1273:$AX1273,$AL1273:$AO1273)&gt;0)))</f>
        <v/>
      </c>
      <c r="BA1273" s="5" t="str">
        <f aca="false">IF($B1273="","",IF(AZ1273&gt;0,1,0))</f>
        <v/>
      </c>
      <c r="BB1273" s="5" t="str">
        <f aca="false">IF($AP1273="","",IF((($AP1273="Engineering and Technology")+($AP1273="Science and Mathematics")+($AP1273="Computer Science, IT and Allied Fields")+($AP1273="Life Sciences /Medicine and Healthcare")+($AP1273="Paramedical")+($AP1273="Architecture")+($AP1273="Environmental Service")+($AP1273="Agriculture, Food Industry and Forestry"))&gt;0,"Science",IF((($AP1273="Banking and Finance")+($AP1273="Management and Administration")+($AP1273="Marketing")+($AP1273="Sales")+($AP1273="Entrepreneurship")+($AP1273="Hospitality and Tourism"))&gt;0,"Commerce",IF((($AP1273="Social Sciences and Humanities")+($AP1273="Law Studies")+($AP1273="Education and Training")+($AP1273="Art, Design")+($AP1273="Entertainment and Mass Media")+($AP1273="Community and Social Service")+($AP1273="Personal Care and Services")+($AP1273="Government and Public Administration")+($AP1273="Defence/ Protective Service")+($AP1273="Sports"))&gt;0,"Arts / Humanities",""))))</f>
        <v/>
      </c>
      <c r="BC1273" s="5" t="str">
        <f aca="false">IF($AL1273="","",IF((($AL1273="Engineering and Technology")+($AL1273="Science and Mathematics")+($AL1273="Computer Science, IT and Allied Fields")+($AL1273="Life Sciences /Medicine and Healthcare")+($AL1273="Paramedical")+($AL1273="Architecture")+($AL1273="Environmental Service")+($AL1273="Agriculture, Food Industry and Forestry"))&gt;0,"Science",IF((($AL1273="Banking and Finance")+($AL1273="Management and Administration")+($AL1273="Marketing")+($AL1273="Sales")+($AL1273="Entrepreneurship")+($AL1273="Hospitality and Tourism"))&gt;0,"Commerce",IF((($AL1273="Social Sciences and Humanities")+($AL1273="Law Studies")+($AL1273="Education and Training")+($AL1273="Art, Design")+($AL1273="Entertainment and Mass Media")+($AL1273="Community and Social Service")+($AL1273="Personal Care and Services")+($AL1273="Government and Public Administration")+($AL1273="Defence/ Protective Service")+($AL1273="Sports"))&gt;0,"Arts / Humanities",""))))</f>
        <v/>
      </c>
      <c r="BD1273" s="5" t="str">
        <f aca="false">IF($B1273="","",--(F1273&gt;=10)+--(G1273&gt;=10)+--(H1273&gt;=10)+--(I1273&gt;=10)+--(J1273&gt;=10)+--(K1273&gt;=10)+--(L1273&gt;=10)+--(M1273&gt;=10)+--(N1273&gt;=10)+--(O1273&gt;=10))</f>
        <v/>
      </c>
      <c r="BE1273" s="5" t="str">
        <f aca="false">IF($B1273="","",--(AND(F1273&lt;&gt;"",F1273&lt;=8))+--(AND(G1273&lt;&gt;"",G1273&lt;=8))+--(AND(H1273&lt;&gt;"",H1273&lt;=8))+--(AND(I1273&lt;&gt;"",I1273&lt;=8))+--(AND(J1273&lt;&gt;"",J1273&lt;=8))+--(AND(K1273&lt;&gt;"",K1273&lt;=8))+--(AND(L1273&lt;&gt;"",L1273&lt;=8))+--(AND(M1273&lt;&gt;"",M1273&lt;=8))+--(AND(N1273&lt;&gt;"",N1273&lt;=8))+--(AND(O1273&lt;&gt;"",O1273&lt;=8)))</f>
        <v/>
      </c>
    </row>
    <row r="1274" customFormat="false" ht="15" hidden="false" customHeight="false" outlineLevel="0" collapsed="false">
      <c r="AZ1274" s="5" t="str">
        <f aca="false">IF($B1274="","",SUMPRODUCT(($AL1274:$AO1274&lt;&gt;"")*(COUNTIF($AP1274:$AX1274,$AL1274:$AO1274)&gt;0)))</f>
        <v/>
      </c>
      <c r="BA1274" s="5" t="str">
        <f aca="false">IF($B1274="","",IF(AZ1274&gt;0,1,0))</f>
        <v/>
      </c>
      <c r="BB1274" s="5" t="str">
        <f aca="false">IF($AP1274="","",IF((($AP1274="Engineering and Technology")+($AP1274="Science and Mathematics")+($AP1274="Computer Science, IT and Allied Fields")+($AP1274="Life Sciences /Medicine and Healthcare")+($AP1274="Paramedical")+($AP1274="Architecture")+($AP1274="Environmental Service")+($AP1274="Agriculture, Food Industry and Forestry"))&gt;0,"Science",IF((($AP1274="Banking and Finance")+($AP1274="Management and Administration")+($AP1274="Marketing")+($AP1274="Sales")+($AP1274="Entrepreneurship")+($AP1274="Hospitality and Tourism"))&gt;0,"Commerce",IF((($AP1274="Social Sciences and Humanities")+($AP1274="Law Studies")+($AP1274="Education and Training")+($AP1274="Art, Design")+($AP1274="Entertainment and Mass Media")+($AP1274="Community and Social Service")+($AP1274="Personal Care and Services")+($AP1274="Government and Public Administration")+($AP1274="Defence/ Protective Service")+($AP1274="Sports"))&gt;0,"Arts / Humanities",""))))</f>
        <v/>
      </c>
      <c r="BC1274" s="5" t="str">
        <f aca="false">IF($AL1274="","",IF((($AL1274="Engineering and Technology")+($AL1274="Science and Mathematics")+($AL1274="Computer Science, IT and Allied Fields")+($AL1274="Life Sciences /Medicine and Healthcare")+($AL1274="Paramedical")+($AL1274="Architecture")+($AL1274="Environmental Service")+($AL1274="Agriculture, Food Industry and Forestry"))&gt;0,"Science",IF((($AL1274="Banking and Finance")+($AL1274="Management and Administration")+($AL1274="Marketing")+($AL1274="Sales")+($AL1274="Entrepreneurship")+($AL1274="Hospitality and Tourism"))&gt;0,"Commerce",IF((($AL1274="Social Sciences and Humanities")+($AL1274="Law Studies")+($AL1274="Education and Training")+($AL1274="Art, Design")+($AL1274="Entertainment and Mass Media")+($AL1274="Community and Social Service")+($AL1274="Personal Care and Services")+($AL1274="Government and Public Administration")+($AL1274="Defence/ Protective Service")+($AL1274="Sports"))&gt;0,"Arts / Humanities",""))))</f>
        <v/>
      </c>
      <c r="BD1274" s="5" t="str">
        <f aca="false">IF($B1274="","",--(F1274&gt;=10)+--(G1274&gt;=10)+--(H1274&gt;=10)+--(I1274&gt;=10)+--(J1274&gt;=10)+--(K1274&gt;=10)+--(L1274&gt;=10)+--(M1274&gt;=10)+--(N1274&gt;=10)+--(O1274&gt;=10))</f>
        <v/>
      </c>
      <c r="BE1274" s="5" t="str">
        <f aca="false">IF($B1274="","",--(AND(F1274&lt;&gt;"",F1274&lt;=8))+--(AND(G1274&lt;&gt;"",G1274&lt;=8))+--(AND(H1274&lt;&gt;"",H1274&lt;=8))+--(AND(I1274&lt;&gt;"",I1274&lt;=8))+--(AND(J1274&lt;&gt;"",J1274&lt;=8))+--(AND(K1274&lt;&gt;"",K1274&lt;=8))+--(AND(L1274&lt;&gt;"",L1274&lt;=8))+--(AND(M1274&lt;&gt;"",M1274&lt;=8))+--(AND(N1274&lt;&gt;"",N1274&lt;=8))+--(AND(O1274&lt;&gt;"",O1274&lt;=8)))</f>
        <v/>
      </c>
    </row>
    <row r="1275" customFormat="false" ht="15" hidden="false" customHeight="false" outlineLevel="0" collapsed="false">
      <c r="AZ1275" s="5" t="str">
        <f aca="false">IF($B1275="","",SUMPRODUCT(($AL1275:$AO1275&lt;&gt;"")*(COUNTIF($AP1275:$AX1275,$AL1275:$AO1275)&gt;0)))</f>
        <v/>
      </c>
      <c r="BA1275" s="5" t="str">
        <f aca="false">IF($B1275="","",IF(AZ1275&gt;0,1,0))</f>
        <v/>
      </c>
      <c r="BB1275" s="5" t="str">
        <f aca="false">IF($AP1275="","",IF((($AP1275="Engineering and Technology")+($AP1275="Science and Mathematics")+($AP1275="Computer Science, IT and Allied Fields")+($AP1275="Life Sciences /Medicine and Healthcare")+($AP1275="Paramedical")+($AP1275="Architecture")+($AP1275="Environmental Service")+($AP1275="Agriculture, Food Industry and Forestry"))&gt;0,"Science",IF((($AP1275="Banking and Finance")+($AP1275="Management and Administration")+($AP1275="Marketing")+($AP1275="Sales")+($AP1275="Entrepreneurship")+($AP1275="Hospitality and Tourism"))&gt;0,"Commerce",IF((($AP1275="Social Sciences and Humanities")+($AP1275="Law Studies")+($AP1275="Education and Training")+($AP1275="Art, Design")+($AP1275="Entertainment and Mass Media")+($AP1275="Community and Social Service")+($AP1275="Personal Care and Services")+($AP1275="Government and Public Administration")+($AP1275="Defence/ Protective Service")+($AP1275="Sports"))&gt;0,"Arts / Humanities",""))))</f>
        <v/>
      </c>
      <c r="BC1275" s="5" t="str">
        <f aca="false">IF($AL1275="","",IF((($AL1275="Engineering and Technology")+($AL1275="Science and Mathematics")+($AL1275="Computer Science, IT and Allied Fields")+($AL1275="Life Sciences /Medicine and Healthcare")+($AL1275="Paramedical")+($AL1275="Architecture")+($AL1275="Environmental Service")+($AL1275="Agriculture, Food Industry and Forestry"))&gt;0,"Science",IF((($AL1275="Banking and Finance")+($AL1275="Management and Administration")+($AL1275="Marketing")+($AL1275="Sales")+($AL1275="Entrepreneurship")+($AL1275="Hospitality and Tourism"))&gt;0,"Commerce",IF((($AL1275="Social Sciences and Humanities")+($AL1275="Law Studies")+($AL1275="Education and Training")+($AL1275="Art, Design")+($AL1275="Entertainment and Mass Media")+($AL1275="Community and Social Service")+($AL1275="Personal Care and Services")+($AL1275="Government and Public Administration")+($AL1275="Defence/ Protective Service")+($AL1275="Sports"))&gt;0,"Arts / Humanities",""))))</f>
        <v/>
      </c>
      <c r="BD1275" s="5" t="str">
        <f aca="false">IF($B1275="","",--(F1275&gt;=10)+--(G1275&gt;=10)+--(H1275&gt;=10)+--(I1275&gt;=10)+--(J1275&gt;=10)+--(K1275&gt;=10)+--(L1275&gt;=10)+--(M1275&gt;=10)+--(N1275&gt;=10)+--(O1275&gt;=10))</f>
        <v/>
      </c>
      <c r="BE1275" s="5" t="str">
        <f aca="false">IF($B1275="","",--(AND(F1275&lt;&gt;"",F1275&lt;=8))+--(AND(G1275&lt;&gt;"",G1275&lt;=8))+--(AND(H1275&lt;&gt;"",H1275&lt;=8))+--(AND(I1275&lt;&gt;"",I1275&lt;=8))+--(AND(J1275&lt;&gt;"",J1275&lt;=8))+--(AND(K1275&lt;&gt;"",K1275&lt;=8))+--(AND(L1275&lt;&gt;"",L1275&lt;=8))+--(AND(M1275&lt;&gt;"",M1275&lt;=8))+--(AND(N1275&lt;&gt;"",N1275&lt;=8))+--(AND(O1275&lt;&gt;"",O1275&lt;=8)))</f>
        <v/>
      </c>
    </row>
    <row r="1276" customFormat="false" ht="15" hidden="false" customHeight="false" outlineLevel="0" collapsed="false">
      <c r="AZ1276" s="5" t="str">
        <f aca="false">IF($B1276="","",SUMPRODUCT(($AL1276:$AO1276&lt;&gt;"")*(COUNTIF($AP1276:$AX1276,$AL1276:$AO1276)&gt;0)))</f>
        <v/>
      </c>
      <c r="BA1276" s="5" t="str">
        <f aca="false">IF($B1276="","",IF(AZ1276&gt;0,1,0))</f>
        <v/>
      </c>
      <c r="BB1276" s="5" t="str">
        <f aca="false">IF($AP1276="","",IF((($AP1276="Engineering and Technology")+($AP1276="Science and Mathematics")+($AP1276="Computer Science, IT and Allied Fields")+($AP1276="Life Sciences /Medicine and Healthcare")+($AP1276="Paramedical")+($AP1276="Architecture")+($AP1276="Environmental Service")+($AP1276="Agriculture, Food Industry and Forestry"))&gt;0,"Science",IF((($AP1276="Banking and Finance")+($AP1276="Management and Administration")+($AP1276="Marketing")+($AP1276="Sales")+($AP1276="Entrepreneurship")+($AP1276="Hospitality and Tourism"))&gt;0,"Commerce",IF((($AP1276="Social Sciences and Humanities")+($AP1276="Law Studies")+($AP1276="Education and Training")+($AP1276="Art, Design")+($AP1276="Entertainment and Mass Media")+($AP1276="Community and Social Service")+($AP1276="Personal Care and Services")+($AP1276="Government and Public Administration")+($AP1276="Defence/ Protective Service")+($AP1276="Sports"))&gt;0,"Arts / Humanities",""))))</f>
        <v/>
      </c>
      <c r="BC1276" s="5" t="str">
        <f aca="false">IF($AL1276="","",IF((($AL1276="Engineering and Technology")+($AL1276="Science and Mathematics")+($AL1276="Computer Science, IT and Allied Fields")+($AL1276="Life Sciences /Medicine and Healthcare")+($AL1276="Paramedical")+($AL1276="Architecture")+($AL1276="Environmental Service")+($AL1276="Agriculture, Food Industry and Forestry"))&gt;0,"Science",IF((($AL1276="Banking and Finance")+($AL1276="Management and Administration")+($AL1276="Marketing")+($AL1276="Sales")+($AL1276="Entrepreneurship")+($AL1276="Hospitality and Tourism"))&gt;0,"Commerce",IF((($AL1276="Social Sciences and Humanities")+($AL1276="Law Studies")+($AL1276="Education and Training")+($AL1276="Art, Design")+($AL1276="Entertainment and Mass Media")+($AL1276="Community and Social Service")+($AL1276="Personal Care and Services")+($AL1276="Government and Public Administration")+($AL1276="Defence/ Protective Service")+($AL1276="Sports"))&gt;0,"Arts / Humanities",""))))</f>
        <v/>
      </c>
      <c r="BD1276" s="5" t="str">
        <f aca="false">IF($B1276="","",--(F1276&gt;=10)+--(G1276&gt;=10)+--(H1276&gt;=10)+--(I1276&gt;=10)+--(J1276&gt;=10)+--(K1276&gt;=10)+--(L1276&gt;=10)+--(M1276&gt;=10)+--(N1276&gt;=10)+--(O1276&gt;=10))</f>
        <v/>
      </c>
      <c r="BE1276" s="5" t="str">
        <f aca="false">IF($B1276="","",--(AND(F1276&lt;&gt;"",F1276&lt;=8))+--(AND(G1276&lt;&gt;"",G1276&lt;=8))+--(AND(H1276&lt;&gt;"",H1276&lt;=8))+--(AND(I1276&lt;&gt;"",I1276&lt;=8))+--(AND(J1276&lt;&gt;"",J1276&lt;=8))+--(AND(K1276&lt;&gt;"",K1276&lt;=8))+--(AND(L1276&lt;&gt;"",L1276&lt;=8))+--(AND(M1276&lt;&gt;"",M1276&lt;=8))+--(AND(N1276&lt;&gt;"",N1276&lt;=8))+--(AND(O1276&lt;&gt;"",O1276&lt;=8)))</f>
        <v/>
      </c>
    </row>
    <row r="1277" customFormat="false" ht="15" hidden="false" customHeight="false" outlineLevel="0" collapsed="false">
      <c r="AZ1277" s="5" t="str">
        <f aca="false">IF($B1277="","",SUMPRODUCT(($AL1277:$AO1277&lt;&gt;"")*(COUNTIF($AP1277:$AX1277,$AL1277:$AO1277)&gt;0)))</f>
        <v/>
      </c>
      <c r="BA1277" s="5" t="str">
        <f aca="false">IF($B1277="","",IF(AZ1277&gt;0,1,0))</f>
        <v/>
      </c>
      <c r="BB1277" s="5" t="str">
        <f aca="false">IF($AP1277="","",IF((($AP1277="Engineering and Technology")+($AP1277="Science and Mathematics")+($AP1277="Computer Science, IT and Allied Fields")+($AP1277="Life Sciences /Medicine and Healthcare")+($AP1277="Paramedical")+($AP1277="Architecture")+($AP1277="Environmental Service")+($AP1277="Agriculture, Food Industry and Forestry"))&gt;0,"Science",IF((($AP1277="Banking and Finance")+($AP1277="Management and Administration")+($AP1277="Marketing")+($AP1277="Sales")+($AP1277="Entrepreneurship")+($AP1277="Hospitality and Tourism"))&gt;0,"Commerce",IF((($AP1277="Social Sciences and Humanities")+($AP1277="Law Studies")+($AP1277="Education and Training")+($AP1277="Art, Design")+($AP1277="Entertainment and Mass Media")+($AP1277="Community and Social Service")+($AP1277="Personal Care and Services")+($AP1277="Government and Public Administration")+($AP1277="Defence/ Protective Service")+($AP1277="Sports"))&gt;0,"Arts / Humanities",""))))</f>
        <v/>
      </c>
      <c r="BC1277" s="5" t="str">
        <f aca="false">IF($AL1277="","",IF((($AL1277="Engineering and Technology")+($AL1277="Science and Mathematics")+($AL1277="Computer Science, IT and Allied Fields")+($AL1277="Life Sciences /Medicine and Healthcare")+($AL1277="Paramedical")+($AL1277="Architecture")+($AL1277="Environmental Service")+($AL1277="Agriculture, Food Industry and Forestry"))&gt;0,"Science",IF((($AL1277="Banking and Finance")+($AL1277="Management and Administration")+($AL1277="Marketing")+($AL1277="Sales")+($AL1277="Entrepreneurship")+($AL1277="Hospitality and Tourism"))&gt;0,"Commerce",IF((($AL1277="Social Sciences and Humanities")+($AL1277="Law Studies")+($AL1277="Education and Training")+($AL1277="Art, Design")+($AL1277="Entertainment and Mass Media")+($AL1277="Community and Social Service")+($AL1277="Personal Care and Services")+($AL1277="Government and Public Administration")+($AL1277="Defence/ Protective Service")+($AL1277="Sports"))&gt;0,"Arts / Humanities",""))))</f>
        <v/>
      </c>
      <c r="BD1277" s="5" t="str">
        <f aca="false">IF($B1277="","",--(F1277&gt;=10)+--(G1277&gt;=10)+--(H1277&gt;=10)+--(I1277&gt;=10)+--(J1277&gt;=10)+--(K1277&gt;=10)+--(L1277&gt;=10)+--(M1277&gt;=10)+--(N1277&gt;=10)+--(O1277&gt;=10))</f>
        <v/>
      </c>
      <c r="BE1277" s="5" t="str">
        <f aca="false">IF($B1277="","",--(AND(F1277&lt;&gt;"",F1277&lt;=8))+--(AND(G1277&lt;&gt;"",G1277&lt;=8))+--(AND(H1277&lt;&gt;"",H1277&lt;=8))+--(AND(I1277&lt;&gt;"",I1277&lt;=8))+--(AND(J1277&lt;&gt;"",J1277&lt;=8))+--(AND(K1277&lt;&gt;"",K1277&lt;=8))+--(AND(L1277&lt;&gt;"",L1277&lt;=8))+--(AND(M1277&lt;&gt;"",M1277&lt;=8))+--(AND(N1277&lt;&gt;"",N1277&lt;=8))+--(AND(O1277&lt;&gt;"",O1277&lt;=8)))</f>
        <v/>
      </c>
    </row>
    <row r="1278" customFormat="false" ht="15" hidden="false" customHeight="false" outlineLevel="0" collapsed="false">
      <c r="AZ1278" s="5" t="str">
        <f aca="false">IF($B1278="","",SUMPRODUCT(($AL1278:$AO1278&lt;&gt;"")*(COUNTIF($AP1278:$AX1278,$AL1278:$AO1278)&gt;0)))</f>
        <v/>
      </c>
      <c r="BA1278" s="5" t="str">
        <f aca="false">IF($B1278="","",IF(AZ1278&gt;0,1,0))</f>
        <v/>
      </c>
      <c r="BB1278" s="5" t="str">
        <f aca="false">IF($AP1278="","",IF((($AP1278="Engineering and Technology")+($AP1278="Science and Mathematics")+($AP1278="Computer Science, IT and Allied Fields")+($AP1278="Life Sciences /Medicine and Healthcare")+($AP1278="Paramedical")+($AP1278="Architecture")+($AP1278="Environmental Service")+($AP1278="Agriculture, Food Industry and Forestry"))&gt;0,"Science",IF((($AP1278="Banking and Finance")+($AP1278="Management and Administration")+($AP1278="Marketing")+($AP1278="Sales")+($AP1278="Entrepreneurship")+($AP1278="Hospitality and Tourism"))&gt;0,"Commerce",IF((($AP1278="Social Sciences and Humanities")+($AP1278="Law Studies")+($AP1278="Education and Training")+($AP1278="Art, Design")+($AP1278="Entertainment and Mass Media")+($AP1278="Community and Social Service")+($AP1278="Personal Care and Services")+($AP1278="Government and Public Administration")+($AP1278="Defence/ Protective Service")+($AP1278="Sports"))&gt;0,"Arts / Humanities",""))))</f>
        <v/>
      </c>
      <c r="BC1278" s="5" t="str">
        <f aca="false">IF($AL1278="","",IF((($AL1278="Engineering and Technology")+($AL1278="Science and Mathematics")+($AL1278="Computer Science, IT and Allied Fields")+($AL1278="Life Sciences /Medicine and Healthcare")+($AL1278="Paramedical")+($AL1278="Architecture")+($AL1278="Environmental Service")+($AL1278="Agriculture, Food Industry and Forestry"))&gt;0,"Science",IF((($AL1278="Banking and Finance")+($AL1278="Management and Administration")+($AL1278="Marketing")+($AL1278="Sales")+($AL1278="Entrepreneurship")+($AL1278="Hospitality and Tourism"))&gt;0,"Commerce",IF((($AL1278="Social Sciences and Humanities")+($AL1278="Law Studies")+($AL1278="Education and Training")+($AL1278="Art, Design")+($AL1278="Entertainment and Mass Media")+($AL1278="Community and Social Service")+($AL1278="Personal Care and Services")+($AL1278="Government and Public Administration")+($AL1278="Defence/ Protective Service")+($AL1278="Sports"))&gt;0,"Arts / Humanities",""))))</f>
        <v/>
      </c>
      <c r="BD1278" s="5" t="str">
        <f aca="false">IF($B1278="","",--(F1278&gt;=10)+--(G1278&gt;=10)+--(H1278&gt;=10)+--(I1278&gt;=10)+--(J1278&gt;=10)+--(K1278&gt;=10)+--(L1278&gt;=10)+--(M1278&gt;=10)+--(N1278&gt;=10)+--(O1278&gt;=10))</f>
        <v/>
      </c>
      <c r="BE1278" s="5" t="str">
        <f aca="false">IF($B1278="","",--(AND(F1278&lt;&gt;"",F1278&lt;=8))+--(AND(G1278&lt;&gt;"",G1278&lt;=8))+--(AND(H1278&lt;&gt;"",H1278&lt;=8))+--(AND(I1278&lt;&gt;"",I1278&lt;=8))+--(AND(J1278&lt;&gt;"",J1278&lt;=8))+--(AND(K1278&lt;&gt;"",K1278&lt;=8))+--(AND(L1278&lt;&gt;"",L1278&lt;=8))+--(AND(M1278&lt;&gt;"",M1278&lt;=8))+--(AND(N1278&lt;&gt;"",N1278&lt;=8))+--(AND(O1278&lt;&gt;"",O1278&lt;=8)))</f>
        <v/>
      </c>
    </row>
    <row r="1279" customFormat="false" ht="15" hidden="false" customHeight="false" outlineLevel="0" collapsed="false">
      <c r="AZ1279" s="5" t="str">
        <f aca="false">IF($B1279="","",SUMPRODUCT(($AL1279:$AO1279&lt;&gt;"")*(COUNTIF($AP1279:$AX1279,$AL1279:$AO1279)&gt;0)))</f>
        <v/>
      </c>
      <c r="BA1279" s="5" t="str">
        <f aca="false">IF($B1279="","",IF(AZ1279&gt;0,1,0))</f>
        <v/>
      </c>
      <c r="BB1279" s="5" t="str">
        <f aca="false">IF($AP1279="","",IF((($AP1279="Engineering and Technology")+($AP1279="Science and Mathematics")+($AP1279="Computer Science, IT and Allied Fields")+($AP1279="Life Sciences /Medicine and Healthcare")+($AP1279="Paramedical")+($AP1279="Architecture")+($AP1279="Environmental Service")+($AP1279="Agriculture, Food Industry and Forestry"))&gt;0,"Science",IF((($AP1279="Banking and Finance")+($AP1279="Management and Administration")+($AP1279="Marketing")+($AP1279="Sales")+($AP1279="Entrepreneurship")+($AP1279="Hospitality and Tourism"))&gt;0,"Commerce",IF((($AP1279="Social Sciences and Humanities")+($AP1279="Law Studies")+($AP1279="Education and Training")+($AP1279="Art, Design")+($AP1279="Entertainment and Mass Media")+($AP1279="Community and Social Service")+($AP1279="Personal Care and Services")+($AP1279="Government and Public Administration")+($AP1279="Defence/ Protective Service")+($AP1279="Sports"))&gt;0,"Arts / Humanities",""))))</f>
        <v/>
      </c>
      <c r="BC1279" s="5" t="str">
        <f aca="false">IF($AL1279="","",IF((($AL1279="Engineering and Technology")+($AL1279="Science and Mathematics")+($AL1279="Computer Science, IT and Allied Fields")+($AL1279="Life Sciences /Medicine and Healthcare")+($AL1279="Paramedical")+($AL1279="Architecture")+($AL1279="Environmental Service")+($AL1279="Agriculture, Food Industry and Forestry"))&gt;0,"Science",IF((($AL1279="Banking and Finance")+($AL1279="Management and Administration")+($AL1279="Marketing")+($AL1279="Sales")+($AL1279="Entrepreneurship")+($AL1279="Hospitality and Tourism"))&gt;0,"Commerce",IF((($AL1279="Social Sciences and Humanities")+($AL1279="Law Studies")+($AL1279="Education and Training")+($AL1279="Art, Design")+($AL1279="Entertainment and Mass Media")+($AL1279="Community and Social Service")+($AL1279="Personal Care and Services")+($AL1279="Government and Public Administration")+($AL1279="Defence/ Protective Service")+($AL1279="Sports"))&gt;0,"Arts / Humanities",""))))</f>
        <v/>
      </c>
      <c r="BD1279" s="5" t="str">
        <f aca="false">IF($B1279="","",--(F1279&gt;=10)+--(G1279&gt;=10)+--(H1279&gt;=10)+--(I1279&gt;=10)+--(J1279&gt;=10)+--(K1279&gt;=10)+--(L1279&gt;=10)+--(M1279&gt;=10)+--(N1279&gt;=10)+--(O1279&gt;=10))</f>
        <v/>
      </c>
      <c r="BE1279" s="5" t="str">
        <f aca="false">IF($B1279="","",--(AND(F1279&lt;&gt;"",F1279&lt;=8))+--(AND(G1279&lt;&gt;"",G1279&lt;=8))+--(AND(H1279&lt;&gt;"",H1279&lt;=8))+--(AND(I1279&lt;&gt;"",I1279&lt;=8))+--(AND(J1279&lt;&gt;"",J1279&lt;=8))+--(AND(K1279&lt;&gt;"",K1279&lt;=8))+--(AND(L1279&lt;&gt;"",L1279&lt;=8))+--(AND(M1279&lt;&gt;"",M1279&lt;=8))+--(AND(N1279&lt;&gt;"",N1279&lt;=8))+--(AND(O1279&lt;&gt;"",O1279&lt;=8)))</f>
        <v/>
      </c>
    </row>
    <row r="1280" customFormat="false" ht="15" hidden="false" customHeight="false" outlineLevel="0" collapsed="false">
      <c r="AZ1280" s="5" t="str">
        <f aca="false">IF($B1280="","",SUMPRODUCT(($AL1280:$AO1280&lt;&gt;"")*(COUNTIF($AP1280:$AX1280,$AL1280:$AO1280)&gt;0)))</f>
        <v/>
      </c>
      <c r="BA1280" s="5" t="str">
        <f aca="false">IF($B1280="","",IF(AZ1280&gt;0,1,0))</f>
        <v/>
      </c>
      <c r="BB1280" s="5" t="str">
        <f aca="false">IF($AP1280="","",IF((($AP1280="Engineering and Technology")+($AP1280="Science and Mathematics")+($AP1280="Computer Science, IT and Allied Fields")+($AP1280="Life Sciences /Medicine and Healthcare")+($AP1280="Paramedical")+($AP1280="Architecture")+($AP1280="Environmental Service")+($AP1280="Agriculture, Food Industry and Forestry"))&gt;0,"Science",IF((($AP1280="Banking and Finance")+($AP1280="Management and Administration")+($AP1280="Marketing")+($AP1280="Sales")+($AP1280="Entrepreneurship")+($AP1280="Hospitality and Tourism"))&gt;0,"Commerce",IF((($AP1280="Social Sciences and Humanities")+($AP1280="Law Studies")+($AP1280="Education and Training")+($AP1280="Art, Design")+($AP1280="Entertainment and Mass Media")+($AP1280="Community and Social Service")+($AP1280="Personal Care and Services")+($AP1280="Government and Public Administration")+($AP1280="Defence/ Protective Service")+($AP1280="Sports"))&gt;0,"Arts / Humanities",""))))</f>
        <v/>
      </c>
      <c r="BC1280" s="5" t="str">
        <f aca="false">IF($AL1280="","",IF((($AL1280="Engineering and Technology")+($AL1280="Science and Mathematics")+($AL1280="Computer Science, IT and Allied Fields")+($AL1280="Life Sciences /Medicine and Healthcare")+($AL1280="Paramedical")+($AL1280="Architecture")+($AL1280="Environmental Service")+($AL1280="Agriculture, Food Industry and Forestry"))&gt;0,"Science",IF((($AL1280="Banking and Finance")+($AL1280="Management and Administration")+($AL1280="Marketing")+($AL1280="Sales")+($AL1280="Entrepreneurship")+($AL1280="Hospitality and Tourism"))&gt;0,"Commerce",IF((($AL1280="Social Sciences and Humanities")+($AL1280="Law Studies")+($AL1280="Education and Training")+($AL1280="Art, Design")+($AL1280="Entertainment and Mass Media")+($AL1280="Community and Social Service")+($AL1280="Personal Care and Services")+($AL1280="Government and Public Administration")+($AL1280="Defence/ Protective Service")+($AL1280="Sports"))&gt;0,"Arts / Humanities",""))))</f>
        <v/>
      </c>
      <c r="BD1280" s="5" t="str">
        <f aca="false">IF($B1280="","",--(F1280&gt;=10)+--(G1280&gt;=10)+--(H1280&gt;=10)+--(I1280&gt;=10)+--(J1280&gt;=10)+--(K1280&gt;=10)+--(L1280&gt;=10)+--(M1280&gt;=10)+--(N1280&gt;=10)+--(O1280&gt;=10))</f>
        <v/>
      </c>
      <c r="BE1280" s="5" t="str">
        <f aca="false">IF($B1280="","",--(AND(F1280&lt;&gt;"",F1280&lt;=8))+--(AND(G1280&lt;&gt;"",G1280&lt;=8))+--(AND(H1280&lt;&gt;"",H1280&lt;=8))+--(AND(I1280&lt;&gt;"",I1280&lt;=8))+--(AND(J1280&lt;&gt;"",J1280&lt;=8))+--(AND(K1280&lt;&gt;"",K1280&lt;=8))+--(AND(L1280&lt;&gt;"",L1280&lt;=8))+--(AND(M1280&lt;&gt;"",M1280&lt;=8))+--(AND(N1280&lt;&gt;"",N1280&lt;=8))+--(AND(O1280&lt;&gt;"",O1280&lt;=8)))</f>
        <v/>
      </c>
    </row>
    <row r="1281" customFormat="false" ht="15" hidden="false" customHeight="false" outlineLevel="0" collapsed="false">
      <c r="AZ1281" s="5" t="str">
        <f aca="false">IF($B1281="","",SUMPRODUCT(($AL1281:$AO1281&lt;&gt;"")*(COUNTIF($AP1281:$AX1281,$AL1281:$AO1281)&gt;0)))</f>
        <v/>
      </c>
      <c r="BA1281" s="5" t="str">
        <f aca="false">IF($B1281="","",IF(AZ1281&gt;0,1,0))</f>
        <v/>
      </c>
      <c r="BB1281" s="5" t="str">
        <f aca="false">IF($AP1281="","",IF((($AP1281="Engineering and Technology")+($AP1281="Science and Mathematics")+($AP1281="Computer Science, IT and Allied Fields")+($AP1281="Life Sciences /Medicine and Healthcare")+($AP1281="Paramedical")+($AP1281="Architecture")+($AP1281="Environmental Service")+($AP1281="Agriculture, Food Industry and Forestry"))&gt;0,"Science",IF((($AP1281="Banking and Finance")+($AP1281="Management and Administration")+($AP1281="Marketing")+($AP1281="Sales")+($AP1281="Entrepreneurship")+($AP1281="Hospitality and Tourism"))&gt;0,"Commerce",IF((($AP1281="Social Sciences and Humanities")+($AP1281="Law Studies")+($AP1281="Education and Training")+($AP1281="Art, Design")+($AP1281="Entertainment and Mass Media")+($AP1281="Community and Social Service")+($AP1281="Personal Care and Services")+($AP1281="Government and Public Administration")+($AP1281="Defence/ Protective Service")+($AP1281="Sports"))&gt;0,"Arts / Humanities",""))))</f>
        <v/>
      </c>
      <c r="BC1281" s="5" t="str">
        <f aca="false">IF($AL1281="","",IF((($AL1281="Engineering and Technology")+($AL1281="Science and Mathematics")+($AL1281="Computer Science, IT and Allied Fields")+($AL1281="Life Sciences /Medicine and Healthcare")+($AL1281="Paramedical")+($AL1281="Architecture")+($AL1281="Environmental Service")+($AL1281="Agriculture, Food Industry and Forestry"))&gt;0,"Science",IF((($AL1281="Banking and Finance")+($AL1281="Management and Administration")+($AL1281="Marketing")+($AL1281="Sales")+($AL1281="Entrepreneurship")+($AL1281="Hospitality and Tourism"))&gt;0,"Commerce",IF((($AL1281="Social Sciences and Humanities")+($AL1281="Law Studies")+($AL1281="Education and Training")+($AL1281="Art, Design")+($AL1281="Entertainment and Mass Media")+($AL1281="Community and Social Service")+($AL1281="Personal Care and Services")+($AL1281="Government and Public Administration")+($AL1281="Defence/ Protective Service")+($AL1281="Sports"))&gt;0,"Arts / Humanities",""))))</f>
        <v/>
      </c>
      <c r="BD1281" s="5" t="str">
        <f aca="false">IF($B1281="","",--(F1281&gt;=10)+--(G1281&gt;=10)+--(H1281&gt;=10)+--(I1281&gt;=10)+--(J1281&gt;=10)+--(K1281&gt;=10)+--(L1281&gt;=10)+--(M1281&gt;=10)+--(N1281&gt;=10)+--(O1281&gt;=10))</f>
        <v/>
      </c>
      <c r="BE1281" s="5" t="str">
        <f aca="false">IF($B1281="","",--(AND(F1281&lt;&gt;"",F1281&lt;=8))+--(AND(G1281&lt;&gt;"",G1281&lt;=8))+--(AND(H1281&lt;&gt;"",H1281&lt;=8))+--(AND(I1281&lt;&gt;"",I1281&lt;=8))+--(AND(J1281&lt;&gt;"",J1281&lt;=8))+--(AND(K1281&lt;&gt;"",K1281&lt;=8))+--(AND(L1281&lt;&gt;"",L1281&lt;=8))+--(AND(M1281&lt;&gt;"",M1281&lt;=8))+--(AND(N1281&lt;&gt;"",N1281&lt;=8))+--(AND(O1281&lt;&gt;"",O1281&lt;=8)))</f>
        <v/>
      </c>
    </row>
    <row r="1282" customFormat="false" ht="15" hidden="false" customHeight="false" outlineLevel="0" collapsed="false">
      <c r="AZ1282" s="5" t="str">
        <f aca="false">IF($B1282="","",SUMPRODUCT(($AL1282:$AO1282&lt;&gt;"")*(COUNTIF($AP1282:$AX1282,$AL1282:$AO1282)&gt;0)))</f>
        <v/>
      </c>
      <c r="BA1282" s="5" t="str">
        <f aca="false">IF($B1282="","",IF(AZ1282&gt;0,1,0))</f>
        <v/>
      </c>
      <c r="BB1282" s="5" t="str">
        <f aca="false">IF($AP1282="","",IF((($AP1282="Engineering and Technology")+($AP1282="Science and Mathematics")+($AP1282="Computer Science, IT and Allied Fields")+($AP1282="Life Sciences /Medicine and Healthcare")+($AP1282="Paramedical")+($AP1282="Architecture")+($AP1282="Environmental Service")+($AP1282="Agriculture, Food Industry and Forestry"))&gt;0,"Science",IF((($AP1282="Banking and Finance")+($AP1282="Management and Administration")+($AP1282="Marketing")+($AP1282="Sales")+($AP1282="Entrepreneurship")+($AP1282="Hospitality and Tourism"))&gt;0,"Commerce",IF((($AP1282="Social Sciences and Humanities")+($AP1282="Law Studies")+($AP1282="Education and Training")+($AP1282="Art, Design")+($AP1282="Entertainment and Mass Media")+($AP1282="Community and Social Service")+($AP1282="Personal Care and Services")+($AP1282="Government and Public Administration")+($AP1282="Defence/ Protective Service")+($AP1282="Sports"))&gt;0,"Arts / Humanities",""))))</f>
        <v/>
      </c>
      <c r="BC1282" s="5" t="str">
        <f aca="false">IF($AL1282="","",IF((($AL1282="Engineering and Technology")+($AL1282="Science and Mathematics")+($AL1282="Computer Science, IT and Allied Fields")+($AL1282="Life Sciences /Medicine and Healthcare")+($AL1282="Paramedical")+($AL1282="Architecture")+($AL1282="Environmental Service")+($AL1282="Agriculture, Food Industry and Forestry"))&gt;0,"Science",IF((($AL1282="Banking and Finance")+($AL1282="Management and Administration")+($AL1282="Marketing")+($AL1282="Sales")+($AL1282="Entrepreneurship")+($AL1282="Hospitality and Tourism"))&gt;0,"Commerce",IF((($AL1282="Social Sciences and Humanities")+($AL1282="Law Studies")+($AL1282="Education and Training")+($AL1282="Art, Design")+($AL1282="Entertainment and Mass Media")+($AL1282="Community and Social Service")+($AL1282="Personal Care and Services")+($AL1282="Government and Public Administration")+($AL1282="Defence/ Protective Service")+($AL1282="Sports"))&gt;0,"Arts / Humanities",""))))</f>
        <v/>
      </c>
      <c r="BD1282" s="5" t="str">
        <f aca="false">IF($B1282="","",--(F1282&gt;=10)+--(G1282&gt;=10)+--(H1282&gt;=10)+--(I1282&gt;=10)+--(J1282&gt;=10)+--(K1282&gt;=10)+--(L1282&gt;=10)+--(M1282&gt;=10)+--(N1282&gt;=10)+--(O1282&gt;=10))</f>
        <v/>
      </c>
      <c r="BE1282" s="5" t="str">
        <f aca="false">IF($B1282="","",--(AND(F1282&lt;&gt;"",F1282&lt;=8))+--(AND(G1282&lt;&gt;"",G1282&lt;=8))+--(AND(H1282&lt;&gt;"",H1282&lt;=8))+--(AND(I1282&lt;&gt;"",I1282&lt;=8))+--(AND(J1282&lt;&gt;"",J1282&lt;=8))+--(AND(K1282&lt;&gt;"",K1282&lt;=8))+--(AND(L1282&lt;&gt;"",L1282&lt;=8))+--(AND(M1282&lt;&gt;"",M1282&lt;=8))+--(AND(N1282&lt;&gt;"",N1282&lt;=8))+--(AND(O1282&lt;&gt;"",O1282&lt;=8)))</f>
        <v/>
      </c>
    </row>
    <row r="1283" customFormat="false" ht="15" hidden="false" customHeight="false" outlineLevel="0" collapsed="false">
      <c r="AZ1283" s="5" t="str">
        <f aca="false">IF($B1283="","",SUMPRODUCT(($AL1283:$AO1283&lt;&gt;"")*(COUNTIF($AP1283:$AX1283,$AL1283:$AO1283)&gt;0)))</f>
        <v/>
      </c>
      <c r="BA1283" s="5" t="str">
        <f aca="false">IF($B1283="","",IF(AZ1283&gt;0,1,0))</f>
        <v/>
      </c>
      <c r="BB1283" s="5" t="str">
        <f aca="false">IF($AP1283="","",IF((($AP1283="Engineering and Technology")+($AP1283="Science and Mathematics")+($AP1283="Computer Science, IT and Allied Fields")+($AP1283="Life Sciences /Medicine and Healthcare")+($AP1283="Paramedical")+($AP1283="Architecture")+($AP1283="Environmental Service")+($AP1283="Agriculture, Food Industry and Forestry"))&gt;0,"Science",IF((($AP1283="Banking and Finance")+($AP1283="Management and Administration")+($AP1283="Marketing")+($AP1283="Sales")+($AP1283="Entrepreneurship")+($AP1283="Hospitality and Tourism"))&gt;0,"Commerce",IF((($AP1283="Social Sciences and Humanities")+($AP1283="Law Studies")+($AP1283="Education and Training")+($AP1283="Art, Design")+($AP1283="Entertainment and Mass Media")+($AP1283="Community and Social Service")+($AP1283="Personal Care and Services")+($AP1283="Government and Public Administration")+($AP1283="Defence/ Protective Service")+($AP1283="Sports"))&gt;0,"Arts / Humanities",""))))</f>
        <v/>
      </c>
      <c r="BC1283" s="5" t="str">
        <f aca="false">IF($AL1283="","",IF((($AL1283="Engineering and Technology")+($AL1283="Science and Mathematics")+($AL1283="Computer Science, IT and Allied Fields")+($AL1283="Life Sciences /Medicine and Healthcare")+($AL1283="Paramedical")+($AL1283="Architecture")+($AL1283="Environmental Service")+($AL1283="Agriculture, Food Industry and Forestry"))&gt;0,"Science",IF((($AL1283="Banking and Finance")+($AL1283="Management and Administration")+($AL1283="Marketing")+($AL1283="Sales")+($AL1283="Entrepreneurship")+($AL1283="Hospitality and Tourism"))&gt;0,"Commerce",IF((($AL1283="Social Sciences and Humanities")+($AL1283="Law Studies")+($AL1283="Education and Training")+($AL1283="Art, Design")+($AL1283="Entertainment and Mass Media")+($AL1283="Community and Social Service")+($AL1283="Personal Care and Services")+($AL1283="Government and Public Administration")+($AL1283="Defence/ Protective Service")+($AL1283="Sports"))&gt;0,"Arts / Humanities",""))))</f>
        <v/>
      </c>
      <c r="BD1283" s="5" t="str">
        <f aca="false">IF($B1283="","",--(F1283&gt;=10)+--(G1283&gt;=10)+--(H1283&gt;=10)+--(I1283&gt;=10)+--(J1283&gt;=10)+--(K1283&gt;=10)+--(L1283&gt;=10)+--(M1283&gt;=10)+--(N1283&gt;=10)+--(O1283&gt;=10))</f>
        <v/>
      </c>
      <c r="BE1283" s="5" t="str">
        <f aca="false">IF($B1283="","",--(AND(F1283&lt;&gt;"",F1283&lt;=8))+--(AND(G1283&lt;&gt;"",G1283&lt;=8))+--(AND(H1283&lt;&gt;"",H1283&lt;=8))+--(AND(I1283&lt;&gt;"",I1283&lt;=8))+--(AND(J1283&lt;&gt;"",J1283&lt;=8))+--(AND(K1283&lt;&gt;"",K1283&lt;=8))+--(AND(L1283&lt;&gt;"",L1283&lt;=8))+--(AND(M1283&lt;&gt;"",M1283&lt;=8))+--(AND(N1283&lt;&gt;"",N1283&lt;=8))+--(AND(O1283&lt;&gt;"",O1283&lt;=8)))</f>
        <v/>
      </c>
    </row>
    <row r="1284" customFormat="false" ht="15" hidden="false" customHeight="false" outlineLevel="0" collapsed="false">
      <c r="AZ1284" s="5" t="str">
        <f aca="false">IF($B1284="","",SUMPRODUCT(($AL1284:$AO1284&lt;&gt;"")*(COUNTIF($AP1284:$AX1284,$AL1284:$AO1284)&gt;0)))</f>
        <v/>
      </c>
      <c r="BA1284" s="5" t="str">
        <f aca="false">IF($B1284="","",IF(AZ1284&gt;0,1,0))</f>
        <v/>
      </c>
      <c r="BB1284" s="5" t="str">
        <f aca="false">IF($AP1284="","",IF((($AP1284="Engineering and Technology")+($AP1284="Science and Mathematics")+($AP1284="Computer Science, IT and Allied Fields")+($AP1284="Life Sciences /Medicine and Healthcare")+($AP1284="Paramedical")+($AP1284="Architecture")+($AP1284="Environmental Service")+($AP1284="Agriculture, Food Industry and Forestry"))&gt;0,"Science",IF((($AP1284="Banking and Finance")+($AP1284="Management and Administration")+($AP1284="Marketing")+($AP1284="Sales")+($AP1284="Entrepreneurship")+($AP1284="Hospitality and Tourism"))&gt;0,"Commerce",IF((($AP1284="Social Sciences and Humanities")+($AP1284="Law Studies")+($AP1284="Education and Training")+($AP1284="Art, Design")+($AP1284="Entertainment and Mass Media")+($AP1284="Community and Social Service")+($AP1284="Personal Care and Services")+($AP1284="Government and Public Administration")+($AP1284="Defence/ Protective Service")+($AP1284="Sports"))&gt;0,"Arts / Humanities",""))))</f>
        <v/>
      </c>
      <c r="BC1284" s="5" t="str">
        <f aca="false">IF($AL1284="","",IF((($AL1284="Engineering and Technology")+($AL1284="Science and Mathematics")+($AL1284="Computer Science, IT and Allied Fields")+($AL1284="Life Sciences /Medicine and Healthcare")+($AL1284="Paramedical")+($AL1284="Architecture")+($AL1284="Environmental Service")+($AL1284="Agriculture, Food Industry and Forestry"))&gt;0,"Science",IF((($AL1284="Banking and Finance")+($AL1284="Management and Administration")+($AL1284="Marketing")+($AL1284="Sales")+($AL1284="Entrepreneurship")+($AL1284="Hospitality and Tourism"))&gt;0,"Commerce",IF((($AL1284="Social Sciences and Humanities")+($AL1284="Law Studies")+($AL1284="Education and Training")+($AL1284="Art, Design")+($AL1284="Entertainment and Mass Media")+($AL1284="Community and Social Service")+($AL1284="Personal Care and Services")+($AL1284="Government and Public Administration")+($AL1284="Defence/ Protective Service")+($AL1284="Sports"))&gt;0,"Arts / Humanities",""))))</f>
        <v/>
      </c>
      <c r="BD1284" s="5" t="str">
        <f aca="false">IF($B1284="","",--(F1284&gt;=10)+--(G1284&gt;=10)+--(H1284&gt;=10)+--(I1284&gt;=10)+--(J1284&gt;=10)+--(K1284&gt;=10)+--(L1284&gt;=10)+--(M1284&gt;=10)+--(N1284&gt;=10)+--(O1284&gt;=10))</f>
        <v/>
      </c>
      <c r="BE1284" s="5" t="str">
        <f aca="false">IF($B1284="","",--(AND(F1284&lt;&gt;"",F1284&lt;=8))+--(AND(G1284&lt;&gt;"",G1284&lt;=8))+--(AND(H1284&lt;&gt;"",H1284&lt;=8))+--(AND(I1284&lt;&gt;"",I1284&lt;=8))+--(AND(J1284&lt;&gt;"",J1284&lt;=8))+--(AND(K1284&lt;&gt;"",K1284&lt;=8))+--(AND(L1284&lt;&gt;"",L1284&lt;=8))+--(AND(M1284&lt;&gt;"",M1284&lt;=8))+--(AND(N1284&lt;&gt;"",N1284&lt;=8))+--(AND(O1284&lt;&gt;"",O1284&lt;=8)))</f>
        <v/>
      </c>
    </row>
    <row r="1285" customFormat="false" ht="15" hidden="false" customHeight="false" outlineLevel="0" collapsed="false">
      <c r="AZ1285" s="5" t="str">
        <f aca="false">IF($B1285="","",SUMPRODUCT(($AL1285:$AO1285&lt;&gt;"")*(COUNTIF($AP1285:$AX1285,$AL1285:$AO1285)&gt;0)))</f>
        <v/>
      </c>
      <c r="BA1285" s="5" t="str">
        <f aca="false">IF($B1285="","",IF(AZ1285&gt;0,1,0))</f>
        <v/>
      </c>
      <c r="BB1285" s="5" t="str">
        <f aca="false">IF($AP1285="","",IF((($AP1285="Engineering and Technology")+($AP1285="Science and Mathematics")+($AP1285="Computer Science, IT and Allied Fields")+($AP1285="Life Sciences /Medicine and Healthcare")+($AP1285="Paramedical")+($AP1285="Architecture")+($AP1285="Environmental Service")+($AP1285="Agriculture, Food Industry and Forestry"))&gt;0,"Science",IF((($AP1285="Banking and Finance")+($AP1285="Management and Administration")+($AP1285="Marketing")+($AP1285="Sales")+($AP1285="Entrepreneurship")+($AP1285="Hospitality and Tourism"))&gt;0,"Commerce",IF((($AP1285="Social Sciences and Humanities")+($AP1285="Law Studies")+($AP1285="Education and Training")+($AP1285="Art, Design")+($AP1285="Entertainment and Mass Media")+($AP1285="Community and Social Service")+($AP1285="Personal Care and Services")+($AP1285="Government and Public Administration")+($AP1285="Defence/ Protective Service")+($AP1285="Sports"))&gt;0,"Arts / Humanities",""))))</f>
        <v/>
      </c>
      <c r="BC1285" s="5" t="str">
        <f aca="false">IF($AL1285="","",IF((($AL1285="Engineering and Technology")+($AL1285="Science and Mathematics")+($AL1285="Computer Science, IT and Allied Fields")+($AL1285="Life Sciences /Medicine and Healthcare")+($AL1285="Paramedical")+($AL1285="Architecture")+($AL1285="Environmental Service")+($AL1285="Agriculture, Food Industry and Forestry"))&gt;0,"Science",IF((($AL1285="Banking and Finance")+($AL1285="Management and Administration")+($AL1285="Marketing")+($AL1285="Sales")+($AL1285="Entrepreneurship")+($AL1285="Hospitality and Tourism"))&gt;0,"Commerce",IF((($AL1285="Social Sciences and Humanities")+($AL1285="Law Studies")+($AL1285="Education and Training")+($AL1285="Art, Design")+($AL1285="Entertainment and Mass Media")+($AL1285="Community and Social Service")+($AL1285="Personal Care and Services")+($AL1285="Government and Public Administration")+($AL1285="Defence/ Protective Service")+($AL1285="Sports"))&gt;0,"Arts / Humanities",""))))</f>
        <v/>
      </c>
      <c r="BD1285" s="5" t="str">
        <f aca="false">IF($B1285="","",--(F1285&gt;=10)+--(G1285&gt;=10)+--(H1285&gt;=10)+--(I1285&gt;=10)+--(J1285&gt;=10)+--(K1285&gt;=10)+--(L1285&gt;=10)+--(M1285&gt;=10)+--(N1285&gt;=10)+--(O1285&gt;=10))</f>
        <v/>
      </c>
      <c r="BE1285" s="5" t="str">
        <f aca="false">IF($B1285="","",--(AND(F1285&lt;&gt;"",F1285&lt;=8))+--(AND(G1285&lt;&gt;"",G1285&lt;=8))+--(AND(H1285&lt;&gt;"",H1285&lt;=8))+--(AND(I1285&lt;&gt;"",I1285&lt;=8))+--(AND(J1285&lt;&gt;"",J1285&lt;=8))+--(AND(K1285&lt;&gt;"",K1285&lt;=8))+--(AND(L1285&lt;&gt;"",L1285&lt;=8))+--(AND(M1285&lt;&gt;"",M1285&lt;=8))+--(AND(N1285&lt;&gt;"",N1285&lt;=8))+--(AND(O1285&lt;&gt;"",O1285&lt;=8)))</f>
        <v/>
      </c>
    </row>
    <row r="1286" customFormat="false" ht="15" hidden="false" customHeight="false" outlineLevel="0" collapsed="false">
      <c r="AZ1286" s="5" t="str">
        <f aca="false">IF($B1286="","",SUMPRODUCT(($AL1286:$AO1286&lt;&gt;"")*(COUNTIF($AP1286:$AX1286,$AL1286:$AO1286)&gt;0)))</f>
        <v/>
      </c>
      <c r="BA1286" s="5" t="str">
        <f aca="false">IF($B1286="","",IF(AZ1286&gt;0,1,0))</f>
        <v/>
      </c>
      <c r="BB1286" s="5" t="str">
        <f aca="false">IF($AP1286="","",IF((($AP1286="Engineering and Technology")+($AP1286="Science and Mathematics")+($AP1286="Computer Science, IT and Allied Fields")+($AP1286="Life Sciences /Medicine and Healthcare")+($AP1286="Paramedical")+($AP1286="Architecture")+($AP1286="Environmental Service")+($AP1286="Agriculture, Food Industry and Forestry"))&gt;0,"Science",IF((($AP1286="Banking and Finance")+($AP1286="Management and Administration")+($AP1286="Marketing")+($AP1286="Sales")+($AP1286="Entrepreneurship")+($AP1286="Hospitality and Tourism"))&gt;0,"Commerce",IF((($AP1286="Social Sciences and Humanities")+($AP1286="Law Studies")+($AP1286="Education and Training")+($AP1286="Art, Design")+($AP1286="Entertainment and Mass Media")+($AP1286="Community and Social Service")+($AP1286="Personal Care and Services")+($AP1286="Government and Public Administration")+($AP1286="Defence/ Protective Service")+($AP1286="Sports"))&gt;0,"Arts / Humanities",""))))</f>
        <v/>
      </c>
      <c r="BC1286" s="5" t="str">
        <f aca="false">IF($AL1286="","",IF((($AL1286="Engineering and Technology")+($AL1286="Science and Mathematics")+($AL1286="Computer Science, IT and Allied Fields")+($AL1286="Life Sciences /Medicine and Healthcare")+($AL1286="Paramedical")+($AL1286="Architecture")+($AL1286="Environmental Service")+($AL1286="Agriculture, Food Industry and Forestry"))&gt;0,"Science",IF((($AL1286="Banking and Finance")+($AL1286="Management and Administration")+($AL1286="Marketing")+($AL1286="Sales")+($AL1286="Entrepreneurship")+($AL1286="Hospitality and Tourism"))&gt;0,"Commerce",IF((($AL1286="Social Sciences and Humanities")+($AL1286="Law Studies")+($AL1286="Education and Training")+($AL1286="Art, Design")+($AL1286="Entertainment and Mass Media")+($AL1286="Community and Social Service")+($AL1286="Personal Care and Services")+($AL1286="Government and Public Administration")+($AL1286="Defence/ Protective Service")+($AL1286="Sports"))&gt;0,"Arts / Humanities",""))))</f>
        <v/>
      </c>
      <c r="BD1286" s="5" t="str">
        <f aca="false">IF($B1286="","",--(F1286&gt;=10)+--(G1286&gt;=10)+--(H1286&gt;=10)+--(I1286&gt;=10)+--(J1286&gt;=10)+--(K1286&gt;=10)+--(L1286&gt;=10)+--(M1286&gt;=10)+--(N1286&gt;=10)+--(O1286&gt;=10))</f>
        <v/>
      </c>
      <c r="BE1286" s="5" t="str">
        <f aca="false">IF($B1286="","",--(AND(F1286&lt;&gt;"",F1286&lt;=8))+--(AND(G1286&lt;&gt;"",G1286&lt;=8))+--(AND(H1286&lt;&gt;"",H1286&lt;=8))+--(AND(I1286&lt;&gt;"",I1286&lt;=8))+--(AND(J1286&lt;&gt;"",J1286&lt;=8))+--(AND(K1286&lt;&gt;"",K1286&lt;=8))+--(AND(L1286&lt;&gt;"",L1286&lt;=8))+--(AND(M1286&lt;&gt;"",M1286&lt;=8))+--(AND(N1286&lt;&gt;"",N1286&lt;=8))+--(AND(O1286&lt;&gt;"",O1286&lt;=8)))</f>
        <v/>
      </c>
    </row>
    <row r="1287" customFormat="false" ht="15" hidden="false" customHeight="false" outlineLevel="0" collapsed="false">
      <c r="AZ1287" s="5" t="str">
        <f aca="false">IF($B1287="","",SUMPRODUCT(($AL1287:$AO1287&lt;&gt;"")*(COUNTIF($AP1287:$AX1287,$AL1287:$AO1287)&gt;0)))</f>
        <v/>
      </c>
      <c r="BA1287" s="5" t="str">
        <f aca="false">IF($B1287="","",IF(AZ1287&gt;0,1,0))</f>
        <v/>
      </c>
      <c r="BB1287" s="5" t="str">
        <f aca="false">IF($AP1287="","",IF((($AP1287="Engineering and Technology")+($AP1287="Science and Mathematics")+($AP1287="Computer Science, IT and Allied Fields")+($AP1287="Life Sciences /Medicine and Healthcare")+($AP1287="Paramedical")+($AP1287="Architecture")+($AP1287="Environmental Service")+($AP1287="Agriculture, Food Industry and Forestry"))&gt;0,"Science",IF((($AP1287="Banking and Finance")+($AP1287="Management and Administration")+($AP1287="Marketing")+($AP1287="Sales")+($AP1287="Entrepreneurship")+($AP1287="Hospitality and Tourism"))&gt;0,"Commerce",IF((($AP1287="Social Sciences and Humanities")+($AP1287="Law Studies")+($AP1287="Education and Training")+($AP1287="Art, Design")+($AP1287="Entertainment and Mass Media")+($AP1287="Community and Social Service")+($AP1287="Personal Care and Services")+($AP1287="Government and Public Administration")+($AP1287="Defence/ Protective Service")+($AP1287="Sports"))&gt;0,"Arts / Humanities",""))))</f>
        <v/>
      </c>
      <c r="BC1287" s="5" t="str">
        <f aca="false">IF($AL1287="","",IF((($AL1287="Engineering and Technology")+($AL1287="Science and Mathematics")+($AL1287="Computer Science, IT and Allied Fields")+($AL1287="Life Sciences /Medicine and Healthcare")+($AL1287="Paramedical")+($AL1287="Architecture")+($AL1287="Environmental Service")+($AL1287="Agriculture, Food Industry and Forestry"))&gt;0,"Science",IF((($AL1287="Banking and Finance")+($AL1287="Management and Administration")+($AL1287="Marketing")+($AL1287="Sales")+($AL1287="Entrepreneurship")+($AL1287="Hospitality and Tourism"))&gt;0,"Commerce",IF((($AL1287="Social Sciences and Humanities")+($AL1287="Law Studies")+($AL1287="Education and Training")+($AL1287="Art, Design")+($AL1287="Entertainment and Mass Media")+($AL1287="Community and Social Service")+($AL1287="Personal Care and Services")+($AL1287="Government and Public Administration")+($AL1287="Defence/ Protective Service")+($AL1287="Sports"))&gt;0,"Arts / Humanities",""))))</f>
        <v/>
      </c>
      <c r="BD1287" s="5" t="str">
        <f aca="false">IF($B1287="","",--(F1287&gt;=10)+--(G1287&gt;=10)+--(H1287&gt;=10)+--(I1287&gt;=10)+--(J1287&gt;=10)+--(K1287&gt;=10)+--(L1287&gt;=10)+--(M1287&gt;=10)+--(N1287&gt;=10)+--(O1287&gt;=10))</f>
        <v/>
      </c>
      <c r="BE1287" s="5" t="str">
        <f aca="false">IF($B1287="","",--(AND(F1287&lt;&gt;"",F1287&lt;=8))+--(AND(G1287&lt;&gt;"",G1287&lt;=8))+--(AND(H1287&lt;&gt;"",H1287&lt;=8))+--(AND(I1287&lt;&gt;"",I1287&lt;=8))+--(AND(J1287&lt;&gt;"",J1287&lt;=8))+--(AND(K1287&lt;&gt;"",K1287&lt;=8))+--(AND(L1287&lt;&gt;"",L1287&lt;=8))+--(AND(M1287&lt;&gt;"",M1287&lt;=8))+--(AND(N1287&lt;&gt;"",N1287&lt;=8))+--(AND(O1287&lt;&gt;"",O1287&lt;=8)))</f>
        <v/>
      </c>
    </row>
    <row r="1288" customFormat="false" ht="15" hidden="false" customHeight="false" outlineLevel="0" collapsed="false">
      <c r="AZ1288" s="5" t="str">
        <f aca="false">IF($B1288="","",SUMPRODUCT(($AL1288:$AO1288&lt;&gt;"")*(COUNTIF($AP1288:$AX1288,$AL1288:$AO1288)&gt;0)))</f>
        <v/>
      </c>
      <c r="BA1288" s="5" t="str">
        <f aca="false">IF($B1288="","",IF(AZ1288&gt;0,1,0))</f>
        <v/>
      </c>
      <c r="BB1288" s="5" t="str">
        <f aca="false">IF($AP1288="","",IF((($AP1288="Engineering and Technology")+($AP1288="Science and Mathematics")+($AP1288="Computer Science, IT and Allied Fields")+($AP1288="Life Sciences /Medicine and Healthcare")+($AP1288="Paramedical")+($AP1288="Architecture")+($AP1288="Environmental Service")+($AP1288="Agriculture, Food Industry and Forestry"))&gt;0,"Science",IF((($AP1288="Banking and Finance")+($AP1288="Management and Administration")+($AP1288="Marketing")+($AP1288="Sales")+($AP1288="Entrepreneurship")+($AP1288="Hospitality and Tourism"))&gt;0,"Commerce",IF((($AP1288="Social Sciences and Humanities")+($AP1288="Law Studies")+($AP1288="Education and Training")+($AP1288="Art, Design")+($AP1288="Entertainment and Mass Media")+($AP1288="Community and Social Service")+($AP1288="Personal Care and Services")+($AP1288="Government and Public Administration")+($AP1288="Defence/ Protective Service")+($AP1288="Sports"))&gt;0,"Arts / Humanities",""))))</f>
        <v/>
      </c>
      <c r="BC1288" s="5" t="str">
        <f aca="false">IF($AL1288="","",IF((($AL1288="Engineering and Technology")+($AL1288="Science and Mathematics")+($AL1288="Computer Science, IT and Allied Fields")+($AL1288="Life Sciences /Medicine and Healthcare")+($AL1288="Paramedical")+($AL1288="Architecture")+($AL1288="Environmental Service")+($AL1288="Agriculture, Food Industry and Forestry"))&gt;0,"Science",IF((($AL1288="Banking and Finance")+($AL1288="Management and Administration")+($AL1288="Marketing")+($AL1288="Sales")+($AL1288="Entrepreneurship")+($AL1288="Hospitality and Tourism"))&gt;0,"Commerce",IF((($AL1288="Social Sciences and Humanities")+($AL1288="Law Studies")+($AL1288="Education and Training")+($AL1288="Art, Design")+($AL1288="Entertainment and Mass Media")+($AL1288="Community and Social Service")+($AL1288="Personal Care and Services")+($AL1288="Government and Public Administration")+($AL1288="Defence/ Protective Service")+($AL1288="Sports"))&gt;0,"Arts / Humanities",""))))</f>
        <v/>
      </c>
      <c r="BD1288" s="5" t="str">
        <f aca="false">IF($B1288="","",--(F1288&gt;=10)+--(G1288&gt;=10)+--(H1288&gt;=10)+--(I1288&gt;=10)+--(J1288&gt;=10)+--(K1288&gt;=10)+--(L1288&gt;=10)+--(M1288&gt;=10)+--(N1288&gt;=10)+--(O1288&gt;=10))</f>
        <v/>
      </c>
      <c r="BE1288" s="5" t="str">
        <f aca="false">IF($B1288="","",--(AND(F1288&lt;&gt;"",F1288&lt;=8))+--(AND(G1288&lt;&gt;"",G1288&lt;=8))+--(AND(H1288&lt;&gt;"",H1288&lt;=8))+--(AND(I1288&lt;&gt;"",I1288&lt;=8))+--(AND(J1288&lt;&gt;"",J1288&lt;=8))+--(AND(K1288&lt;&gt;"",K1288&lt;=8))+--(AND(L1288&lt;&gt;"",L1288&lt;=8))+--(AND(M1288&lt;&gt;"",M1288&lt;=8))+--(AND(N1288&lt;&gt;"",N1288&lt;=8))+--(AND(O1288&lt;&gt;"",O1288&lt;=8)))</f>
        <v/>
      </c>
    </row>
    <row r="1289" customFormat="false" ht="15" hidden="false" customHeight="false" outlineLevel="0" collapsed="false">
      <c r="AZ1289" s="5" t="str">
        <f aca="false">IF($B1289="","",SUMPRODUCT(($AL1289:$AO1289&lt;&gt;"")*(COUNTIF($AP1289:$AX1289,$AL1289:$AO1289)&gt;0)))</f>
        <v/>
      </c>
      <c r="BA1289" s="5" t="str">
        <f aca="false">IF($B1289="","",IF(AZ1289&gt;0,1,0))</f>
        <v/>
      </c>
      <c r="BB1289" s="5" t="str">
        <f aca="false">IF($AP1289="","",IF((($AP1289="Engineering and Technology")+($AP1289="Science and Mathematics")+($AP1289="Computer Science, IT and Allied Fields")+($AP1289="Life Sciences /Medicine and Healthcare")+($AP1289="Paramedical")+($AP1289="Architecture")+($AP1289="Environmental Service")+($AP1289="Agriculture, Food Industry and Forestry"))&gt;0,"Science",IF((($AP1289="Banking and Finance")+($AP1289="Management and Administration")+($AP1289="Marketing")+($AP1289="Sales")+($AP1289="Entrepreneurship")+($AP1289="Hospitality and Tourism"))&gt;0,"Commerce",IF((($AP1289="Social Sciences and Humanities")+($AP1289="Law Studies")+($AP1289="Education and Training")+($AP1289="Art, Design")+($AP1289="Entertainment and Mass Media")+($AP1289="Community and Social Service")+($AP1289="Personal Care and Services")+($AP1289="Government and Public Administration")+($AP1289="Defence/ Protective Service")+($AP1289="Sports"))&gt;0,"Arts / Humanities",""))))</f>
        <v/>
      </c>
      <c r="BC1289" s="5" t="str">
        <f aca="false">IF($AL1289="","",IF((($AL1289="Engineering and Technology")+($AL1289="Science and Mathematics")+($AL1289="Computer Science, IT and Allied Fields")+($AL1289="Life Sciences /Medicine and Healthcare")+($AL1289="Paramedical")+($AL1289="Architecture")+($AL1289="Environmental Service")+($AL1289="Agriculture, Food Industry and Forestry"))&gt;0,"Science",IF((($AL1289="Banking and Finance")+($AL1289="Management and Administration")+($AL1289="Marketing")+($AL1289="Sales")+($AL1289="Entrepreneurship")+($AL1289="Hospitality and Tourism"))&gt;0,"Commerce",IF((($AL1289="Social Sciences and Humanities")+($AL1289="Law Studies")+($AL1289="Education and Training")+($AL1289="Art, Design")+($AL1289="Entertainment and Mass Media")+($AL1289="Community and Social Service")+($AL1289="Personal Care and Services")+($AL1289="Government and Public Administration")+($AL1289="Defence/ Protective Service")+($AL1289="Sports"))&gt;0,"Arts / Humanities",""))))</f>
        <v/>
      </c>
      <c r="BD1289" s="5" t="str">
        <f aca="false">IF($B1289="","",--(F1289&gt;=10)+--(G1289&gt;=10)+--(H1289&gt;=10)+--(I1289&gt;=10)+--(J1289&gt;=10)+--(K1289&gt;=10)+--(L1289&gt;=10)+--(M1289&gt;=10)+--(N1289&gt;=10)+--(O1289&gt;=10))</f>
        <v/>
      </c>
      <c r="BE1289" s="5" t="str">
        <f aca="false">IF($B1289="","",--(AND(F1289&lt;&gt;"",F1289&lt;=8))+--(AND(G1289&lt;&gt;"",G1289&lt;=8))+--(AND(H1289&lt;&gt;"",H1289&lt;=8))+--(AND(I1289&lt;&gt;"",I1289&lt;=8))+--(AND(J1289&lt;&gt;"",J1289&lt;=8))+--(AND(K1289&lt;&gt;"",K1289&lt;=8))+--(AND(L1289&lt;&gt;"",L1289&lt;=8))+--(AND(M1289&lt;&gt;"",M1289&lt;=8))+--(AND(N1289&lt;&gt;"",N1289&lt;=8))+--(AND(O1289&lt;&gt;"",O1289&lt;=8)))</f>
        <v/>
      </c>
    </row>
    <row r="1290" customFormat="false" ht="15" hidden="false" customHeight="false" outlineLevel="0" collapsed="false">
      <c r="AZ1290" s="5" t="str">
        <f aca="false">IF($B1290="","",SUMPRODUCT(($AL1290:$AO1290&lt;&gt;"")*(COUNTIF($AP1290:$AX1290,$AL1290:$AO1290)&gt;0)))</f>
        <v/>
      </c>
      <c r="BA1290" s="5" t="str">
        <f aca="false">IF($B1290="","",IF(AZ1290&gt;0,1,0))</f>
        <v/>
      </c>
      <c r="BB1290" s="5" t="str">
        <f aca="false">IF($AP1290="","",IF((($AP1290="Engineering and Technology")+($AP1290="Science and Mathematics")+($AP1290="Computer Science, IT and Allied Fields")+($AP1290="Life Sciences /Medicine and Healthcare")+($AP1290="Paramedical")+($AP1290="Architecture")+($AP1290="Environmental Service")+($AP1290="Agriculture, Food Industry and Forestry"))&gt;0,"Science",IF((($AP1290="Banking and Finance")+($AP1290="Management and Administration")+($AP1290="Marketing")+($AP1290="Sales")+($AP1290="Entrepreneurship")+($AP1290="Hospitality and Tourism"))&gt;0,"Commerce",IF((($AP1290="Social Sciences and Humanities")+($AP1290="Law Studies")+($AP1290="Education and Training")+($AP1290="Art, Design")+($AP1290="Entertainment and Mass Media")+($AP1290="Community and Social Service")+($AP1290="Personal Care and Services")+($AP1290="Government and Public Administration")+($AP1290="Defence/ Protective Service")+($AP1290="Sports"))&gt;0,"Arts / Humanities",""))))</f>
        <v/>
      </c>
      <c r="BC1290" s="5" t="str">
        <f aca="false">IF($AL1290="","",IF((($AL1290="Engineering and Technology")+($AL1290="Science and Mathematics")+($AL1290="Computer Science, IT and Allied Fields")+($AL1290="Life Sciences /Medicine and Healthcare")+($AL1290="Paramedical")+($AL1290="Architecture")+($AL1290="Environmental Service")+($AL1290="Agriculture, Food Industry and Forestry"))&gt;0,"Science",IF((($AL1290="Banking and Finance")+($AL1290="Management and Administration")+($AL1290="Marketing")+($AL1290="Sales")+($AL1290="Entrepreneurship")+($AL1290="Hospitality and Tourism"))&gt;0,"Commerce",IF((($AL1290="Social Sciences and Humanities")+($AL1290="Law Studies")+($AL1290="Education and Training")+($AL1290="Art, Design")+($AL1290="Entertainment and Mass Media")+($AL1290="Community and Social Service")+($AL1290="Personal Care and Services")+($AL1290="Government and Public Administration")+($AL1290="Defence/ Protective Service")+($AL1290="Sports"))&gt;0,"Arts / Humanities",""))))</f>
        <v/>
      </c>
      <c r="BD1290" s="5" t="str">
        <f aca="false">IF($B1290="","",--(F1290&gt;=10)+--(G1290&gt;=10)+--(H1290&gt;=10)+--(I1290&gt;=10)+--(J1290&gt;=10)+--(K1290&gt;=10)+--(L1290&gt;=10)+--(M1290&gt;=10)+--(N1290&gt;=10)+--(O1290&gt;=10))</f>
        <v/>
      </c>
      <c r="BE1290" s="5" t="str">
        <f aca="false">IF($B1290="","",--(AND(F1290&lt;&gt;"",F1290&lt;=8))+--(AND(G1290&lt;&gt;"",G1290&lt;=8))+--(AND(H1290&lt;&gt;"",H1290&lt;=8))+--(AND(I1290&lt;&gt;"",I1290&lt;=8))+--(AND(J1290&lt;&gt;"",J1290&lt;=8))+--(AND(K1290&lt;&gt;"",K1290&lt;=8))+--(AND(L1290&lt;&gt;"",L1290&lt;=8))+--(AND(M1290&lt;&gt;"",M1290&lt;=8))+--(AND(N1290&lt;&gt;"",N1290&lt;=8))+--(AND(O1290&lt;&gt;"",O1290&lt;=8)))</f>
        <v/>
      </c>
    </row>
    <row r="1291" customFormat="false" ht="15" hidden="false" customHeight="false" outlineLevel="0" collapsed="false">
      <c r="AZ1291" s="5" t="str">
        <f aca="false">IF($B1291="","",SUMPRODUCT(($AL1291:$AO1291&lt;&gt;"")*(COUNTIF($AP1291:$AX1291,$AL1291:$AO1291)&gt;0)))</f>
        <v/>
      </c>
      <c r="BA1291" s="5" t="str">
        <f aca="false">IF($B1291="","",IF(AZ1291&gt;0,1,0))</f>
        <v/>
      </c>
      <c r="BB1291" s="5" t="str">
        <f aca="false">IF($AP1291="","",IF((($AP1291="Engineering and Technology")+($AP1291="Science and Mathematics")+($AP1291="Computer Science, IT and Allied Fields")+($AP1291="Life Sciences /Medicine and Healthcare")+($AP1291="Paramedical")+($AP1291="Architecture")+($AP1291="Environmental Service")+($AP1291="Agriculture, Food Industry and Forestry"))&gt;0,"Science",IF((($AP1291="Banking and Finance")+($AP1291="Management and Administration")+($AP1291="Marketing")+($AP1291="Sales")+($AP1291="Entrepreneurship")+($AP1291="Hospitality and Tourism"))&gt;0,"Commerce",IF((($AP1291="Social Sciences and Humanities")+($AP1291="Law Studies")+($AP1291="Education and Training")+($AP1291="Art, Design")+($AP1291="Entertainment and Mass Media")+($AP1291="Community and Social Service")+($AP1291="Personal Care and Services")+($AP1291="Government and Public Administration")+($AP1291="Defence/ Protective Service")+($AP1291="Sports"))&gt;0,"Arts / Humanities",""))))</f>
        <v/>
      </c>
      <c r="BC1291" s="5" t="str">
        <f aca="false">IF($AL1291="","",IF((($AL1291="Engineering and Technology")+($AL1291="Science and Mathematics")+($AL1291="Computer Science, IT and Allied Fields")+($AL1291="Life Sciences /Medicine and Healthcare")+($AL1291="Paramedical")+($AL1291="Architecture")+($AL1291="Environmental Service")+($AL1291="Agriculture, Food Industry and Forestry"))&gt;0,"Science",IF((($AL1291="Banking and Finance")+($AL1291="Management and Administration")+($AL1291="Marketing")+($AL1291="Sales")+($AL1291="Entrepreneurship")+($AL1291="Hospitality and Tourism"))&gt;0,"Commerce",IF((($AL1291="Social Sciences and Humanities")+($AL1291="Law Studies")+($AL1291="Education and Training")+($AL1291="Art, Design")+($AL1291="Entertainment and Mass Media")+($AL1291="Community and Social Service")+($AL1291="Personal Care and Services")+($AL1291="Government and Public Administration")+($AL1291="Defence/ Protective Service")+($AL1291="Sports"))&gt;0,"Arts / Humanities",""))))</f>
        <v/>
      </c>
      <c r="BD1291" s="5" t="str">
        <f aca="false">IF($B1291="","",--(F1291&gt;=10)+--(G1291&gt;=10)+--(H1291&gt;=10)+--(I1291&gt;=10)+--(J1291&gt;=10)+--(K1291&gt;=10)+--(L1291&gt;=10)+--(M1291&gt;=10)+--(N1291&gt;=10)+--(O1291&gt;=10))</f>
        <v/>
      </c>
      <c r="BE1291" s="5" t="str">
        <f aca="false">IF($B1291="","",--(AND(F1291&lt;&gt;"",F1291&lt;=8))+--(AND(G1291&lt;&gt;"",G1291&lt;=8))+--(AND(H1291&lt;&gt;"",H1291&lt;=8))+--(AND(I1291&lt;&gt;"",I1291&lt;=8))+--(AND(J1291&lt;&gt;"",J1291&lt;=8))+--(AND(K1291&lt;&gt;"",K1291&lt;=8))+--(AND(L1291&lt;&gt;"",L1291&lt;=8))+--(AND(M1291&lt;&gt;"",M1291&lt;=8))+--(AND(N1291&lt;&gt;"",N1291&lt;=8))+--(AND(O1291&lt;&gt;"",O1291&lt;=8)))</f>
        <v/>
      </c>
    </row>
    <row r="1292" customFormat="false" ht="15" hidden="false" customHeight="false" outlineLevel="0" collapsed="false">
      <c r="AZ1292" s="5" t="str">
        <f aca="false">IF($B1292="","",SUMPRODUCT(($AL1292:$AO1292&lt;&gt;"")*(COUNTIF($AP1292:$AX1292,$AL1292:$AO1292)&gt;0)))</f>
        <v/>
      </c>
      <c r="BA1292" s="5" t="str">
        <f aca="false">IF($B1292="","",IF(AZ1292&gt;0,1,0))</f>
        <v/>
      </c>
      <c r="BB1292" s="5" t="str">
        <f aca="false">IF($AP1292="","",IF((($AP1292="Engineering and Technology")+($AP1292="Science and Mathematics")+($AP1292="Computer Science, IT and Allied Fields")+($AP1292="Life Sciences /Medicine and Healthcare")+($AP1292="Paramedical")+($AP1292="Architecture")+($AP1292="Environmental Service")+($AP1292="Agriculture, Food Industry and Forestry"))&gt;0,"Science",IF((($AP1292="Banking and Finance")+($AP1292="Management and Administration")+($AP1292="Marketing")+($AP1292="Sales")+($AP1292="Entrepreneurship")+($AP1292="Hospitality and Tourism"))&gt;0,"Commerce",IF((($AP1292="Social Sciences and Humanities")+($AP1292="Law Studies")+($AP1292="Education and Training")+($AP1292="Art, Design")+($AP1292="Entertainment and Mass Media")+($AP1292="Community and Social Service")+($AP1292="Personal Care and Services")+($AP1292="Government and Public Administration")+($AP1292="Defence/ Protective Service")+($AP1292="Sports"))&gt;0,"Arts / Humanities",""))))</f>
        <v/>
      </c>
      <c r="BC1292" s="5" t="str">
        <f aca="false">IF($AL1292="","",IF((($AL1292="Engineering and Technology")+($AL1292="Science and Mathematics")+($AL1292="Computer Science, IT and Allied Fields")+($AL1292="Life Sciences /Medicine and Healthcare")+($AL1292="Paramedical")+($AL1292="Architecture")+($AL1292="Environmental Service")+($AL1292="Agriculture, Food Industry and Forestry"))&gt;0,"Science",IF((($AL1292="Banking and Finance")+($AL1292="Management and Administration")+($AL1292="Marketing")+($AL1292="Sales")+($AL1292="Entrepreneurship")+($AL1292="Hospitality and Tourism"))&gt;0,"Commerce",IF((($AL1292="Social Sciences and Humanities")+($AL1292="Law Studies")+($AL1292="Education and Training")+($AL1292="Art, Design")+($AL1292="Entertainment and Mass Media")+($AL1292="Community and Social Service")+($AL1292="Personal Care and Services")+($AL1292="Government and Public Administration")+($AL1292="Defence/ Protective Service")+($AL1292="Sports"))&gt;0,"Arts / Humanities",""))))</f>
        <v/>
      </c>
      <c r="BD1292" s="5" t="str">
        <f aca="false">IF($B1292="","",--(F1292&gt;=10)+--(G1292&gt;=10)+--(H1292&gt;=10)+--(I1292&gt;=10)+--(J1292&gt;=10)+--(K1292&gt;=10)+--(L1292&gt;=10)+--(M1292&gt;=10)+--(N1292&gt;=10)+--(O1292&gt;=10))</f>
        <v/>
      </c>
      <c r="BE1292" s="5" t="str">
        <f aca="false">IF($B1292="","",--(AND(F1292&lt;&gt;"",F1292&lt;=8))+--(AND(G1292&lt;&gt;"",G1292&lt;=8))+--(AND(H1292&lt;&gt;"",H1292&lt;=8))+--(AND(I1292&lt;&gt;"",I1292&lt;=8))+--(AND(J1292&lt;&gt;"",J1292&lt;=8))+--(AND(K1292&lt;&gt;"",K1292&lt;=8))+--(AND(L1292&lt;&gt;"",L1292&lt;=8))+--(AND(M1292&lt;&gt;"",M1292&lt;=8))+--(AND(N1292&lt;&gt;"",N1292&lt;=8))+--(AND(O1292&lt;&gt;"",O1292&lt;=8)))</f>
        <v/>
      </c>
    </row>
    <row r="1293" customFormat="false" ht="15" hidden="false" customHeight="false" outlineLevel="0" collapsed="false">
      <c r="AZ1293" s="5" t="str">
        <f aca="false">IF($B1293="","",SUMPRODUCT(($AL1293:$AO1293&lt;&gt;"")*(COUNTIF($AP1293:$AX1293,$AL1293:$AO1293)&gt;0)))</f>
        <v/>
      </c>
      <c r="BA1293" s="5" t="str">
        <f aca="false">IF($B1293="","",IF(AZ1293&gt;0,1,0))</f>
        <v/>
      </c>
      <c r="BB1293" s="5" t="str">
        <f aca="false">IF($AP1293="","",IF((($AP1293="Engineering and Technology")+($AP1293="Science and Mathematics")+($AP1293="Computer Science, IT and Allied Fields")+($AP1293="Life Sciences /Medicine and Healthcare")+($AP1293="Paramedical")+($AP1293="Architecture")+($AP1293="Environmental Service")+($AP1293="Agriculture, Food Industry and Forestry"))&gt;0,"Science",IF((($AP1293="Banking and Finance")+($AP1293="Management and Administration")+($AP1293="Marketing")+($AP1293="Sales")+($AP1293="Entrepreneurship")+($AP1293="Hospitality and Tourism"))&gt;0,"Commerce",IF((($AP1293="Social Sciences and Humanities")+($AP1293="Law Studies")+($AP1293="Education and Training")+($AP1293="Art, Design")+($AP1293="Entertainment and Mass Media")+($AP1293="Community and Social Service")+($AP1293="Personal Care and Services")+($AP1293="Government and Public Administration")+($AP1293="Defence/ Protective Service")+($AP1293="Sports"))&gt;0,"Arts / Humanities",""))))</f>
        <v/>
      </c>
      <c r="BC1293" s="5" t="str">
        <f aca="false">IF($AL1293="","",IF((($AL1293="Engineering and Technology")+($AL1293="Science and Mathematics")+($AL1293="Computer Science, IT and Allied Fields")+($AL1293="Life Sciences /Medicine and Healthcare")+($AL1293="Paramedical")+($AL1293="Architecture")+($AL1293="Environmental Service")+($AL1293="Agriculture, Food Industry and Forestry"))&gt;0,"Science",IF((($AL1293="Banking and Finance")+($AL1293="Management and Administration")+($AL1293="Marketing")+($AL1293="Sales")+($AL1293="Entrepreneurship")+($AL1293="Hospitality and Tourism"))&gt;0,"Commerce",IF((($AL1293="Social Sciences and Humanities")+($AL1293="Law Studies")+($AL1293="Education and Training")+($AL1293="Art, Design")+($AL1293="Entertainment and Mass Media")+($AL1293="Community and Social Service")+($AL1293="Personal Care and Services")+($AL1293="Government and Public Administration")+($AL1293="Defence/ Protective Service")+($AL1293="Sports"))&gt;0,"Arts / Humanities",""))))</f>
        <v/>
      </c>
      <c r="BD1293" s="5" t="str">
        <f aca="false">IF($B1293="","",--(F1293&gt;=10)+--(G1293&gt;=10)+--(H1293&gt;=10)+--(I1293&gt;=10)+--(J1293&gt;=10)+--(K1293&gt;=10)+--(L1293&gt;=10)+--(M1293&gt;=10)+--(N1293&gt;=10)+--(O1293&gt;=10))</f>
        <v/>
      </c>
      <c r="BE1293" s="5" t="str">
        <f aca="false">IF($B1293="","",--(AND(F1293&lt;&gt;"",F1293&lt;=8))+--(AND(G1293&lt;&gt;"",G1293&lt;=8))+--(AND(H1293&lt;&gt;"",H1293&lt;=8))+--(AND(I1293&lt;&gt;"",I1293&lt;=8))+--(AND(J1293&lt;&gt;"",J1293&lt;=8))+--(AND(K1293&lt;&gt;"",K1293&lt;=8))+--(AND(L1293&lt;&gt;"",L1293&lt;=8))+--(AND(M1293&lt;&gt;"",M1293&lt;=8))+--(AND(N1293&lt;&gt;"",N1293&lt;=8))+--(AND(O1293&lt;&gt;"",O1293&lt;=8)))</f>
        <v/>
      </c>
    </row>
    <row r="1294" customFormat="false" ht="15" hidden="false" customHeight="false" outlineLevel="0" collapsed="false">
      <c r="AZ1294" s="5" t="str">
        <f aca="false">IF($B1294="","",SUMPRODUCT(($AL1294:$AO1294&lt;&gt;"")*(COUNTIF($AP1294:$AX1294,$AL1294:$AO1294)&gt;0)))</f>
        <v/>
      </c>
      <c r="BA1294" s="5" t="str">
        <f aca="false">IF($B1294="","",IF(AZ1294&gt;0,1,0))</f>
        <v/>
      </c>
      <c r="BB1294" s="5" t="str">
        <f aca="false">IF($AP1294="","",IF((($AP1294="Engineering and Technology")+($AP1294="Science and Mathematics")+($AP1294="Computer Science, IT and Allied Fields")+($AP1294="Life Sciences /Medicine and Healthcare")+($AP1294="Paramedical")+($AP1294="Architecture")+($AP1294="Environmental Service")+($AP1294="Agriculture, Food Industry and Forestry"))&gt;0,"Science",IF((($AP1294="Banking and Finance")+($AP1294="Management and Administration")+($AP1294="Marketing")+($AP1294="Sales")+($AP1294="Entrepreneurship")+($AP1294="Hospitality and Tourism"))&gt;0,"Commerce",IF((($AP1294="Social Sciences and Humanities")+($AP1294="Law Studies")+($AP1294="Education and Training")+($AP1294="Art, Design")+($AP1294="Entertainment and Mass Media")+($AP1294="Community and Social Service")+($AP1294="Personal Care and Services")+($AP1294="Government and Public Administration")+($AP1294="Defence/ Protective Service")+($AP1294="Sports"))&gt;0,"Arts / Humanities",""))))</f>
        <v/>
      </c>
      <c r="BC1294" s="5" t="str">
        <f aca="false">IF($AL1294="","",IF((($AL1294="Engineering and Technology")+($AL1294="Science and Mathematics")+($AL1294="Computer Science, IT and Allied Fields")+($AL1294="Life Sciences /Medicine and Healthcare")+($AL1294="Paramedical")+($AL1294="Architecture")+($AL1294="Environmental Service")+($AL1294="Agriculture, Food Industry and Forestry"))&gt;0,"Science",IF((($AL1294="Banking and Finance")+($AL1294="Management and Administration")+($AL1294="Marketing")+($AL1294="Sales")+($AL1294="Entrepreneurship")+($AL1294="Hospitality and Tourism"))&gt;0,"Commerce",IF((($AL1294="Social Sciences and Humanities")+($AL1294="Law Studies")+($AL1294="Education and Training")+($AL1294="Art, Design")+($AL1294="Entertainment and Mass Media")+($AL1294="Community and Social Service")+($AL1294="Personal Care and Services")+($AL1294="Government and Public Administration")+($AL1294="Defence/ Protective Service")+($AL1294="Sports"))&gt;0,"Arts / Humanities",""))))</f>
        <v/>
      </c>
      <c r="BD1294" s="5" t="str">
        <f aca="false">IF($B1294="","",--(F1294&gt;=10)+--(G1294&gt;=10)+--(H1294&gt;=10)+--(I1294&gt;=10)+--(J1294&gt;=10)+--(K1294&gt;=10)+--(L1294&gt;=10)+--(M1294&gt;=10)+--(N1294&gt;=10)+--(O1294&gt;=10))</f>
        <v/>
      </c>
      <c r="BE1294" s="5" t="str">
        <f aca="false">IF($B1294="","",--(AND(F1294&lt;&gt;"",F1294&lt;=8))+--(AND(G1294&lt;&gt;"",G1294&lt;=8))+--(AND(H1294&lt;&gt;"",H1294&lt;=8))+--(AND(I1294&lt;&gt;"",I1294&lt;=8))+--(AND(J1294&lt;&gt;"",J1294&lt;=8))+--(AND(K1294&lt;&gt;"",K1294&lt;=8))+--(AND(L1294&lt;&gt;"",L1294&lt;=8))+--(AND(M1294&lt;&gt;"",M1294&lt;=8))+--(AND(N1294&lt;&gt;"",N1294&lt;=8))+--(AND(O1294&lt;&gt;"",O1294&lt;=8)))</f>
        <v/>
      </c>
    </row>
    <row r="1295" customFormat="false" ht="15" hidden="false" customHeight="false" outlineLevel="0" collapsed="false">
      <c r="AZ1295" s="5" t="str">
        <f aca="false">IF($B1295="","",SUMPRODUCT(($AL1295:$AO1295&lt;&gt;"")*(COUNTIF($AP1295:$AX1295,$AL1295:$AO1295)&gt;0)))</f>
        <v/>
      </c>
      <c r="BA1295" s="5" t="str">
        <f aca="false">IF($B1295="","",IF(AZ1295&gt;0,1,0))</f>
        <v/>
      </c>
      <c r="BB1295" s="5" t="str">
        <f aca="false">IF($AP1295="","",IF((($AP1295="Engineering and Technology")+($AP1295="Science and Mathematics")+($AP1295="Computer Science, IT and Allied Fields")+($AP1295="Life Sciences /Medicine and Healthcare")+($AP1295="Paramedical")+($AP1295="Architecture")+($AP1295="Environmental Service")+($AP1295="Agriculture, Food Industry and Forestry"))&gt;0,"Science",IF((($AP1295="Banking and Finance")+($AP1295="Management and Administration")+($AP1295="Marketing")+($AP1295="Sales")+($AP1295="Entrepreneurship")+($AP1295="Hospitality and Tourism"))&gt;0,"Commerce",IF((($AP1295="Social Sciences and Humanities")+($AP1295="Law Studies")+($AP1295="Education and Training")+($AP1295="Art, Design")+($AP1295="Entertainment and Mass Media")+($AP1295="Community and Social Service")+($AP1295="Personal Care and Services")+($AP1295="Government and Public Administration")+($AP1295="Defence/ Protective Service")+($AP1295="Sports"))&gt;0,"Arts / Humanities",""))))</f>
        <v/>
      </c>
      <c r="BC1295" s="5" t="str">
        <f aca="false">IF($AL1295="","",IF((($AL1295="Engineering and Technology")+($AL1295="Science and Mathematics")+($AL1295="Computer Science, IT and Allied Fields")+($AL1295="Life Sciences /Medicine and Healthcare")+($AL1295="Paramedical")+($AL1295="Architecture")+($AL1295="Environmental Service")+($AL1295="Agriculture, Food Industry and Forestry"))&gt;0,"Science",IF((($AL1295="Banking and Finance")+($AL1295="Management and Administration")+($AL1295="Marketing")+($AL1295="Sales")+($AL1295="Entrepreneurship")+($AL1295="Hospitality and Tourism"))&gt;0,"Commerce",IF((($AL1295="Social Sciences and Humanities")+($AL1295="Law Studies")+($AL1295="Education and Training")+($AL1295="Art, Design")+($AL1295="Entertainment and Mass Media")+($AL1295="Community and Social Service")+($AL1295="Personal Care and Services")+($AL1295="Government and Public Administration")+($AL1295="Defence/ Protective Service")+($AL1295="Sports"))&gt;0,"Arts / Humanities",""))))</f>
        <v/>
      </c>
      <c r="BD1295" s="5" t="str">
        <f aca="false">IF($B1295="","",--(F1295&gt;=10)+--(G1295&gt;=10)+--(H1295&gt;=10)+--(I1295&gt;=10)+--(J1295&gt;=10)+--(K1295&gt;=10)+--(L1295&gt;=10)+--(M1295&gt;=10)+--(N1295&gt;=10)+--(O1295&gt;=10))</f>
        <v/>
      </c>
      <c r="BE1295" s="5" t="str">
        <f aca="false">IF($B1295="","",--(AND(F1295&lt;&gt;"",F1295&lt;=8))+--(AND(G1295&lt;&gt;"",G1295&lt;=8))+--(AND(H1295&lt;&gt;"",H1295&lt;=8))+--(AND(I1295&lt;&gt;"",I1295&lt;=8))+--(AND(J1295&lt;&gt;"",J1295&lt;=8))+--(AND(K1295&lt;&gt;"",K1295&lt;=8))+--(AND(L1295&lt;&gt;"",L1295&lt;=8))+--(AND(M1295&lt;&gt;"",M1295&lt;=8))+--(AND(N1295&lt;&gt;"",N1295&lt;=8))+--(AND(O1295&lt;&gt;"",O1295&lt;=8)))</f>
        <v/>
      </c>
    </row>
    <row r="1296" customFormat="false" ht="15" hidden="false" customHeight="false" outlineLevel="0" collapsed="false">
      <c r="AZ1296" s="5" t="str">
        <f aca="false">IF($B1296="","",SUMPRODUCT(($AL1296:$AO1296&lt;&gt;"")*(COUNTIF($AP1296:$AX1296,$AL1296:$AO1296)&gt;0)))</f>
        <v/>
      </c>
      <c r="BA1296" s="5" t="str">
        <f aca="false">IF($B1296="","",IF(AZ1296&gt;0,1,0))</f>
        <v/>
      </c>
      <c r="BB1296" s="5" t="str">
        <f aca="false">IF($AP1296="","",IF((($AP1296="Engineering and Technology")+($AP1296="Science and Mathematics")+($AP1296="Computer Science, IT and Allied Fields")+($AP1296="Life Sciences /Medicine and Healthcare")+($AP1296="Paramedical")+($AP1296="Architecture")+($AP1296="Environmental Service")+($AP1296="Agriculture, Food Industry and Forestry"))&gt;0,"Science",IF((($AP1296="Banking and Finance")+($AP1296="Management and Administration")+($AP1296="Marketing")+($AP1296="Sales")+($AP1296="Entrepreneurship")+($AP1296="Hospitality and Tourism"))&gt;0,"Commerce",IF((($AP1296="Social Sciences and Humanities")+($AP1296="Law Studies")+($AP1296="Education and Training")+($AP1296="Art, Design")+($AP1296="Entertainment and Mass Media")+($AP1296="Community and Social Service")+($AP1296="Personal Care and Services")+($AP1296="Government and Public Administration")+($AP1296="Defence/ Protective Service")+($AP1296="Sports"))&gt;0,"Arts / Humanities",""))))</f>
        <v/>
      </c>
      <c r="BC1296" s="5" t="str">
        <f aca="false">IF($AL1296="","",IF((($AL1296="Engineering and Technology")+($AL1296="Science and Mathematics")+($AL1296="Computer Science, IT and Allied Fields")+($AL1296="Life Sciences /Medicine and Healthcare")+($AL1296="Paramedical")+($AL1296="Architecture")+($AL1296="Environmental Service")+($AL1296="Agriculture, Food Industry and Forestry"))&gt;0,"Science",IF((($AL1296="Banking and Finance")+($AL1296="Management and Administration")+($AL1296="Marketing")+($AL1296="Sales")+($AL1296="Entrepreneurship")+($AL1296="Hospitality and Tourism"))&gt;0,"Commerce",IF((($AL1296="Social Sciences and Humanities")+($AL1296="Law Studies")+($AL1296="Education and Training")+($AL1296="Art, Design")+($AL1296="Entertainment and Mass Media")+($AL1296="Community and Social Service")+($AL1296="Personal Care and Services")+($AL1296="Government and Public Administration")+($AL1296="Defence/ Protective Service")+($AL1296="Sports"))&gt;0,"Arts / Humanities",""))))</f>
        <v/>
      </c>
      <c r="BD1296" s="5" t="str">
        <f aca="false">IF($B1296="","",--(F1296&gt;=10)+--(G1296&gt;=10)+--(H1296&gt;=10)+--(I1296&gt;=10)+--(J1296&gt;=10)+--(K1296&gt;=10)+--(L1296&gt;=10)+--(M1296&gt;=10)+--(N1296&gt;=10)+--(O1296&gt;=10))</f>
        <v/>
      </c>
      <c r="BE1296" s="5" t="str">
        <f aca="false">IF($B1296="","",--(AND(F1296&lt;&gt;"",F1296&lt;=8))+--(AND(G1296&lt;&gt;"",G1296&lt;=8))+--(AND(H1296&lt;&gt;"",H1296&lt;=8))+--(AND(I1296&lt;&gt;"",I1296&lt;=8))+--(AND(J1296&lt;&gt;"",J1296&lt;=8))+--(AND(K1296&lt;&gt;"",K1296&lt;=8))+--(AND(L1296&lt;&gt;"",L1296&lt;=8))+--(AND(M1296&lt;&gt;"",M1296&lt;=8))+--(AND(N1296&lt;&gt;"",N1296&lt;=8))+--(AND(O1296&lt;&gt;"",O1296&lt;=8)))</f>
        <v/>
      </c>
    </row>
    <row r="1297" customFormat="false" ht="15" hidden="false" customHeight="false" outlineLevel="0" collapsed="false">
      <c r="AZ1297" s="5" t="str">
        <f aca="false">IF($B1297="","",SUMPRODUCT(($AL1297:$AO1297&lt;&gt;"")*(COUNTIF($AP1297:$AX1297,$AL1297:$AO1297)&gt;0)))</f>
        <v/>
      </c>
      <c r="BA1297" s="5" t="str">
        <f aca="false">IF($B1297="","",IF(AZ1297&gt;0,1,0))</f>
        <v/>
      </c>
      <c r="BB1297" s="5" t="str">
        <f aca="false">IF($AP1297="","",IF((($AP1297="Engineering and Technology")+($AP1297="Science and Mathematics")+($AP1297="Computer Science, IT and Allied Fields")+($AP1297="Life Sciences /Medicine and Healthcare")+($AP1297="Paramedical")+($AP1297="Architecture")+($AP1297="Environmental Service")+($AP1297="Agriculture, Food Industry and Forestry"))&gt;0,"Science",IF((($AP1297="Banking and Finance")+($AP1297="Management and Administration")+($AP1297="Marketing")+($AP1297="Sales")+($AP1297="Entrepreneurship")+($AP1297="Hospitality and Tourism"))&gt;0,"Commerce",IF((($AP1297="Social Sciences and Humanities")+($AP1297="Law Studies")+($AP1297="Education and Training")+($AP1297="Art, Design")+($AP1297="Entertainment and Mass Media")+($AP1297="Community and Social Service")+($AP1297="Personal Care and Services")+($AP1297="Government and Public Administration")+($AP1297="Defence/ Protective Service")+($AP1297="Sports"))&gt;0,"Arts / Humanities",""))))</f>
        <v/>
      </c>
      <c r="BC1297" s="5" t="str">
        <f aca="false">IF($AL1297="","",IF((($AL1297="Engineering and Technology")+($AL1297="Science and Mathematics")+($AL1297="Computer Science, IT and Allied Fields")+($AL1297="Life Sciences /Medicine and Healthcare")+($AL1297="Paramedical")+($AL1297="Architecture")+($AL1297="Environmental Service")+($AL1297="Agriculture, Food Industry and Forestry"))&gt;0,"Science",IF((($AL1297="Banking and Finance")+($AL1297="Management and Administration")+($AL1297="Marketing")+($AL1297="Sales")+($AL1297="Entrepreneurship")+($AL1297="Hospitality and Tourism"))&gt;0,"Commerce",IF((($AL1297="Social Sciences and Humanities")+($AL1297="Law Studies")+($AL1297="Education and Training")+($AL1297="Art, Design")+($AL1297="Entertainment and Mass Media")+($AL1297="Community and Social Service")+($AL1297="Personal Care and Services")+($AL1297="Government and Public Administration")+($AL1297="Defence/ Protective Service")+($AL1297="Sports"))&gt;0,"Arts / Humanities",""))))</f>
        <v/>
      </c>
      <c r="BD1297" s="5" t="str">
        <f aca="false">IF($B1297="","",--(F1297&gt;=10)+--(G1297&gt;=10)+--(H1297&gt;=10)+--(I1297&gt;=10)+--(J1297&gt;=10)+--(K1297&gt;=10)+--(L1297&gt;=10)+--(M1297&gt;=10)+--(N1297&gt;=10)+--(O1297&gt;=10))</f>
        <v/>
      </c>
      <c r="BE1297" s="5" t="str">
        <f aca="false">IF($B1297="","",--(AND(F1297&lt;&gt;"",F1297&lt;=8))+--(AND(G1297&lt;&gt;"",G1297&lt;=8))+--(AND(H1297&lt;&gt;"",H1297&lt;=8))+--(AND(I1297&lt;&gt;"",I1297&lt;=8))+--(AND(J1297&lt;&gt;"",J1297&lt;=8))+--(AND(K1297&lt;&gt;"",K1297&lt;=8))+--(AND(L1297&lt;&gt;"",L1297&lt;=8))+--(AND(M1297&lt;&gt;"",M1297&lt;=8))+--(AND(N1297&lt;&gt;"",N1297&lt;=8))+--(AND(O1297&lt;&gt;"",O1297&lt;=8)))</f>
        <v/>
      </c>
    </row>
    <row r="1298" customFormat="false" ht="15" hidden="false" customHeight="false" outlineLevel="0" collapsed="false">
      <c r="AZ1298" s="5" t="str">
        <f aca="false">IF($B1298="","",SUMPRODUCT(($AL1298:$AO1298&lt;&gt;"")*(COUNTIF($AP1298:$AX1298,$AL1298:$AO1298)&gt;0)))</f>
        <v/>
      </c>
      <c r="BA1298" s="5" t="str">
        <f aca="false">IF($B1298="","",IF(AZ1298&gt;0,1,0))</f>
        <v/>
      </c>
      <c r="BB1298" s="5" t="str">
        <f aca="false">IF($AP1298="","",IF((($AP1298="Engineering and Technology")+($AP1298="Science and Mathematics")+($AP1298="Computer Science, IT and Allied Fields")+($AP1298="Life Sciences /Medicine and Healthcare")+($AP1298="Paramedical")+($AP1298="Architecture")+($AP1298="Environmental Service")+($AP1298="Agriculture, Food Industry and Forestry"))&gt;0,"Science",IF((($AP1298="Banking and Finance")+($AP1298="Management and Administration")+($AP1298="Marketing")+($AP1298="Sales")+($AP1298="Entrepreneurship")+($AP1298="Hospitality and Tourism"))&gt;0,"Commerce",IF((($AP1298="Social Sciences and Humanities")+($AP1298="Law Studies")+($AP1298="Education and Training")+($AP1298="Art, Design")+($AP1298="Entertainment and Mass Media")+($AP1298="Community and Social Service")+($AP1298="Personal Care and Services")+($AP1298="Government and Public Administration")+($AP1298="Defence/ Protective Service")+($AP1298="Sports"))&gt;0,"Arts / Humanities",""))))</f>
        <v/>
      </c>
      <c r="BC1298" s="5" t="str">
        <f aca="false">IF($AL1298="","",IF((($AL1298="Engineering and Technology")+($AL1298="Science and Mathematics")+($AL1298="Computer Science, IT and Allied Fields")+($AL1298="Life Sciences /Medicine and Healthcare")+($AL1298="Paramedical")+($AL1298="Architecture")+($AL1298="Environmental Service")+($AL1298="Agriculture, Food Industry and Forestry"))&gt;0,"Science",IF((($AL1298="Banking and Finance")+($AL1298="Management and Administration")+($AL1298="Marketing")+($AL1298="Sales")+($AL1298="Entrepreneurship")+($AL1298="Hospitality and Tourism"))&gt;0,"Commerce",IF((($AL1298="Social Sciences and Humanities")+($AL1298="Law Studies")+($AL1298="Education and Training")+($AL1298="Art, Design")+($AL1298="Entertainment and Mass Media")+($AL1298="Community and Social Service")+($AL1298="Personal Care and Services")+($AL1298="Government and Public Administration")+($AL1298="Defence/ Protective Service")+($AL1298="Sports"))&gt;0,"Arts / Humanities",""))))</f>
        <v/>
      </c>
      <c r="BD1298" s="5" t="str">
        <f aca="false">IF($B1298="","",--(F1298&gt;=10)+--(G1298&gt;=10)+--(H1298&gt;=10)+--(I1298&gt;=10)+--(J1298&gt;=10)+--(K1298&gt;=10)+--(L1298&gt;=10)+--(M1298&gt;=10)+--(N1298&gt;=10)+--(O1298&gt;=10))</f>
        <v/>
      </c>
      <c r="BE1298" s="5" t="str">
        <f aca="false">IF($B1298="","",--(AND(F1298&lt;&gt;"",F1298&lt;=8))+--(AND(G1298&lt;&gt;"",G1298&lt;=8))+--(AND(H1298&lt;&gt;"",H1298&lt;=8))+--(AND(I1298&lt;&gt;"",I1298&lt;=8))+--(AND(J1298&lt;&gt;"",J1298&lt;=8))+--(AND(K1298&lt;&gt;"",K1298&lt;=8))+--(AND(L1298&lt;&gt;"",L1298&lt;=8))+--(AND(M1298&lt;&gt;"",M1298&lt;=8))+--(AND(N1298&lt;&gt;"",N1298&lt;=8))+--(AND(O1298&lt;&gt;"",O1298&lt;=8)))</f>
        <v/>
      </c>
    </row>
    <row r="1299" customFormat="false" ht="15" hidden="false" customHeight="false" outlineLevel="0" collapsed="false">
      <c r="AZ1299" s="5" t="str">
        <f aca="false">IF($B1299="","",SUMPRODUCT(($AL1299:$AO1299&lt;&gt;"")*(COUNTIF($AP1299:$AX1299,$AL1299:$AO1299)&gt;0)))</f>
        <v/>
      </c>
      <c r="BA1299" s="5" t="str">
        <f aca="false">IF($B1299="","",IF(AZ1299&gt;0,1,0))</f>
        <v/>
      </c>
      <c r="BB1299" s="5" t="str">
        <f aca="false">IF($AP1299="","",IF((($AP1299="Engineering and Technology")+($AP1299="Science and Mathematics")+($AP1299="Computer Science, IT and Allied Fields")+($AP1299="Life Sciences /Medicine and Healthcare")+($AP1299="Paramedical")+($AP1299="Architecture")+($AP1299="Environmental Service")+($AP1299="Agriculture, Food Industry and Forestry"))&gt;0,"Science",IF((($AP1299="Banking and Finance")+($AP1299="Management and Administration")+($AP1299="Marketing")+($AP1299="Sales")+($AP1299="Entrepreneurship")+($AP1299="Hospitality and Tourism"))&gt;0,"Commerce",IF((($AP1299="Social Sciences and Humanities")+($AP1299="Law Studies")+($AP1299="Education and Training")+($AP1299="Art, Design")+($AP1299="Entertainment and Mass Media")+($AP1299="Community and Social Service")+($AP1299="Personal Care and Services")+($AP1299="Government and Public Administration")+($AP1299="Defence/ Protective Service")+($AP1299="Sports"))&gt;0,"Arts / Humanities",""))))</f>
        <v/>
      </c>
      <c r="BC1299" s="5" t="str">
        <f aca="false">IF($AL1299="","",IF((($AL1299="Engineering and Technology")+($AL1299="Science and Mathematics")+($AL1299="Computer Science, IT and Allied Fields")+($AL1299="Life Sciences /Medicine and Healthcare")+($AL1299="Paramedical")+($AL1299="Architecture")+($AL1299="Environmental Service")+($AL1299="Agriculture, Food Industry and Forestry"))&gt;0,"Science",IF((($AL1299="Banking and Finance")+($AL1299="Management and Administration")+($AL1299="Marketing")+($AL1299="Sales")+($AL1299="Entrepreneurship")+($AL1299="Hospitality and Tourism"))&gt;0,"Commerce",IF((($AL1299="Social Sciences and Humanities")+($AL1299="Law Studies")+($AL1299="Education and Training")+($AL1299="Art, Design")+($AL1299="Entertainment and Mass Media")+($AL1299="Community and Social Service")+($AL1299="Personal Care and Services")+($AL1299="Government and Public Administration")+($AL1299="Defence/ Protective Service")+($AL1299="Sports"))&gt;0,"Arts / Humanities",""))))</f>
        <v/>
      </c>
      <c r="BD1299" s="5" t="str">
        <f aca="false">IF($B1299="","",--(F1299&gt;=10)+--(G1299&gt;=10)+--(H1299&gt;=10)+--(I1299&gt;=10)+--(J1299&gt;=10)+--(K1299&gt;=10)+--(L1299&gt;=10)+--(M1299&gt;=10)+--(N1299&gt;=10)+--(O1299&gt;=10))</f>
        <v/>
      </c>
      <c r="BE1299" s="5" t="str">
        <f aca="false">IF($B1299="","",--(AND(F1299&lt;&gt;"",F1299&lt;=8))+--(AND(G1299&lt;&gt;"",G1299&lt;=8))+--(AND(H1299&lt;&gt;"",H1299&lt;=8))+--(AND(I1299&lt;&gt;"",I1299&lt;=8))+--(AND(J1299&lt;&gt;"",J1299&lt;=8))+--(AND(K1299&lt;&gt;"",K1299&lt;=8))+--(AND(L1299&lt;&gt;"",L1299&lt;=8))+--(AND(M1299&lt;&gt;"",M1299&lt;=8))+--(AND(N1299&lt;&gt;"",N1299&lt;=8))+--(AND(O1299&lt;&gt;"",O1299&lt;=8)))</f>
        <v/>
      </c>
    </row>
    <row r="1300" customFormat="false" ht="15" hidden="false" customHeight="false" outlineLevel="0" collapsed="false">
      <c r="AZ1300" s="5" t="str">
        <f aca="false">IF($B1300="","",SUMPRODUCT(($AL1300:$AO1300&lt;&gt;"")*(COUNTIF($AP1300:$AX1300,$AL1300:$AO1300)&gt;0)))</f>
        <v/>
      </c>
      <c r="BA1300" s="5" t="str">
        <f aca="false">IF($B1300="","",IF(AZ1300&gt;0,1,0))</f>
        <v/>
      </c>
      <c r="BB1300" s="5" t="str">
        <f aca="false">IF($AP1300="","",IF((($AP1300="Engineering and Technology")+($AP1300="Science and Mathematics")+($AP1300="Computer Science, IT and Allied Fields")+($AP1300="Life Sciences /Medicine and Healthcare")+($AP1300="Paramedical")+($AP1300="Architecture")+($AP1300="Environmental Service")+($AP1300="Agriculture, Food Industry and Forestry"))&gt;0,"Science",IF((($AP1300="Banking and Finance")+($AP1300="Management and Administration")+($AP1300="Marketing")+($AP1300="Sales")+($AP1300="Entrepreneurship")+($AP1300="Hospitality and Tourism"))&gt;0,"Commerce",IF((($AP1300="Social Sciences and Humanities")+($AP1300="Law Studies")+($AP1300="Education and Training")+($AP1300="Art, Design")+($AP1300="Entertainment and Mass Media")+($AP1300="Community and Social Service")+($AP1300="Personal Care and Services")+($AP1300="Government and Public Administration")+($AP1300="Defence/ Protective Service")+($AP1300="Sports"))&gt;0,"Arts / Humanities",""))))</f>
        <v/>
      </c>
      <c r="BC1300" s="5" t="str">
        <f aca="false">IF($AL1300="","",IF((($AL1300="Engineering and Technology")+($AL1300="Science and Mathematics")+($AL1300="Computer Science, IT and Allied Fields")+($AL1300="Life Sciences /Medicine and Healthcare")+($AL1300="Paramedical")+($AL1300="Architecture")+($AL1300="Environmental Service")+($AL1300="Agriculture, Food Industry and Forestry"))&gt;0,"Science",IF((($AL1300="Banking and Finance")+($AL1300="Management and Administration")+($AL1300="Marketing")+($AL1300="Sales")+($AL1300="Entrepreneurship")+($AL1300="Hospitality and Tourism"))&gt;0,"Commerce",IF((($AL1300="Social Sciences and Humanities")+($AL1300="Law Studies")+($AL1300="Education and Training")+($AL1300="Art, Design")+($AL1300="Entertainment and Mass Media")+($AL1300="Community and Social Service")+($AL1300="Personal Care and Services")+($AL1300="Government and Public Administration")+($AL1300="Defence/ Protective Service")+($AL1300="Sports"))&gt;0,"Arts / Humanities",""))))</f>
        <v/>
      </c>
      <c r="BD1300" s="5" t="str">
        <f aca="false">IF($B1300="","",--(F1300&gt;=10)+--(G1300&gt;=10)+--(H1300&gt;=10)+--(I1300&gt;=10)+--(J1300&gt;=10)+--(K1300&gt;=10)+--(L1300&gt;=10)+--(M1300&gt;=10)+--(N1300&gt;=10)+--(O1300&gt;=10))</f>
        <v/>
      </c>
      <c r="BE1300" s="5" t="str">
        <f aca="false">IF($B1300="","",--(AND(F1300&lt;&gt;"",F1300&lt;=8))+--(AND(G1300&lt;&gt;"",G1300&lt;=8))+--(AND(H1300&lt;&gt;"",H1300&lt;=8))+--(AND(I1300&lt;&gt;"",I1300&lt;=8))+--(AND(J1300&lt;&gt;"",J1300&lt;=8))+--(AND(K1300&lt;&gt;"",K1300&lt;=8))+--(AND(L1300&lt;&gt;"",L1300&lt;=8))+--(AND(M1300&lt;&gt;"",M1300&lt;=8))+--(AND(N1300&lt;&gt;"",N1300&lt;=8))+--(AND(O1300&lt;&gt;"",O1300&lt;=8)))</f>
        <v/>
      </c>
    </row>
    <row r="1301" customFormat="false" ht="15" hidden="false" customHeight="false" outlineLevel="0" collapsed="false">
      <c r="AZ1301" s="5" t="str">
        <f aca="false">IF($B1301="","",SUMPRODUCT(($AL1301:$AO1301&lt;&gt;"")*(COUNTIF($AP1301:$AX1301,$AL1301:$AO1301)&gt;0)))</f>
        <v/>
      </c>
      <c r="BA1301" s="5" t="str">
        <f aca="false">IF($B1301="","",IF(AZ1301&gt;0,1,0))</f>
        <v/>
      </c>
      <c r="BB1301" s="5" t="str">
        <f aca="false">IF($AP1301="","",IF((($AP1301="Engineering and Technology")+($AP1301="Science and Mathematics")+($AP1301="Computer Science, IT and Allied Fields")+($AP1301="Life Sciences /Medicine and Healthcare")+($AP1301="Paramedical")+($AP1301="Architecture")+($AP1301="Environmental Service")+($AP1301="Agriculture, Food Industry and Forestry"))&gt;0,"Science",IF((($AP1301="Banking and Finance")+($AP1301="Management and Administration")+($AP1301="Marketing")+($AP1301="Sales")+($AP1301="Entrepreneurship")+($AP1301="Hospitality and Tourism"))&gt;0,"Commerce",IF((($AP1301="Social Sciences and Humanities")+($AP1301="Law Studies")+($AP1301="Education and Training")+($AP1301="Art, Design")+($AP1301="Entertainment and Mass Media")+($AP1301="Community and Social Service")+($AP1301="Personal Care and Services")+($AP1301="Government and Public Administration")+($AP1301="Defence/ Protective Service")+($AP1301="Sports"))&gt;0,"Arts / Humanities",""))))</f>
        <v/>
      </c>
      <c r="BC1301" s="5" t="str">
        <f aca="false">IF($AL1301="","",IF((($AL1301="Engineering and Technology")+($AL1301="Science and Mathematics")+($AL1301="Computer Science, IT and Allied Fields")+($AL1301="Life Sciences /Medicine and Healthcare")+($AL1301="Paramedical")+($AL1301="Architecture")+($AL1301="Environmental Service")+($AL1301="Agriculture, Food Industry and Forestry"))&gt;0,"Science",IF((($AL1301="Banking and Finance")+($AL1301="Management and Administration")+($AL1301="Marketing")+($AL1301="Sales")+($AL1301="Entrepreneurship")+($AL1301="Hospitality and Tourism"))&gt;0,"Commerce",IF((($AL1301="Social Sciences and Humanities")+($AL1301="Law Studies")+($AL1301="Education and Training")+($AL1301="Art, Design")+($AL1301="Entertainment and Mass Media")+($AL1301="Community and Social Service")+($AL1301="Personal Care and Services")+($AL1301="Government and Public Administration")+($AL1301="Defence/ Protective Service")+($AL1301="Sports"))&gt;0,"Arts / Humanities",""))))</f>
        <v/>
      </c>
      <c r="BD1301" s="5" t="str">
        <f aca="false">IF($B1301="","",--(F1301&gt;=10)+--(G1301&gt;=10)+--(H1301&gt;=10)+--(I1301&gt;=10)+--(J1301&gt;=10)+--(K1301&gt;=10)+--(L1301&gt;=10)+--(M1301&gt;=10)+--(N1301&gt;=10)+--(O1301&gt;=10))</f>
        <v/>
      </c>
      <c r="BE1301" s="5" t="str">
        <f aca="false">IF($B1301="","",--(AND(F1301&lt;&gt;"",F1301&lt;=8))+--(AND(G1301&lt;&gt;"",G1301&lt;=8))+--(AND(H1301&lt;&gt;"",H1301&lt;=8))+--(AND(I1301&lt;&gt;"",I1301&lt;=8))+--(AND(J1301&lt;&gt;"",J1301&lt;=8))+--(AND(K1301&lt;&gt;"",K1301&lt;=8))+--(AND(L1301&lt;&gt;"",L1301&lt;=8))+--(AND(M1301&lt;&gt;"",M1301&lt;=8))+--(AND(N1301&lt;&gt;"",N1301&lt;=8))+--(AND(O1301&lt;&gt;"",O1301&lt;=8)))</f>
        <v/>
      </c>
    </row>
    <row r="1302" customFormat="false" ht="15" hidden="false" customHeight="false" outlineLevel="0" collapsed="false">
      <c r="AZ1302" s="5" t="str">
        <f aca="false">IF($B1302="","",SUMPRODUCT(($AL1302:$AO1302&lt;&gt;"")*(COUNTIF($AP1302:$AX1302,$AL1302:$AO1302)&gt;0)))</f>
        <v/>
      </c>
      <c r="BA1302" s="5" t="str">
        <f aca="false">IF($B1302="","",IF(AZ1302&gt;0,1,0))</f>
        <v/>
      </c>
      <c r="BB1302" s="5" t="str">
        <f aca="false">IF($AP1302="","",IF((($AP1302="Engineering and Technology")+($AP1302="Science and Mathematics")+($AP1302="Computer Science, IT and Allied Fields")+($AP1302="Life Sciences /Medicine and Healthcare")+($AP1302="Paramedical")+($AP1302="Architecture")+($AP1302="Environmental Service")+($AP1302="Agriculture, Food Industry and Forestry"))&gt;0,"Science",IF((($AP1302="Banking and Finance")+($AP1302="Management and Administration")+($AP1302="Marketing")+($AP1302="Sales")+($AP1302="Entrepreneurship")+($AP1302="Hospitality and Tourism"))&gt;0,"Commerce",IF((($AP1302="Social Sciences and Humanities")+($AP1302="Law Studies")+($AP1302="Education and Training")+($AP1302="Art, Design")+($AP1302="Entertainment and Mass Media")+($AP1302="Community and Social Service")+($AP1302="Personal Care and Services")+($AP1302="Government and Public Administration")+($AP1302="Defence/ Protective Service")+($AP1302="Sports"))&gt;0,"Arts / Humanities",""))))</f>
        <v/>
      </c>
      <c r="BC1302" s="5" t="str">
        <f aca="false">IF($AL1302="","",IF((($AL1302="Engineering and Technology")+($AL1302="Science and Mathematics")+($AL1302="Computer Science, IT and Allied Fields")+($AL1302="Life Sciences /Medicine and Healthcare")+($AL1302="Paramedical")+($AL1302="Architecture")+($AL1302="Environmental Service")+($AL1302="Agriculture, Food Industry and Forestry"))&gt;0,"Science",IF((($AL1302="Banking and Finance")+($AL1302="Management and Administration")+($AL1302="Marketing")+($AL1302="Sales")+($AL1302="Entrepreneurship")+($AL1302="Hospitality and Tourism"))&gt;0,"Commerce",IF((($AL1302="Social Sciences and Humanities")+($AL1302="Law Studies")+($AL1302="Education and Training")+($AL1302="Art, Design")+($AL1302="Entertainment and Mass Media")+($AL1302="Community and Social Service")+($AL1302="Personal Care and Services")+($AL1302="Government and Public Administration")+($AL1302="Defence/ Protective Service")+($AL1302="Sports"))&gt;0,"Arts / Humanities",""))))</f>
        <v/>
      </c>
      <c r="BD1302" s="5" t="str">
        <f aca="false">IF($B1302="","",--(F1302&gt;=10)+--(G1302&gt;=10)+--(H1302&gt;=10)+--(I1302&gt;=10)+--(J1302&gt;=10)+--(K1302&gt;=10)+--(L1302&gt;=10)+--(M1302&gt;=10)+--(N1302&gt;=10)+--(O1302&gt;=10))</f>
        <v/>
      </c>
      <c r="BE1302" s="5" t="str">
        <f aca="false">IF($B1302="","",--(AND(F1302&lt;&gt;"",F1302&lt;=8))+--(AND(G1302&lt;&gt;"",G1302&lt;=8))+--(AND(H1302&lt;&gt;"",H1302&lt;=8))+--(AND(I1302&lt;&gt;"",I1302&lt;=8))+--(AND(J1302&lt;&gt;"",J1302&lt;=8))+--(AND(K1302&lt;&gt;"",K1302&lt;=8))+--(AND(L1302&lt;&gt;"",L1302&lt;=8))+--(AND(M1302&lt;&gt;"",M1302&lt;=8))+--(AND(N1302&lt;&gt;"",N1302&lt;=8))+--(AND(O1302&lt;&gt;"",O1302&lt;=8)))</f>
        <v/>
      </c>
    </row>
    <row r="1303" customFormat="false" ht="15" hidden="false" customHeight="false" outlineLevel="0" collapsed="false">
      <c r="AZ1303" s="5" t="str">
        <f aca="false">IF($B1303="","",SUMPRODUCT(($AL1303:$AO1303&lt;&gt;"")*(COUNTIF($AP1303:$AX1303,$AL1303:$AO1303)&gt;0)))</f>
        <v/>
      </c>
      <c r="BA1303" s="5" t="str">
        <f aca="false">IF($B1303="","",IF(AZ1303&gt;0,1,0))</f>
        <v/>
      </c>
      <c r="BB1303" s="5" t="str">
        <f aca="false">IF($AP1303="","",IF((($AP1303="Engineering and Technology")+($AP1303="Science and Mathematics")+($AP1303="Computer Science, IT and Allied Fields")+($AP1303="Life Sciences /Medicine and Healthcare")+($AP1303="Paramedical")+($AP1303="Architecture")+($AP1303="Environmental Service")+($AP1303="Agriculture, Food Industry and Forestry"))&gt;0,"Science",IF((($AP1303="Banking and Finance")+($AP1303="Management and Administration")+($AP1303="Marketing")+($AP1303="Sales")+($AP1303="Entrepreneurship")+($AP1303="Hospitality and Tourism"))&gt;0,"Commerce",IF((($AP1303="Social Sciences and Humanities")+($AP1303="Law Studies")+($AP1303="Education and Training")+($AP1303="Art, Design")+($AP1303="Entertainment and Mass Media")+($AP1303="Community and Social Service")+($AP1303="Personal Care and Services")+($AP1303="Government and Public Administration")+($AP1303="Defence/ Protective Service")+($AP1303="Sports"))&gt;0,"Arts / Humanities",""))))</f>
        <v/>
      </c>
      <c r="BC1303" s="5" t="str">
        <f aca="false">IF($AL1303="","",IF((($AL1303="Engineering and Technology")+($AL1303="Science and Mathematics")+($AL1303="Computer Science, IT and Allied Fields")+($AL1303="Life Sciences /Medicine and Healthcare")+($AL1303="Paramedical")+($AL1303="Architecture")+($AL1303="Environmental Service")+($AL1303="Agriculture, Food Industry and Forestry"))&gt;0,"Science",IF((($AL1303="Banking and Finance")+($AL1303="Management and Administration")+($AL1303="Marketing")+($AL1303="Sales")+($AL1303="Entrepreneurship")+($AL1303="Hospitality and Tourism"))&gt;0,"Commerce",IF((($AL1303="Social Sciences and Humanities")+($AL1303="Law Studies")+($AL1303="Education and Training")+($AL1303="Art, Design")+($AL1303="Entertainment and Mass Media")+($AL1303="Community and Social Service")+($AL1303="Personal Care and Services")+($AL1303="Government and Public Administration")+($AL1303="Defence/ Protective Service")+($AL1303="Sports"))&gt;0,"Arts / Humanities",""))))</f>
        <v/>
      </c>
      <c r="BD1303" s="5" t="str">
        <f aca="false">IF($B1303="","",--(F1303&gt;=10)+--(G1303&gt;=10)+--(H1303&gt;=10)+--(I1303&gt;=10)+--(J1303&gt;=10)+--(K1303&gt;=10)+--(L1303&gt;=10)+--(M1303&gt;=10)+--(N1303&gt;=10)+--(O1303&gt;=10))</f>
        <v/>
      </c>
      <c r="BE1303" s="5" t="str">
        <f aca="false">IF($B1303="","",--(AND(F1303&lt;&gt;"",F1303&lt;=8))+--(AND(G1303&lt;&gt;"",G1303&lt;=8))+--(AND(H1303&lt;&gt;"",H1303&lt;=8))+--(AND(I1303&lt;&gt;"",I1303&lt;=8))+--(AND(J1303&lt;&gt;"",J1303&lt;=8))+--(AND(K1303&lt;&gt;"",K1303&lt;=8))+--(AND(L1303&lt;&gt;"",L1303&lt;=8))+--(AND(M1303&lt;&gt;"",M1303&lt;=8))+--(AND(N1303&lt;&gt;"",N1303&lt;=8))+--(AND(O1303&lt;&gt;"",O1303&lt;=8)))</f>
        <v/>
      </c>
    </row>
    <row r="1304" customFormat="false" ht="15" hidden="false" customHeight="false" outlineLevel="0" collapsed="false">
      <c r="AZ1304" s="5" t="str">
        <f aca="false">IF($B1304="","",SUMPRODUCT(($AL1304:$AO1304&lt;&gt;"")*(COUNTIF($AP1304:$AX1304,$AL1304:$AO1304)&gt;0)))</f>
        <v/>
      </c>
      <c r="BA1304" s="5" t="str">
        <f aca="false">IF($B1304="","",IF(AZ1304&gt;0,1,0))</f>
        <v/>
      </c>
      <c r="BB1304" s="5" t="str">
        <f aca="false">IF($AP1304="","",IF((($AP1304="Engineering and Technology")+($AP1304="Science and Mathematics")+($AP1304="Computer Science, IT and Allied Fields")+($AP1304="Life Sciences /Medicine and Healthcare")+($AP1304="Paramedical")+($AP1304="Architecture")+($AP1304="Environmental Service")+($AP1304="Agriculture, Food Industry and Forestry"))&gt;0,"Science",IF((($AP1304="Banking and Finance")+($AP1304="Management and Administration")+($AP1304="Marketing")+($AP1304="Sales")+($AP1304="Entrepreneurship")+($AP1304="Hospitality and Tourism"))&gt;0,"Commerce",IF((($AP1304="Social Sciences and Humanities")+($AP1304="Law Studies")+($AP1304="Education and Training")+($AP1304="Art, Design")+($AP1304="Entertainment and Mass Media")+($AP1304="Community and Social Service")+($AP1304="Personal Care and Services")+($AP1304="Government and Public Administration")+($AP1304="Defence/ Protective Service")+($AP1304="Sports"))&gt;0,"Arts / Humanities",""))))</f>
        <v/>
      </c>
      <c r="BC1304" s="5" t="str">
        <f aca="false">IF($AL1304="","",IF((($AL1304="Engineering and Technology")+($AL1304="Science and Mathematics")+($AL1304="Computer Science, IT and Allied Fields")+($AL1304="Life Sciences /Medicine and Healthcare")+($AL1304="Paramedical")+($AL1304="Architecture")+($AL1304="Environmental Service")+($AL1304="Agriculture, Food Industry and Forestry"))&gt;0,"Science",IF((($AL1304="Banking and Finance")+($AL1304="Management and Administration")+($AL1304="Marketing")+($AL1304="Sales")+($AL1304="Entrepreneurship")+($AL1304="Hospitality and Tourism"))&gt;0,"Commerce",IF((($AL1304="Social Sciences and Humanities")+($AL1304="Law Studies")+($AL1304="Education and Training")+($AL1304="Art, Design")+($AL1304="Entertainment and Mass Media")+($AL1304="Community and Social Service")+($AL1304="Personal Care and Services")+($AL1304="Government and Public Administration")+($AL1304="Defence/ Protective Service")+($AL1304="Sports"))&gt;0,"Arts / Humanities",""))))</f>
        <v/>
      </c>
      <c r="BD1304" s="5" t="str">
        <f aca="false">IF($B1304="","",--(F1304&gt;=10)+--(G1304&gt;=10)+--(H1304&gt;=10)+--(I1304&gt;=10)+--(J1304&gt;=10)+--(K1304&gt;=10)+--(L1304&gt;=10)+--(M1304&gt;=10)+--(N1304&gt;=10)+--(O1304&gt;=10))</f>
        <v/>
      </c>
      <c r="BE1304" s="5" t="str">
        <f aca="false">IF($B1304="","",--(AND(F1304&lt;&gt;"",F1304&lt;=8))+--(AND(G1304&lt;&gt;"",G1304&lt;=8))+--(AND(H1304&lt;&gt;"",H1304&lt;=8))+--(AND(I1304&lt;&gt;"",I1304&lt;=8))+--(AND(J1304&lt;&gt;"",J1304&lt;=8))+--(AND(K1304&lt;&gt;"",K1304&lt;=8))+--(AND(L1304&lt;&gt;"",L1304&lt;=8))+--(AND(M1304&lt;&gt;"",M1304&lt;=8))+--(AND(N1304&lt;&gt;"",N1304&lt;=8))+--(AND(O1304&lt;&gt;"",O1304&lt;=8)))</f>
        <v/>
      </c>
    </row>
    <row r="1305" customFormat="false" ht="15" hidden="false" customHeight="false" outlineLevel="0" collapsed="false">
      <c r="AZ1305" s="5" t="str">
        <f aca="false">IF($B1305="","",SUMPRODUCT(($AL1305:$AO1305&lt;&gt;"")*(COUNTIF($AP1305:$AX1305,$AL1305:$AO1305)&gt;0)))</f>
        <v/>
      </c>
      <c r="BA1305" s="5" t="str">
        <f aca="false">IF($B1305="","",IF(AZ1305&gt;0,1,0))</f>
        <v/>
      </c>
      <c r="BB1305" s="5" t="str">
        <f aca="false">IF($AP1305="","",IF((($AP1305="Engineering and Technology")+($AP1305="Science and Mathematics")+($AP1305="Computer Science, IT and Allied Fields")+($AP1305="Life Sciences /Medicine and Healthcare")+($AP1305="Paramedical")+($AP1305="Architecture")+($AP1305="Environmental Service")+($AP1305="Agriculture, Food Industry and Forestry"))&gt;0,"Science",IF((($AP1305="Banking and Finance")+($AP1305="Management and Administration")+($AP1305="Marketing")+($AP1305="Sales")+($AP1305="Entrepreneurship")+($AP1305="Hospitality and Tourism"))&gt;0,"Commerce",IF((($AP1305="Social Sciences and Humanities")+($AP1305="Law Studies")+($AP1305="Education and Training")+($AP1305="Art, Design")+($AP1305="Entertainment and Mass Media")+($AP1305="Community and Social Service")+($AP1305="Personal Care and Services")+($AP1305="Government and Public Administration")+($AP1305="Defence/ Protective Service")+($AP1305="Sports"))&gt;0,"Arts / Humanities",""))))</f>
        <v/>
      </c>
      <c r="BC1305" s="5" t="str">
        <f aca="false">IF($AL1305="","",IF((($AL1305="Engineering and Technology")+($AL1305="Science and Mathematics")+($AL1305="Computer Science, IT and Allied Fields")+($AL1305="Life Sciences /Medicine and Healthcare")+($AL1305="Paramedical")+($AL1305="Architecture")+($AL1305="Environmental Service")+($AL1305="Agriculture, Food Industry and Forestry"))&gt;0,"Science",IF((($AL1305="Banking and Finance")+($AL1305="Management and Administration")+($AL1305="Marketing")+($AL1305="Sales")+($AL1305="Entrepreneurship")+($AL1305="Hospitality and Tourism"))&gt;0,"Commerce",IF((($AL1305="Social Sciences and Humanities")+($AL1305="Law Studies")+($AL1305="Education and Training")+($AL1305="Art, Design")+($AL1305="Entertainment and Mass Media")+($AL1305="Community and Social Service")+($AL1305="Personal Care and Services")+($AL1305="Government and Public Administration")+($AL1305="Defence/ Protective Service")+($AL1305="Sports"))&gt;0,"Arts / Humanities",""))))</f>
        <v/>
      </c>
      <c r="BD1305" s="5" t="str">
        <f aca="false">IF($B1305="","",--(F1305&gt;=10)+--(G1305&gt;=10)+--(H1305&gt;=10)+--(I1305&gt;=10)+--(J1305&gt;=10)+--(K1305&gt;=10)+--(L1305&gt;=10)+--(M1305&gt;=10)+--(N1305&gt;=10)+--(O1305&gt;=10))</f>
        <v/>
      </c>
      <c r="BE1305" s="5" t="str">
        <f aca="false">IF($B1305="","",--(AND(F1305&lt;&gt;"",F1305&lt;=8))+--(AND(G1305&lt;&gt;"",G1305&lt;=8))+--(AND(H1305&lt;&gt;"",H1305&lt;=8))+--(AND(I1305&lt;&gt;"",I1305&lt;=8))+--(AND(J1305&lt;&gt;"",J1305&lt;=8))+--(AND(K1305&lt;&gt;"",K1305&lt;=8))+--(AND(L1305&lt;&gt;"",L1305&lt;=8))+--(AND(M1305&lt;&gt;"",M1305&lt;=8))+--(AND(N1305&lt;&gt;"",N1305&lt;=8))+--(AND(O1305&lt;&gt;"",O1305&lt;=8)))</f>
        <v/>
      </c>
    </row>
    <row r="1306" customFormat="false" ht="15" hidden="false" customHeight="false" outlineLevel="0" collapsed="false">
      <c r="AZ1306" s="5" t="str">
        <f aca="false">IF($B1306="","",SUMPRODUCT(($AL1306:$AO1306&lt;&gt;"")*(COUNTIF($AP1306:$AX1306,$AL1306:$AO1306)&gt;0)))</f>
        <v/>
      </c>
      <c r="BA1306" s="5" t="str">
        <f aca="false">IF($B1306="","",IF(AZ1306&gt;0,1,0))</f>
        <v/>
      </c>
      <c r="BB1306" s="5" t="str">
        <f aca="false">IF($AP1306="","",IF((($AP1306="Engineering and Technology")+($AP1306="Science and Mathematics")+($AP1306="Computer Science, IT and Allied Fields")+($AP1306="Life Sciences /Medicine and Healthcare")+($AP1306="Paramedical")+($AP1306="Architecture")+($AP1306="Environmental Service")+($AP1306="Agriculture, Food Industry and Forestry"))&gt;0,"Science",IF((($AP1306="Banking and Finance")+($AP1306="Management and Administration")+($AP1306="Marketing")+($AP1306="Sales")+($AP1306="Entrepreneurship")+($AP1306="Hospitality and Tourism"))&gt;0,"Commerce",IF((($AP1306="Social Sciences and Humanities")+($AP1306="Law Studies")+($AP1306="Education and Training")+($AP1306="Art, Design")+($AP1306="Entertainment and Mass Media")+($AP1306="Community and Social Service")+($AP1306="Personal Care and Services")+($AP1306="Government and Public Administration")+($AP1306="Defence/ Protective Service")+($AP1306="Sports"))&gt;0,"Arts / Humanities",""))))</f>
        <v/>
      </c>
      <c r="BC1306" s="5" t="str">
        <f aca="false">IF($AL1306="","",IF((($AL1306="Engineering and Technology")+($AL1306="Science and Mathematics")+($AL1306="Computer Science, IT and Allied Fields")+($AL1306="Life Sciences /Medicine and Healthcare")+($AL1306="Paramedical")+($AL1306="Architecture")+($AL1306="Environmental Service")+($AL1306="Agriculture, Food Industry and Forestry"))&gt;0,"Science",IF((($AL1306="Banking and Finance")+($AL1306="Management and Administration")+($AL1306="Marketing")+($AL1306="Sales")+($AL1306="Entrepreneurship")+($AL1306="Hospitality and Tourism"))&gt;0,"Commerce",IF((($AL1306="Social Sciences and Humanities")+($AL1306="Law Studies")+($AL1306="Education and Training")+($AL1306="Art, Design")+($AL1306="Entertainment and Mass Media")+($AL1306="Community and Social Service")+($AL1306="Personal Care and Services")+($AL1306="Government and Public Administration")+($AL1306="Defence/ Protective Service")+($AL1306="Sports"))&gt;0,"Arts / Humanities",""))))</f>
        <v/>
      </c>
      <c r="BD1306" s="5" t="str">
        <f aca="false">IF($B1306="","",--(F1306&gt;=10)+--(G1306&gt;=10)+--(H1306&gt;=10)+--(I1306&gt;=10)+--(J1306&gt;=10)+--(K1306&gt;=10)+--(L1306&gt;=10)+--(M1306&gt;=10)+--(N1306&gt;=10)+--(O1306&gt;=10))</f>
        <v/>
      </c>
      <c r="BE1306" s="5" t="str">
        <f aca="false">IF($B1306="","",--(AND(F1306&lt;&gt;"",F1306&lt;=8))+--(AND(G1306&lt;&gt;"",G1306&lt;=8))+--(AND(H1306&lt;&gt;"",H1306&lt;=8))+--(AND(I1306&lt;&gt;"",I1306&lt;=8))+--(AND(J1306&lt;&gt;"",J1306&lt;=8))+--(AND(K1306&lt;&gt;"",K1306&lt;=8))+--(AND(L1306&lt;&gt;"",L1306&lt;=8))+--(AND(M1306&lt;&gt;"",M1306&lt;=8))+--(AND(N1306&lt;&gt;"",N1306&lt;=8))+--(AND(O1306&lt;&gt;"",O1306&lt;=8)))</f>
        <v/>
      </c>
    </row>
    <row r="1307" customFormat="false" ht="15" hidden="false" customHeight="false" outlineLevel="0" collapsed="false">
      <c r="AZ1307" s="5" t="str">
        <f aca="false">IF($B1307="","",SUMPRODUCT(($AL1307:$AO1307&lt;&gt;"")*(COUNTIF($AP1307:$AX1307,$AL1307:$AO1307)&gt;0)))</f>
        <v/>
      </c>
      <c r="BA1307" s="5" t="str">
        <f aca="false">IF($B1307="","",IF(AZ1307&gt;0,1,0))</f>
        <v/>
      </c>
      <c r="BB1307" s="5" t="str">
        <f aca="false">IF($AP1307="","",IF((($AP1307="Engineering and Technology")+($AP1307="Science and Mathematics")+($AP1307="Computer Science, IT and Allied Fields")+($AP1307="Life Sciences /Medicine and Healthcare")+($AP1307="Paramedical")+($AP1307="Architecture")+($AP1307="Environmental Service")+($AP1307="Agriculture, Food Industry and Forestry"))&gt;0,"Science",IF((($AP1307="Banking and Finance")+($AP1307="Management and Administration")+($AP1307="Marketing")+($AP1307="Sales")+($AP1307="Entrepreneurship")+($AP1307="Hospitality and Tourism"))&gt;0,"Commerce",IF((($AP1307="Social Sciences and Humanities")+($AP1307="Law Studies")+($AP1307="Education and Training")+($AP1307="Art, Design")+($AP1307="Entertainment and Mass Media")+($AP1307="Community and Social Service")+($AP1307="Personal Care and Services")+($AP1307="Government and Public Administration")+($AP1307="Defence/ Protective Service")+($AP1307="Sports"))&gt;0,"Arts / Humanities",""))))</f>
        <v/>
      </c>
      <c r="BC1307" s="5" t="str">
        <f aca="false">IF($AL1307="","",IF((($AL1307="Engineering and Technology")+($AL1307="Science and Mathematics")+($AL1307="Computer Science, IT and Allied Fields")+($AL1307="Life Sciences /Medicine and Healthcare")+($AL1307="Paramedical")+($AL1307="Architecture")+($AL1307="Environmental Service")+($AL1307="Agriculture, Food Industry and Forestry"))&gt;0,"Science",IF((($AL1307="Banking and Finance")+($AL1307="Management and Administration")+($AL1307="Marketing")+($AL1307="Sales")+($AL1307="Entrepreneurship")+($AL1307="Hospitality and Tourism"))&gt;0,"Commerce",IF((($AL1307="Social Sciences and Humanities")+($AL1307="Law Studies")+($AL1307="Education and Training")+($AL1307="Art, Design")+($AL1307="Entertainment and Mass Media")+($AL1307="Community and Social Service")+($AL1307="Personal Care and Services")+($AL1307="Government and Public Administration")+($AL1307="Defence/ Protective Service")+($AL1307="Sports"))&gt;0,"Arts / Humanities",""))))</f>
        <v/>
      </c>
      <c r="BD1307" s="5" t="str">
        <f aca="false">IF($B1307="","",--(F1307&gt;=10)+--(G1307&gt;=10)+--(H1307&gt;=10)+--(I1307&gt;=10)+--(J1307&gt;=10)+--(K1307&gt;=10)+--(L1307&gt;=10)+--(M1307&gt;=10)+--(N1307&gt;=10)+--(O1307&gt;=10))</f>
        <v/>
      </c>
      <c r="BE1307" s="5" t="str">
        <f aca="false">IF($B1307="","",--(AND(F1307&lt;&gt;"",F1307&lt;=8))+--(AND(G1307&lt;&gt;"",G1307&lt;=8))+--(AND(H1307&lt;&gt;"",H1307&lt;=8))+--(AND(I1307&lt;&gt;"",I1307&lt;=8))+--(AND(J1307&lt;&gt;"",J1307&lt;=8))+--(AND(K1307&lt;&gt;"",K1307&lt;=8))+--(AND(L1307&lt;&gt;"",L1307&lt;=8))+--(AND(M1307&lt;&gt;"",M1307&lt;=8))+--(AND(N1307&lt;&gt;"",N1307&lt;=8))+--(AND(O1307&lt;&gt;"",O1307&lt;=8)))</f>
        <v/>
      </c>
    </row>
    <row r="1308" customFormat="false" ht="15" hidden="false" customHeight="false" outlineLevel="0" collapsed="false">
      <c r="AZ1308" s="5" t="str">
        <f aca="false">IF($B1308="","",SUMPRODUCT(($AL1308:$AO1308&lt;&gt;"")*(COUNTIF($AP1308:$AX1308,$AL1308:$AO1308)&gt;0)))</f>
        <v/>
      </c>
      <c r="BA1308" s="5" t="str">
        <f aca="false">IF($B1308="","",IF(AZ1308&gt;0,1,0))</f>
        <v/>
      </c>
      <c r="BB1308" s="5" t="str">
        <f aca="false">IF($AP1308="","",IF((($AP1308="Engineering and Technology")+($AP1308="Science and Mathematics")+($AP1308="Computer Science, IT and Allied Fields")+($AP1308="Life Sciences /Medicine and Healthcare")+($AP1308="Paramedical")+($AP1308="Architecture")+($AP1308="Environmental Service")+($AP1308="Agriculture, Food Industry and Forestry"))&gt;0,"Science",IF((($AP1308="Banking and Finance")+($AP1308="Management and Administration")+($AP1308="Marketing")+($AP1308="Sales")+($AP1308="Entrepreneurship")+($AP1308="Hospitality and Tourism"))&gt;0,"Commerce",IF((($AP1308="Social Sciences and Humanities")+($AP1308="Law Studies")+($AP1308="Education and Training")+($AP1308="Art, Design")+($AP1308="Entertainment and Mass Media")+($AP1308="Community and Social Service")+($AP1308="Personal Care and Services")+($AP1308="Government and Public Administration")+($AP1308="Defence/ Protective Service")+($AP1308="Sports"))&gt;0,"Arts / Humanities",""))))</f>
        <v/>
      </c>
      <c r="BC1308" s="5" t="str">
        <f aca="false">IF($AL1308="","",IF((($AL1308="Engineering and Technology")+($AL1308="Science and Mathematics")+($AL1308="Computer Science, IT and Allied Fields")+($AL1308="Life Sciences /Medicine and Healthcare")+($AL1308="Paramedical")+($AL1308="Architecture")+($AL1308="Environmental Service")+($AL1308="Agriculture, Food Industry and Forestry"))&gt;0,"Science",IF((($AL1308="Banking and Finance")+($AL1308="Management and Administration")+($AL1308="Marketing")+($AL1308="Sales")+($AL1308="Entrepreneurship")+($AL1308="Hospitality and Tourism"))&gt;0,"Commerce",IF((($AL1308="Social Sciences and Humanities")+($AL1308="Law Studies")+($AL1308="Education and Training")+($AL1308="Art, Design")+($AL1308="Entertainment and Mass Media")+($AL1308="Community and Social Service")+($AL1308="Personal Care and Services")+($AL1308="Government and Public Administration")+($AL1308="Defence/ Protective Service")+($AL1308="Sports"))&gt;0,"Arts / Humanities",""))))</f>
        <v/>
      </c>
      <c r="BD1308" s="5" t="str">
        <f aca="false">IF($B1308="","",--(F1308&gt;=10)+--(G1308&gt;=10)+--(H1308&gt;=10)+--(I1308&gt;=10)+--(J1308&gt;=10)+--(K1308&gt;=10)+--(L1308&gt;=10)+--(M1308&gt;=10)+--(N1308&gt;=10)+--(O1308&gt;=10))</f>
        <v/>
      </c>
      <c r="BE1308" s="5" t="str">
        <f aca="false">IF($B1308="","",--(AND(F1308&lt;&gt;"",F1308&lt;=8))+--(AND(G1308&lt;&gt;"",G1308&lt;=8))+--(AND(H1308&lt;&gt;"",H1308&lt;=8))+--(AND(I1308&lt;&gt;"",I1308&lt;=8))+--(AND(J1308&lt;&gt;"",J1308&lt;=8))+--(AND(K1308&lt;&gt;"",K1308&lt;=8))+--(AND(L1308&lt;&gt;"",L1308&lt;=8))+--(AND(M1308&lt;&gt;"",M1308&lt;=8))+--(AND(N1308&lt;&gt;"",N1308&lt;=8))+--(AND(O1308&lt;&gt;"",O1308&lt;=8)))</f>
        <v/>
      </c>
    </row>
    <row r="1309" customFormat="false" ht="15" hidden="false" customHeight="false" outlineLevel="0" collapsed="false">
      <c r="AZ1309" s="5" t="str">
        <f aca="false">IF($B1309="","",SUMPRODUCT(($AL1309:$AO1309&lt;&gt;"")*(COUNTIF($AP1309:$AX1309,$AL1309:$AO1309)&gt;0)))</f>
        <v/>
      </c>
      <c r="BA1309" s="5" t="str">
        <f aca="false">IF($B1309="","",IF(AZ1309&gt;0,1,0))</f>
        <v/>
      </c>
      <c r="BB1309" s="5" t="str">
        <f aca="false">IF($AP1309="","",IF((($AP1309="Engineering and Technology")+($AP1309="Science and Mathematics")+($AP1309="Computer Science, IT and Allied Fields")+($AP1309="Life Sciences /Medicine and Healthcare")+($AP1309="Paramedical")+($AP1309="Architecture")+($AP1309="Environmental Service")+($AP1309="Agriculture, Food Industry and Forestry"))&gt;0,"Science",IF((($AP1309="Banking and Finance")+($AP1309="Management and Administration")+($AP1309="Marketing")+($AP1309="Sales")+($AP1309="Entrepreneurship")+($AP1309="Hospitality and Tourism"))&gt;0,"Commerce",IF((($AP1309="Social Sciences and Humanities")+($AP1309="Law Studies")+($AP1309="Education and Training")+($AP1309="Art, Design")+($AP1309="Entertainment and Mass Media")+($AP1309="Community and Social Service")+($AP1309="Personal Care and Services")+($AP1309="Government and Public Administration")+($AP1309="Defence/ Protective Service")+($AP1309="Sports"))&gt;0,"Arts / Humanities",""))))</f>
        <v/>
      </c>
      <c r="BC1309" s="5" t="str">
        <f aca="false">IF($AL1309="","",IF((($AL1309="Engineering and Technology")+($AL1309="Science and Mathematics")+($AL1309="Computer Science, IT and Allied Fields")+($AL1309="Life Sciences /Medicine and Healthcare")+($AL1309="Paramedical")+($AL1309="Architecture")+($AL1309="Environmental Service")+($AL1309="Agriculture, Food Industry and Forestry"))&gt;0,"Science",IF((($AL1309="Banking and Finance")+($AL1309="Management and Administration")+($AL1309="Marketing")+($AL1309="Sales")+($AL1309="Entrepreneurship")+($AL1309="Hospitality and Tourism"))&gt;0,"Commerce",IF((($AL1309="Social Sciences and Humanities")+($AL1309="Law Studies")+($AL1309="Education and Training")+($AL1309="Art, Design")+($AL1309="Entertainment and Mass Media")+($AL1309="Community and Social Service")+($AL1309="Personal Care and Services")+($AL1309="Government and Public Administration")+($AL1309="Defence/ Protective Service")+($AL1309="Sports"))&gt;0,"Arts / Humanities",""))))</f>
        <v/>
      </c>
      <c r="BD1309" s="5" t="str">
        <f aca="false">IF($B1309="","",--(F1309&gt;=10)+--(G1309&gt;=10)+--(H1309&gt;=10)+--(I1309&gt;=10)+--(J1309&gt;=10)+--(K1309&gt;=10)+--(L1309&gt;=10)+--(M1309&gt;=10)+--(N1309&gt;=10)+--(O1309&gt;=10))</f>
        <v/>
      </c>
      <c r="BE1309" s="5" t="str">
        <f aca="false">IF($B1309="","",--(AND(F1309&lt;&gt;"",F1309&lt;=8))+--(AND(G1309&lt;&gt;"",G1309&lt;=8))+--(AND(H1309&lt;&gt;"",H1309&lt;=8))+--(AND(I1309&lt;&gt;"",I1309&lt;=8))+--(AND(J1309&lt;&gt;"",J1309&lt;=8))+--(AND(K1309&lt;&gt;"",K1309&lt;=8))+--(AND(L1309&lt;&gt;"",L1309&lt;=8))+--(AND(M1309&lt;&gt;"",M1309&lt;=8))+--(AND(N1309&lt;&gt;"",N1309&lt;=8))+--(AND(O1309&lt;&gt;"",O1309&lt;=8)))</f>
        <v/>
      </c>
    </row>
    <row r="1310" customFormat="false" ht="15" hidden="false" customHeight="false" outlineLevel="0" collapsed="false">
      <c r="AZ1310" s="5" t="str">
        <f aca="false">IF($B1310="","",SUMPRODUCT(($AL1310:$AO1310&lt;&gt;"")*(COUNTIF($AP1310:$AX1310,$AL1310:$AO1310)&gt;0)))</f>
        <v/>
      </c>
      <c r="BA1310" s="5" t="str">
        <f aca="false">IF($B1310="","",IF(AZ1310&gt;0,1,0))</f>
        <v/>
      </c>
      <c r="BB1310" s="5" t="str">
        <f aca="false">IF($AP1310="","",IF((($AP1310="Engineering and Technology")+($AP1310="Science and Mathematics")+($AP1310="Computer Science, IT and Allied Fields")+($AP1310="Life Sciences /Medicine and Healthcare")+($AP1310="Paramedical")+($AP1310="Architecture")+($AP1310="Environmental Service")+($AP1310="Agriculture, Food Industry and Forestry"))&gt;0,"Science",IF((($AP1310="Banking and Finance")+($AP1310="Management and Administration")+($AP1310="Marketing")+($AP1310="Sales")+($AP1310="Entrepreneurship")+($AP1310="Hospitality and Tourism"))&gt;0,"Commerce",IF((($AP1310="Social Sciences and Humanities")+($AP1310="Law Studies")+($AP1310="Education and Training")+($AP1310="Art, Design")+($AP1310="Entertainment and Mass Media")+($AP1310="Community and Social Service")+($AP1310="Personal Care and Services")+($AP1310="Government and Public Administration")+($AP1310="Defence/ Protective Service")+($AP1310="Sports"))&gt;0,"Arts / Humanities",""))))</f>
        <v/>
      </c>
      <c r="BC1310" s="5" t="str">
        <f aca="false">IF($AL1310="","",IF((($AL1310="Engineering and Technology")+($AL1310="Science and Mathematics")+($AL1310="Computer Science, IT and Allied Fields")+($AL1310="Life Sciences /Medicine and Healthcare")+($AL1310="Paramedical")+($AL1310="Architecture")+($AL1310="Environmental Service")+($AL1310="Agriculture, Food Industry and Forestry"))&gt;0,"Science",IF((($AL1310="Banking and Finance")+($AL1310="Management and Administration")+($AL1310="Marketing")+($AL1310="Sales")+($AL1310="Entrepreneurship")+($AL1310="Hospitality and Tourism"))&gt;0,"Commerce",IF((($AL1310="Social Sciences and Humanities")+($AL1310="Law Studies")+($AL1310="Education and Training")+($AL1310="Art, Design")+($AL1310="Entertainment and Mass Media")+($AL1310="Community and Social Service")+($AL1310="Personal Care and Services")+($AL1310="Government and Public Administration")+($AL1310="Defence/ Protective Service")+($AL1310="Sports"))&gt;0,"Arts / Humanities",""))))</f>
        <v/>
      </c>
      <c r="BD1310" s="5" t="str">
        <f aca="false">IF($B1310="","",--(F1310&gt;=10)+--(G1310&gt;=10)+--(H1310&gt;=10)+--(I1310&gt;=10)+--(J1310&gt;=10)+--(K1310&gt;=10)+--(L1310&gt;=10)+--(M1310&gt;=10)+--(N1310&gt;=10)+--(O1310&gt;=10))</f>
        <v/>
      </c>
      <c r="BE1310" s="5" t="str">
        <f aca="false">IF($B1310="","",--(AND(F1310&lt;&gt;"",F1310&lt;=8))+--(AND(G1310&lt;&gt;"",G1310&lt;=8))+--(AND(H1310&lt;&gt;"",H1310&lt;=8))+--(AND(I1310&lt;&gt;"",I1310&lt;=8))+--(AND(J1310&lt;&gt;"",J1310&lt;=8))+--(AND(K1310&lt;&gt;"",K1310&lt;=8))+--(AND(L1310&lt;&gt;"",L1310&lt;=8))+--(AND(M1310&lt;&gt;"",M1310&lt;=8))+--(AND(N1310&lt;&gt;"",N1310&lt;=8))+--(AND(O1310&lt;&gt;"",O1310&lt;=8)))</f>
        <v/>
      </c>
    </row>
    <row r="1311" customFormat="false" ht="15" hidden="false" customHeight="false" outlineLevel="0" collapsed="false">
      <c r="AZ1311" s="5" t="str">
        <f aca="false">IF($B1311="","",SUMPRODUCT(($AL1311:$AO1311&lt;&gt;"")*(COUNTIF($AP1311:$AX1311,$AL1311:$AO1311)&gt;0)))</f>
        <v/>
      </c>
      <c r="BA1311" s="5" t="str">
        <f aca="false">IF($B1311="","",IF(AZ1311&gt;0,1,0))</f>
        <v/>
      </c>
      <c r="BB1311" s="5" t="str">
        <f aca="false">IF($AP1311="","",IF((($AP1311="Engineering and Technology")+($AP1311="Science and Mathematics")+($AP1311="Computer Science, IT and Allied Fields")+($AP1311="Life Sciences /Medicine and Healthcare")+($AP1311="Paramedical")+($AP1311="Architecture")+($AP1311="Environmental Service")+($AP1311="Agriculture, Food Industry and Forestry"))&gt;0,"Science",IF((($AP1311="Banking and Finance")+($AP1311="Management and Administration")+($AP1311="Marketing")+($AP1311="Sales")+($AP1311="Entrepreneurship")+($AP1311="Hospitality and Tourism"))&gt;0,"Commerce",IF((($AP1311="Social Sciences and Humanities")+($AP1311="Law Studies")+($AP1311="Education and Training")+($AP1311="Art, Design")+($AP1311="Entertainment and Mass Media")+($AP1311="Community and Social Service")+($AP1311="Personal Care and Services")+($AP1311="Government and Public Administration")+($AP1311="Defence/ Protective Service")+($AP1311="Sports"))&gt;0,"Arts / Humanities",""))))</f>
        <v/>
      </c>
      <c r="BC1311" s="5" t="str">
        <f aca="false">IF($AL1311="","",IF((($AL1311="Engineering and Technology")+($AL1311="Science and Mathematics")+($AL1311="Computer Science, IT and Allied Fields")+($AL1311="Life Sciences /Medicine and Healthcare")+($AL1311="Paramedical")+($AL1311="Architecture")+($AL1311="Environmental Service")+($AL1311="Agriculture, Food Industry and Forestry"))&gt;0,"Science",IF((($AL1311="Banking and Finance")+($AL1311="Management and Administration")+($AL1311="Marketing")+($AL1311="Sales")+($AL1311="Entrepreneurship")+($AL1311="Hospitality and Tourism"))&gt;0,"Commerce",IF((($AL1311="Social Sciences and Humanities")+($AL1311="Law Studies")+($AL1311="Education and Training")+($AL1311="Art, Design")+($AL1311="Entertainment and Mass Media")+($AL1311="Community and Social Service")+($AL1311="Personal Care and Services")+($AL1311="Government and Public Administration")+($AL1311="Defence/ Protective Service")+($AL1311="Sports"))&gt;0,"Arts / Humanities",""))))</f>
        <v/>
      </c>
      <c r="BD1311" s="5" t="str">
        <f aca="false">IF($B1311="","",--(F1311&gt;=10)+--(G1311&gt;=10)+--(H1311&gt;=10)+--(I1311&gt;=10)+--(J1311&gt;=10)+--(K1311&gt;=10)+--(L1311&gt;=10)+--(M1311&gt;=10)+--(N1311&gt;=10)+--(O1311&gt;=10))</f>
        <v/>
      </c>
      <c r="BE1311" s="5" t="str">
        <f aca="false">IF($B1311="","",--(AND(F1311&lt;&gt;"",F1311&lt;=8))+--(AND(G1311&lt;&gt;"",G1311&lt;=8))+--(AND(H1311&lt;&gt;"",H1311&lt;=8))+--(AND(I1311&lt;&gt;"",I1311&lt;=8))+--(AND(J1311&lt;&gt;"",J1311&lt;=8))+--(AND(K1311&lt;&gt;"",K1311&lt;=8))+--(AND(L1311&lt;&gt;"",L1311&lt;=8))+--(AND(M1311&lt;&gt;"",M1311&lt;=8))+--(AND(N1311&lt;&gt;"",N1311&lt;=8))+--(AND(O1311&lt;&gt;"",O1311&lt;=8)))</f>
        <v/>
      </c>
    </row>
    <row r="1312" customFormat="false" ht="15" hidden="false" customHeight="false" outlineLevel="0" collapsed="false">
      <c r="AZ1312" s="5" t="str">
        <f aca="false">IF($B1312="","",SUMPRODUCT(($AL1312:$AO1312&lt;&gt;"")*(COUNTIF($AP1312:$AX1312,$AL1312:$AO1312)&gt;0)))</f>
        <v/>
      </c>
      <c r="BA1312" s="5" t="str">
        <f aca="false">IF($B1312="","",IF(AZ1312&gt;0,1,0))</f>
        <v/>
      </c>
      <c r="BB1312" s="5" t="str">
        <f aca="false">IF($AP1312="","",IF((($AP1312="Engineering and Technology")+($AP1312="Science and Mathematics")+($AP1312="Computer Science, IT and Allied Fields")+($AP1312="Life Sciences /Medicine and Healthcare")+($AP1312="Paramedical")+($AP1312="Architecture")+($AP1312="Environmental Service")+($AP1312="Agriculture, Food Industry and Forestry"))&gt;0,"Science",IF((($AP1312="Banking and Finance")+($AP1312="Management and Administration")+($AP1312="Marketing")+($AP1312="Sales")+($AP1312="Entrepreneurship")+($AP1312="Hospitality and Tourism"))&gt;0,"Commerce",IF((($AP1312="Social Sciences and Humanities")+($AP1312="Law Studies")+($AP1312="Education and Training")+($AP1312="Art, Design")+($AP1312="Entertainment and Mass Media")+($AP1312="Community and Social Service")+($AP1312="Personal Care and Services")+($AP1312="Government and Public Administration")+($AP1312="Defence/ Protective Service")+($AP1312="Sports"))&gt;0,"Arts / Humanities",""))))</f>
        <v/>
      </c>
      <c r="BC1312" s="5" t="str">
        <f aca="false">IF($AL1312="","",IF((($AL1312="Engineering and Technology")+($AL1312="Science and Mathematics")+($AL1312="Computer Science, IT and Allied Fields")+($AL1312="Life Sciences /Medicine and Healthcare")+($AL1312="Paramedical")+($AL1312="Architecture")+($AL1312="Environmental Service")+($AL1312="Agriculture, Food Industry and Forestry"))&gt;0,"Science",IF((($AL1312="Banking and Finance")+($AL1312="Management and Administration")+($AL1312="Marketing")+($AL1312="Sales")+($AL1312="Entrepreneurship")+($AL1312="Hospitality and Tourism"))&gt;0,"Commerce",IF((($AL1312="Social Sciences and Humanities")+($AL1312="Law Studies")+($AL1312="Education and Training")+($AL1312="Art, Design")+($AL1312="Entertainment and Mass Media")+($AL1312="Community and Social Service")+($AL1312="Personal Care and Services")+($AL1312="Government and Public Administration")+($AL1312="Defence/ Protective Service")+($AL1312="Sports"))&gt;0,"Arts / Humanities",""))))</f>
        <v/>
      </c>
      <c r="BD1312" s="5" t="str">
        <f aca="false">IF($B1312="","",--(F1312&gt;=10)+--(G1312&gt;=10)+--(H1312&gt;=10)+--(I1312&gt;=10)+--(J1312&gt;=10)+--(K1312&gt;=10)+--(L1312&gt;=10)+--(M1312&gt;=10)+--(N1312&gt;=10)+--(O1312&gt;=10))</f>
        <v/>
      </c>
      <c r="BE1312" s="5" t="str">
        <f aca="false">IF($B1312="","",--(AND(F1312&lt;&gt;"",F1312&lt;=8))+--(AND(G1312&lt;&gt;"",G1312&lt;=8))+--(AND(H1312&lt;&gt;"",H1312&lt;=8))+--(AND(I1312&lt;&gt;"",I1312&lt;=8))+--(AND(J1312&lt;&gt;"",J1312&lt;=8))+--(AND(K1312&lt;&gt;"",K1312&lt;=8))+--(AND(L1312&lt;&gt;"",L1312&lt;=8))+--(AND(M1312&lt;&gt;"",M1312&lt;=8))+--(AND(N1312&lt;&gt;"",N1312&lt;=8))+--(AND(O1312&lt;&gt;"",O1312&lt;=8)))</f>
        <v/>
      </c>
    </row>
    <row r="1313" customFormat="false" ht="15" hidden="false" customHeight="false" outlineLevel="0" collapsed="false">
      <c r="AZ1313" s="5" t="str">
        <f aca="false">IF($B1313="","",SUMPRODUCT(($AL1313:$AO1313&lt;&gt;"")*(COUNTIF($AP1313:$AX1313,$AL1313:$AO1313)&gt;0)))</f>
        <v/>
      </c>
      <c r="BA1313" s="5" t="str">
        <f aca="false">IF($B1313="","",IF(AZ1313&gt;0,1,0))</f>
        <v/>
      </c>
      <c r="BB1313" s="5" t="str">
        <f aca="false">IF($AP1313="","",IF((($AP1313="Engineering and Technology")+($AP1313="Science and Mathematics")+($AP1313="Computer Science, IT and Allied Fields")+($AP1313="Life Sciences /Medicine and Healthcare")+($AP1313="Paramedical")+($AP1313="Architecture")+($AP1313="Environmental Service")+($AP1313="Agriculture, Food Industry and Forestry"))&gt;0,"Science",IF((($AP1313="Banking and Finance")+($AP1313="Management and Administration")+($AP1313="Marketing")+($AP1313="Sales")+($AP1313="Entrepreneurship")+($AP1313="Hospitality and Tourism"))&gt;0,"Commerce",IF((($AP1313="Social Sciences and Humanities")+($AP1313="Law Studies")+($AP1313="Education and Training")+($AP1313="Art, Design")+($AP1313="Entertainment and Mass Media")+($AP1313="Community and Social Service")+($AP1313="Personal Care and Services")+($AP1313="Government and Public Administration")+($AP1313="Defence/ Protective Service")+($AP1313="Sports"))&gt;0,"Arts / Humanities",""))))</f>
        <v/>
      </c>
      <c r="BC1313" s="5" t="str">
        <f aca="false">IF($AL1313="","",IF((($AL1313="Engineering and Technology")+($AL1313="Science and Mathematics")+($AL1313="Computer Science, IT and Allied Fields")+($AL1313="Life Sciences /Medicine and Healthcare")+($AL1313="Paramedical")+($AL1313="Architecture")+($AL1313="Environmental Service")+($AL1313="Agriculture, Food Industry and Forestry"))&gt;0,"Science",IF((($AL1313="Banking and Finance")+($AL1313="Management and Administration")+($AL1313="Marketing")+($AL1313="Sales")+($AL1313="Entrepreneurship")+($AL1313="Hospitality and Tourism"))&gt;0,"Commerce",IF((($AL1313="Social Sciences and Humanities")+($AL1313="Law Studies")+($AL1313="Education and Training")+($AL1313="Art, Design")+($AL1313="Entertainment and Mass Media")+($AL1313="Community and Social Service")+($AL1313="Personal Care and Services")+($AL1313="Government and Public Administration")+($AL1313="Defence/ Protective Service")+($AL1313="Sports"))&gt;0,"Arts / Humanities",""))))</f>
        <v/>
      </c>
      <c r="BD1313" s="5" t="str">
        <f aca="false">IF($B1313="","",--(F1313&gt;=10)+--(G1313&gt;=10)+--(H1313&gt;=10)+--(I1313&gt;=10)+--(J1313&gt;=10)+--(K1313&gt;=10)+--(L1313&gt;=10)+--(M1313&gt;=10)+--(N1313&gt;=10)+--(O1313&gt;=10))</f>
        <v/>
      </c>
      <c r="BE1313" s="5" t="str">
        <f aca="false">IF($B1313="","",--(AND(F1313&lt;&gt;"",F1313&lt;=8))+--(AND(G1313&lt;&gt;"",G1313&lt;=8))+--(AND(H1313&lt;&gt;"",H1313&lt;=8))+--(AND(I1313&lt;&gt;"",I1313&lt;=8))+--(AND(J1313&lt;&gt;"",J1313&lt;=8))+--(AND(K1313&lt;&gt;"",K1313&lt;=8))+--(AND(L1313&lt;&gt;"",L1313&lt;=8))+--(AND(M1313&lt;&gt;"",M1313&lt;=8))+--(AND(N1313&lt;&gt;"",N1313&lt;=8))+--(AND(O1313&lt;&gt;"",O1313&lt;=8)))</f>
        <v/>
      </c>
    </row>
    <row r="1314" customFormat="false" ht="15" hidden="false" customHeight="false" outlineLevel="0" collapsed="false">
      <c r="AZ1314" s="5" t="str">
        <f aca="false">IF($B1314="","",SUMPRODUCT(($AL1314:$AO1314&lt;&gt;"")*(COUNTIF($AP1314:$AX1314,$AL1314:$AO1314)&gt;0)))</f>
        <v/>
      </c>
      <c r="BA1314" s="5" t="str">
        <f aca="false">IF($B1314="","",IF(AZ1314&gt;0,1,0))</f>
        <v/>
      </c>
      <c r="BB1314" s="5" t="str">
        <f aca="false">IF($AP1314="","",IF((($AP1314="Engineering and Technology")+($AP1314="Science and Mathematics")+($AP1314="Computer Science, IT and Allied Fields")+($AP1314="Life Sciences /Medicine and Healthcare")+($AP1314="Paramedical")+($AP1314="Architecture")+($AP1314="Environmental Service")+($AP1314="Agriculture, Food Industry and Forestry"))&gt;0,"Science",IF((($AP1314="Banking and Finance")+($AP1314="Management and Administration")+($AP1314="Marketing")+($AP1314="Sales")+($AP1314="Entrepreneurship")+($AP1314="Hospitality and Tourism"))&gt;0,"Commerce",IF((($AP1314="Social Sciences and Humanities")+($AP1314="Law Studies")+($AP1314="Education and Training")+($AP1314="Art, Design")+($AP1314="Entertainment and Mass Media")+($AP1314="Community and Social Service")+($AP1314="Personal Care and Services")+($AP1314="Government and Public Administration")+($AP1314="Defence/ Protective Service")+($AP1314="Sports"))&gt;0,"Arts / Humanities",""))))</f>
        <v/>
      </c>
      <c r="BC1314" s="5" t="str">
        <f aca="false">IF($AL1314="","",IF((($AL1314="Engineering and Technology")+($AL1314="Science and Mathematics")+($AL1314="Computer Science, IT and Allied Fields")+($AL1314="Life Sciences /Medicine and Healthcare")+($AL1314="Paramedical")+($AL1314="Architecture")+($AL1314="Environmental Service")+($AL1314="Agriculture, Food Industry and Forestry"))&gt;0,"Science",IF((($AL1314="Banking and Finance")+($AL1314="Management and Administration")+($AL1314="Marketing")+($AL1314="Sales")+($AL1314="Entrepreneurship")+($AL1314="Hospitality and Tourism"))&gt;0,"Commerce",IF((($AL1314="Social Sciences and Humanities")+($AL1314="Law Studies")+($AL1314="Education and Training")+($AL1314="Art, Design")+($AL1314="Entertainment and Mass Media")+($AL1314="Community and Social Service")+($AL1314="Personal Care and Services")+($AL1314="Government and Public Administration")+($AL1314="Defence/ Protective Service")+($AL1314="Sports"))&gt;0,"Arts / Humanities",""))))</f>
        <v/>
      </c>
      <c r="BD1314" s="5" t="str">
        <f aca="false">IF($B1314="","",--(F1314&gt;=10)+--(G1314&gt;=10)+--(H1314&gt;=10)+--(I1314&gt;=10)+--(J1314&gt;=10)+--(K1314&gt;=10)+--(L1314&gt;=10)+--(M1314&gt;=10)+--(N1314&gt;=10)+--(O1314&gt;=10))</f>
        <v/>
      </c>
      <c r="BE1314" s="5" t="str">
        <f aca="false">IF($B1314="","",--(AND(F1314&lt;&gt;"",F1314&lt;=8))+--(AND(G1314&lt;&gt;"",G1314&lt;=8))+--(AND(H1314&lt;&gt;"",H1314&lt;=8))+--(AND(I1314&lt;&gt;"",I1314&lt;=8))+--(AND(J1314&lt;&gt;"",J1314&lt;=8))+--(AND(K1314&lt;&gt;"",K1314&lt;=8))+--(AND(L1314&lt;&gt;"",L1314&lt;=8))+--(AND(M1314&lt;&gt;"",M1314&lt;=8))+--(AND(N1314&lt;&gt;"",N1314&lt;=8))+--(AND(O1314&lt;&gt;"",O1314&lt;=8)))</f>
        <v/>
      </c>
    </row>
    <row r="1315" customFormat="false" ht="15" hidden="false" customHeight="false" outlineLevel="0" collapsed="false">
      <c r="AZ1315" s="5" t="str">
        <f aca="false">IF($B1315="","",SUMPRODUCT(($AL1315:$AO1315&lt;&gt;"")*(COUNTIF($AP1315:$AX1315,$AL1315:$AO1315)&gt;0)))</f>
        <v/>
      </c>
      <c r="BA1315" s="5" t="str">
        <f aca="false">IF($B1315="","",IF(AZ1315&gt;0,1,0))</f>
        <v/>
      </c>
      <c r="BB1315" s="5" t="str">
        <f aca="false">IF($AP1315="","",IF((($AP1315="Engineering and Technology")+($AP1315="Science and Mathematics")+($AP1315="Computer Science, IT and Allied Fields")+($AP1315="Life Sciences /Medicine and Healthcare")+($AP1315="Paramedical")+($AP1315="Architecture")+($AP1315="Environmental Service")+($AP1315="Agriculture, Food Industry and Forestry"))&gt;0,"Science",IF((($AP1315="Banking and Finance")+($AP1315="Management and Administration")+($AP1315="Marketing")+($AP1315="Sales")+($AP1315="Entrepreneurship")+($AP1315="Hospitality and Tourism"))&gt;0,"Commerce",IF((($AP1315="Social Sciences and Humanities")+($AP1315="Law Studies")+($AP1315="Education and Training")+($AP1315="Art, Design")+($AP1315="Entertainment and Mass Media")+($AP1315="Community and Social Service")+($AP1315="Personal Care and Services")+($AP1315="Government and Public Administration")+($AP1315="Defence/ Protective Service")+($AP1315="Sports"))&gt;0,"Arts / Humanities",""))))</f>
        <v/>
      </c>
      <c r="BC1315" s="5" t="str">
        <f aca="false">IF($AL1315="","",IF((($AL1315="Engineering and Technology")+($AL1315="Science and Mathematics")+($AL1315="Computer Science, IT and Allied Fields")+($AL1315="Life Sciences /Medicine and Healthcare")+($AL1315="Paramedical")+($AL1315="Architecture")+($AL1315="Environmental Service")+($AL1315="Agriculture, Food Industry and Forestry"))&gt;0,"Science",IF((($AL1315="Banking and Finance")+($AL1315="Management and Administration")+($AL1315="Marketing")+($AL1315="Sales")+($AL1315="Entrepreneurship")+($AL1315="Hospitality and Tourism"))&gt;0,"Commerce",IF((($AL1315="Social Sciences and Humanities")+($AL1315="Law Studies")+($AL1315="Education and Training")+($AL1315="Art, Design")+($AL1315="Entertainment and Mass Media")+($AL1315="Community and Social Service")+($AL1315="Personal Care and Services")+($AL1315="Government and Public Administration")+($AL1315="Defence/ Protective Service")+($AL1315="Sports"))&gt;0,"Arts / Humanities",""))))</f>
        <v/>
      </c>
      <c r="BD1315" s="5" t="str">
        <f aca="false">IF($B1315="","",--(F1315&gt;=10)+--(G1315&gt;=10)+--(H1315&gt;=10)+--(I1315&gt;=10)+--(J1315&gt;=10)+--(K1315&gt;=10)+--(L1315&gt;=10)+--(M1315&gt;=10)+--(N1315&gt;=10)+--(O1315&gt;=10))</f>
        <v/>
      </c>
      <c r="BE1315" s="5" t="str">
        <f aca="false">IF($B1315="","",--(AND(F1315&lt;&gt;"",F1315&lt;=8))+--(AND(G1315&lt;&gt;"",G1315&lt;=8))+--(AND(H1315&lt;&gt;"",H1315&lt;=8))+--(AND(I1315&lt;&gt;"",I1315&lt;=8))+--(AND(J1315&lt;&gt;"",J1315&lt;=8))+--(AND(K1315&lt;&gt;"",K1315&lt;=8))+--(AND(L1315&lt;&gt;"",L1315&lt;=8))+--(AND(M1315&lt;&gt;"",M1315&lt;=8))+--(AND(N1315&lt;&gt;"",N1315&lt;=8))+--(AND(O1315&lt;&gt;"",O1315&lt;=8)))</f>
        <v/>
      </c>
    </row>
    <row r="1316" customFormat="false" ht="15" hidden="false" customHeight="false" outlineLevel="0" collapsed="false">
      <c r="AZ1316" s="5" t="str">
        <f aca="false">IF($B1316="","",SUMPRODUCT(($AL1316:$AO1316&lt;&gt;"")*(COUNTIF($AP1316:$AX1316,$AL1316:$AO1316)&gt;0)))</f>
        <v/>
      </c>
      <c r="BA1316" s="5" t="str">
        <f aca="false">IF($B1316="","",IF(AZ1316&gt;0,1,0))</f>
        <v/>
      </c>
      <c r="BB1316" s="5" t="str">
        <f aca="false">IF($AP1316="","",IF((($AP1316="Engineering and Technology")+($AP1316="Science and Mathematics")+($AP1316="Computer Science, IT and Allied Fields")+($AP1316="Life Sciences /Medicine and Healthcare")+($AP1316="Paramedical")+($AP1316="Architecture")+($AP1316="Environmental Service")+($AP1316="Agriculture, Food Industry and Forestry"))&gt;0,"Science",IF((($AP1316="Banking and Finance")+($AP1316="Management and Administration")+($AP1316="Marketing")+($AP1316="Sales")+($AP1316="Entrepreneurship")+($AP1316="Hospitality and Tourism"))&gt;0,"Commerce",IF((($AP1316="Social Sciences and Humanities")+($AP1316="Law Studies")+($AP1316="Education and Training")+($AP1316="Art, Design")+($AP1316="Entertainment and Mass Media")+($AP1316="Community and Social Service")+($AP1316="Personal Care and Services")+($AP1316="Government and Public Administration")+($AP1316="Defence/ Protective Service")+($AP1316="Sports"))&gt;0,"Arts / Humanities",""))))</f>
        <v/>
      </c>
      <c r="BC1316" s="5" t="str">
        <f aca="false">IF($AL1316="","",IF((($AL1316="Engineering and Technology")+($AL1316="Science and Mathematics")+($AL1316="Computer Science, IT and Allied Fields")+($AL1316="Life Sciences /Medicine and Healthcare")+($AL1316="Paramedical")+($AL1316="Architecture")+($AL1316="Environmental Service")+($AL1316="Agriculture, Food Industry and Forestry"))&gt;0,"Science",IF((($AL1316="Banking and Finance")+($AL1316="Management and Administration")+($AL1316="Marketing")+($AL1316="Sales")+($AL1316="Entrepreneurship")+($AL1316="Hospitality and Tourism"))&gt;0,"Commerce",IF((($AL1316="Social Sciences and Humanities")+($AL1316="Law Studies")+($AL1316="Education and Training")+($AL1316="Art, Design")+($AL1316="Entertainment and Mass Media")+($AL1316="Community and Social Service")+($AL1316="Personal Care and Services")+($AL1316="Government and Public Administration")+($AL1316="Defence/ Protective Service")+($AL1316="Sports"))&gt;0,"Arts / Humanities",""))))</f>
        <v/>
      </c>
      <c r="BD1316" s="5" t="str">
        <f aca="false">IF($B1316="","",--(F1316&gt;=10)+--(G1316&gt;=10)+--(H1316&gt;=10)+--(I1316&gt;=10)+--(J1316&gt;=10)+--(K1316&gt;=10)+--(L1316&gt;=10)+--(M1316&gt;=10)+--(N1316&gt;=10)+--(O1316&gt;=10))</f>
        <v/>
      </c>
      <c r="BE1316" s="5" t="str">
        <f aca="false">IF($B1316="","",--(AND(F1316&lt;&gt;"",F1316&lt;=8))+--(AND(G1316&lt;&gt;"",G1316&lt;=8))+--(AND(H1316&lt;&gt;"",H1316&lt;=8))+--(AND(I1316&lt;&gt;"",I1316&lt;=8))+--(AND(J1316&lt;&gt;"",J1316&lt;=8))+--(AND(K1316&lt;&gt;"",K1316&lt;=8))+--(AND(L1316&lt;&gt;"",L1316&lt;=8))+--(AND(M1316&lt;&gt;"",M1316&lt;=8))+--(AND(N1316&lt;&gt;"",N1316&lt;=8))+--(AND(O1316&lt;&gt;"",O1316&lt;=8)))</f>
        <v/>
      </c>
    </row>
    <row r="1317" customFormat="false" ht="15" hidden="false" customHeight="false" outlineLevel="0" collapsed="false">
      <c r="AZ1317" s="5" t="str">
        <f aca="false">IF($B1317="","",SUMPRODUCT(($AL1317:$AO1317&lt;&gt;"")*(COUNTIF($AP1317:$AX1317,$AL1317:$AO1317)&gt;0)))</f>
        <v/>
      </c>
      <c r="BA1317" s="5" t="str">
        <f aca="false">IF($B1317="","",IF(AZ1317&gt;0,1,0))</f>
        <v/>
      </c>
      <c r="BB1317" s="5" t="str">
        <f aca="false">IF($AP1317="","",IF((($AP1317="Engineering and Technology")+($AP1317="Science and Mathematics")+($AP1317="Computer Science, IT and Allied Fields")+($AP1317="Life Sciences /Medicine and Healthcare")+($AP1317="Paramedical")+($AP1317="Architecture")+($AP1317="Environmental Service")+($AP1317="Agriculture, Food Industry and Forestry"))&gt;0,"Science",IF((($AP1317="Banking and Finance")+($AP1317="Management and Administration")+($AP1317="Marketing")+($AP1317="Sales")+($AP1317="Entrepreneurship")+($AP1317="Hospitality and Tourism"))&gt;0,"Commerce",IF((($AP1317="Social Sciences and Humanities")+($AP1317="Law Studies")+($AP1317="Education and Training")+($AP1317="Art, Design")+($AP1317="Entertainment and Mass Media")+($AP1317="Community and Social Service")+($AP1317="Personal Care and Services")+($AP1317="Government and Public Administration")+($AP1317="Defence/ Protective Service")+($AP1317="Sports"))&gt;0,"Arts / Humanities",""))))</f>
        <v/>
      </c>
      <c r="BC1317" s="5" t="str">
        <f aca="false">IF($AL1317="","",IF((($AL1317="Engineering and Technology")+($AL1317="Science and Mathematics")+($AL1317="Computer Science, IT and Allied Fields")+($AL1317="Life Sciences /Medicine and Healthcare")+($AL1317="Paramedical")+($AL1317="Architecture")+($AL1317="Environmental Service")+($AL1317="Agriculture, Food Industry and Forestry"))&gt;0,"Science",IF((($AL1317="Banking and Finance")+($AL1317="Management and Administration")+($AL1317="Marketing")+($AL1317="Sales")+($AL1317="Entrepreneurship")+($AL1317="Hospitality and Tourism"))&gt;0,"Commerce",IF((($AL1317="Social Sciences and Humanities")+($AL1317="Law Studies")+($AL1317="Education and Training")+($AL1317="Art, Design")+($AL1317="Entertainment and Mass Media")+($AL1317="Community and Social Service")+($AL1317="Personal Care and Services")+($AL1317="Government and Public Administration")+($AL1317="Defence/ Protective Service")+($AL1317="Sports"))&gt;0,"Arts / Humanities",""))))</f>
        <v/>
      </c>
      <c r="BD1317" s="5" t="str">
        <f aca="false">IF($B1317="","",--(F1317&gt;=10)+--(G1317&gt;=10)+--(H1317&gt;=10)+--(I1317&gt;=10)+--(J1317&gt;=10)+--(K1317&gt;=10)+--(L1317&gt;=10)+--(M1317&gt;=10)+--(N1317&gt;=10)+--(O1317&gt;=10))</f>
        <v/>
      </c>
      <c r="BE1317" s="5" t="str">
        <f aca="false">IF($B1317="","",--(AND(F1317&lt;&gt;"",F1317&lt;=8))+--(AND(G1317&lt;&gt;"",G1317&lt;=8))+--(AND(H1317&lt;&gt;"",H1317&lt;=8))+--(AND(I1317&lt;&gt;"",I1317&lt;=8))+--(AND(J1317&lt;&gt;"",J1317&lt;=8))+--(AND(K1317&lt;&gt;"",K1317&lt;=8))+--(AND(L1317&lt;&gt;"",L1317&lt;=8))+--(AND(M1317&lt;&gt;"",M1317&lt;=8))+--(AND(N1317&lt;&gt;"",N1317&lt;=8))+--(AND(O1317&lt;&gt;"",O1317&lt;=8)))</f>
        <v/>
      </c>
    </row>
    <row r="1318" customFormat="false" ht="15" hidden="false" customHeight="false" outlineLevel="0" collapsed="false">
      <c r="AZ1318" s="5" t="str">
        <f aca="false">IF($B1318="","",SUMPRODUCT(($AL1318:$AO1318&lt;&gt;"")*(COUNTIF($AP1318:$AX1318,$AL1318:$AO1318)&gt;0)))</f>
        <v/>
      </c>
      <c r="BA1318" s="5" t="str">
        <f aca="false">IF($B1318="","",IF(AZ1318&gt;0,1,0))</f>
        <v/>
      </c>
      <c r="BB1318" s="5" t="str">
        <f aca="false">IF($AP1318="","",IF((($AP1318="Engineering and Technology")+($AP1318="Science and Mathematics")+($AP1318="Computer Science, IT and Allied Fields")+($AP1318="Life Sciences /Medicine and Healthcare")+($AP1318="Paramedical")+($AP1318="Architecture")+($AP1318="Environmental Service")+($AP1318="Agriculture, Food Industry and Forestry"))&gt;0,"Science",IF((($AP1318="Banking and Finance")+($AP1318="Management and Administration")+($AP1318="Marketing")+($AP1318="Sales")+($AP1318="Entrepreneurship")+($AP1318="Hospitality and Tourism"))&gt;0,"Commerce",IF((($AP1318="Social Sciences and Humanities")+($AP1318="Law Studies")+($AP1318="Education and Training")+($AP1318="Art, Design")+($AP1318="Entertainment and Mass Media")+($AP1318="Community and Social Service")+($AP1318="Personal Care and Services")+($AP1318="Government and Public Administration")+($AP1318="Defence/ Protective Service")+($AP1318="Sports"))&gt;0,"Arts / Humanities",""))))</f>
        <v/>
      </c>
      <c r="BC1318" s="5" t="str">
        <f aca="false">IF($AL1318="","",IF((($AL1318="Engineering and Technology")+($AL1318="Science and Mathematics")+($AL1318="Computer Science, IT and Allied Fields")+($AL1318="Life Sciences /Medicine and Healthcare")+($AL1318="Paramedical")+($AL1318="Architecture")+($AL1318="Environmental Service")+($AL1318="Agriculture, Food Industry and Forestry"))&gt;0,"Science",IF((($AL1318="Banking and Finance")+($AL1318="Management and Administration")+($AL1318="Marketing")+($AL1318="Sales")+($AL1318="Entrepreneurship")+($AL1318="Hospitality and Tourism"))&gt;0,"Commerce",IF((($AL1318="Social Sciences and Humanities")+($AL1318="Law Studies")+($AL1318="Education and Training")+($AL1318="Art, Design")+($AL1318="Entertainment and Mass Media")+($AL1318="Community and Social Service")+($AL1318="Personal Care and Services")+($AL1318="Government and Public Administration")+($AL1318="Defence/ Protective Service")+($AL1318="Sports"))&gt;0,"Arts / Humanities",""))))</f>
        <v/>
      </c>
      <c r="BD1318" s="5" t="str">
        <f aca="false">IF($B1318="","",--(F1318&gt;=10)+--(G1318&gt;=10)+--(H1318&gt;=10)+--(I1318&gt;=10)+--(J1318&gt;=10)+--(K1318&gt;=10)+--(L1318&gt;=10)+--(M1318&gt;=10)+--(N1318&gt;=10)+--(O1318&gt;=10))</f>
        <v/>
      </c>
      <c r="BE1318" s="5" t="str">
        <f aca="false">IF($B1318="","",--(AND(F1318&lt;&gt;"",F1318&lt;=8))+--(AND(G1318&lt;&gt;"",G1318&lt;=8))+--(AND(H1318&lt;&gt;"",H1318&lt;=8))+--(AND(I1318&lt;&gt;"",I1318&lt;=8))+--(AND(J1318&lt;&gt;"",J1318&lt;=8))+--(AND(K1318&lt;&gt;"",K1318&lt;=8))+--(AND(L1318&lt;&gt;"",L1318&lt;=8))+--(AND(M1318&lt;&gt;"",M1318&lt;=8))+--(AND(N1318&lt;&gt;"",N1318&lt;=8))+--(AND(O1318&lt;&gt;"",O1318&lt;=8)))</f>
        <v/>
      </c>
    </row>
    <row r="1319" customFormat="false" ht="15" hidden="false" customHeight="false" outlineLevel="0" collapsed="false">
      <c r="AZ1319" s="5" t="str">
        <f aca="false">IF($B1319="","",SUMPRODUCT(($AL1319:$AO1319&lt;&gt;"")*(COUNTIF($AP1319:$AX1319,$AL1319:$AO1319)&gt;0)))</f>
        <v/>
      </c>
      <c r="BA1319" s="5" t="str">
        <f aca="false">IF($B1319="","",IF(AZ1319&gt;0,1,0))</f>
        <v/>
      </c>
      <c r="BB1319" s="5" t="str">
        <f aca="false">IF($AP1319="","",IF((($AP1319="Engineering and Technology")+($AP1319="Science and Mathematics")+($AP1319="Computer Science, IT and Allied Fields")+($AP1319="Life Sciences /Medicine and Healthcare")+($AP1319="Paramedical")+($AP1319="Architecture")+($AP1319="Environmental Service")+($AP1319="Agriculture, Food Industry and Forestry"))&gt;0,"Science",IF((($AP1319="Banking and Finance")+($AP1319="Management and Administration")+($AP1319="Marketing")+($AP1319="Sales")+($AP1319="Entrepreneurship")+($AP1319="Hospitality and Tourism"))&gt;0,"Commerce",IF((($AP1319="Social Sciences and Humanities")+($AP1319="Law Studies")+($AP1319="Education and Training")+($AP1319="Art, Design")+($AP1319="Entertainment and Mass Media")+($AP1319="Community and Social Service")+($AP1319="Personal Care and Services")+($AP1319="Government and Public Administration")+($AP1319="Defence/ Protective Service")+($AP1319="Sports"))&gt;0,"Arts / Humanities",""))))</f>
        <v/>
      </c>
      <c r="BC1319" s="5" t="str">
        <f aca="false">IF($AL1319="","",IF((($AL1319="Engineering and Technology")+($AL1319="Science and Mathematics")+($AL1319="Computer Science, IT and Allied Fields")+($AL1319="Life Sciences /Medicine and Healthcare")+($AL1319="Paramedical")+($AL1319="Architecture")+($AL1319="Environmental Service")+($AL1319="Agriculture, Food Industry and Forestry"))&gt;0,"Science",IF((($AL1319="Banking and Finance")+($AL1319="Management and Administration")+($AL1319="Marketing")+($AL1319="Sales")+($AL1319="Entrepreneurship")+($AL1319="Hospitality and Tourism"))&gt;0,"Commerce",IF((($AL1319="Social Sciences and Humanities")+($AL1319="Law Studies")+($AL1319="Education and Training")+($AL1319="Art, Design")+($AL1319="Entertainment and Mass Media")+($AL1319="Community and Social Service")+($AL1319="Personal Care and Services")+($AL1319="Government and Public Administration")+($AL1319="Defence/ Protective Service")+($AL1319="Sports"))&gt;0,"Arts / Humanities",""))))</f>
        <v/>
      </c>
      <c r="BD1319" s="5" t="str">
        <f aca="false">IF($B1319="","",--(F1319&gt;=10)+--(G1319&gt;=10)+--(H1319&gt;=10)+--(I1319&gt;=10)+--(J1319&gt;=10)+--(K1319&gt;=10)+--(L1319&gt;=10)+--(M1319&gt;=10)+--(N1319&gt;=10)+--(O1319&gt;=10))</f>
        <v/>
      </c>
      <c r="BE1319" s="5" t="str">
        <f aca="false">IF($B1319="","",--(AND(F1319&lt;&gt;"",F1319&lt;=8))+--(AND(G1319&lt;&gt;"",G1319&lt;=8))+--(AND(H1319&lt;&gt;"",H1319&lt;=8))+--(AND(I1319&lt;&gt;"",I1319&lt;=8))+--(AND(J1319&lt;&gt;"",J1319&lt;=8))+--(AND(K1319&lt;&gt;"",K1319&lt;=8))+--(AND(L1319&lt;&gt;"",L1319&lt;=8))+--(AND(M1319&lt;&gt;"",M1319&lt;=8))+--(AND(N1319&lt;&gt;"",N1319&lt;=8))+--(AND(O1319&lt;&gt;"",O1319&lt;=8)))</f>
        <v/>
      </c>
    </row>
    <row r="1320" customFormat="false" ht="15" hidden="false" customHeight="false" outlineLevel="0" collapsed="false">
      <c r="AZ1320" s="5" t="str">
        <f aca="false">IF($B1320="","",SUMPRODUCT(($AL1320:$AO1320&lt;&gt;"")*(COUNTIF($AP1320:$AX1320,$AL1320:$AO1320)&gt;0)))</f>
        <v/>
      </c>
      <c r="BA1320" s="5" t="str">
        <f aca="false">IF($B1320="","",IF(AZ1320&gt;0,1,0))</f>
        <v/>
      </c>
      <c r="BB1320" s="5" t="str">
        <f aca="false">IF($AP1320="","",IF((($AP1320="Engineering and Technology")+($AP1320="Science and Mathematics")+($AP1320="Computer Science, IT and Allied Fields")+($AP1320="Life Sciences /Medicine and Healthcare")+($AP1320="Paramedical")+($AP1320="Architecture")+($AP1320="Environmental Service")+($AP1320="Agriculture, Food Industry and Forestry"))&gt;0,"Science",IF((($AP1320="Banking and Finance")+($AP1320="Management and Administration")+($AP1320="Marketing")+($AP1320="Sales")+($AP1320="Entrepreneurship")+($AP1320="Hospitality and Tourism"))&gt;0,"Commerce",IF((($AP1320="Social Sciences and Humanities")+($AP1320="Law Studies")+($AP1320="Education and Training")+($AP1320="Art, Design")+($AP1320="Entertainment and Mass Media")+($AP1320="Community and Social Service")+($AP1320="Personal Care and Services")+($AP1320="Government and Public Administration")+($AP1320="Defence/ Protective Service")+($AP1320="Sports"))&gt;0,"Arts / Humanities",""))))</f>
        <v/>
      </c>
      <c r="BC1320" s="5" t="str">
        <f aca="false">IF($AL1320="","",IF((($AL1320="Engineering and Technology")+($AL1320="Science and Mathematics")+($AL1320="Computer Science, IT and Allied Fields")+($AL1320="Life Sciences /Medicine and Healthcare")+($AL1320="Paramedical")+($AL1320="Architecture")+($AL1320="Environmental Service")+($AL1320="Agriculture, Food Industry and Forestry"))&gt;0,"Science",IF((($AL1320="Banking and Finance")+($AL1320="Management and Administration")+($AL1320="Marketing")+($AL1320="Sales")+($AL1320="Entrepreneurship")+($AL1320="Hospitality and Tourism"))&gt;0,"Commerce",IF((($AL1320="Social Sciences and Humanities")+($AL1320="Law Studies")+($AL1320="Education and Training")+($AL1320="Art, Design")+($AL1320="Entertainment and Mass Media")+($AL1320="Community and Social Service")+($AL1320="Personal Care and Services")+($AL1320="Government and Public Administration")+($AL1320="Defence/ Protective Service")+($AL1320="Sports"))&gt;0,"Arts / Humanities",""))))</f>
        <v/>
      </c>
      <c r="BD1320" s="5" t="str">
        <f aca="false">IF($B1320="","",--(F1320&gt;=10)+--(G1320&gt;=10)+--(H1320&gt;=10)+--(I1320&gt;=10)+--(J1320&gt;=10)+--(K1320&gt;=10)+--(L1320&gt;=10)+--(M1320&gt;=10)+--(N1320&gt;=10)+--(O1320&gt;=10))</f>
        <v/>
      </c>
      <c r="BE1320" s="5" t="str">
        <f aca="false">IF($B1320="","",--(AND(F1320&lt;&gt;"",F1320&lt;=8))+--(AND(G1320&lt;&gt;"",G1320&lt;=8))+--(AND(H1320&lt;&gt;"",H1320&lt;=8))+--(AND(I1320&lt;&gt;"",I1320&lt;=8))+--(AND(J1320&lt;&gt;"",J1320&lt;=8))+--(AND(K1320&lt;&gt;"",K1320&lt;=8))+--(AND(L1320&lt;&gt;"",L1320&lt;=8))+--(AND(M1320&lt;&gt;"",M1320&lt;=8))+--(AND(N1320&lt;&gt;"",N1320&lt;=8))+--(AND(O1320&lt;&gt;"",O1320&lt;=8)))</f>
        <v/>
      </c>
    </row>
    <row r="1321" customFormat="false" ht="15" hidden="false" customHeight="false" outlineLevel="0" collapsed="false">
      <c r="AZ1321" s="5" t="str">
        <f aca="false">IF($B1321="","",SUMPRODUCT(($AL1321:$AO1321&lt;&gt;"")*(COUNTIF($AP1321:$AX1321,$AL1321:$AO1321)&gt;0)))</f>
        <v/>
      </c>
      <c r="BA1321" s="5" t="str">
        <f aca="false">IF($B1321="","",IF(AZ1321&gt;0,1,0))</f>
        <v/>
      </c>
      <c r="BB1321" s="5" t="str">
        <f aca="false">IF($AP1321="","",IF((($AP1321="Engineering and Technology")+($AP1321="Science and Mathematics")+($AP1321="Computer Science, IT and Allied Fields")+($AP1321="Life Sciences /Medicine and Healthcare")+($AP1321="Paramedical")+($AP1321="Architecture")+($AP1321="Environmental Service")+($AP1321="Agriculture, Food Industry and Forestry"))&gt;0,"Science",IF((($AP1321="Banking and Finance")+($AP1321="Management and Administration")+($AP1321="Marketing")+($AP1321="Sales")+($AP1321="Entrepreneurship")+($AP1321="Hospitality and Tourism"))&gt;0,"Commerce",IF((($AP1321="Social Sciences and Humanities")+($AP1321="Law Studies")+($AP1321="Education and Training")+($AP1321="Art, Design")+($AP1321="Entertainment and Mass Media")+($AP1321="Community and Social Service")+($AP1321="Personal Care and Services")+($AP1321="Government and Public Administration")+($AP1321="Defence/ Protective Service")+($AP1321="Sports"))&gt;0,"Arts / Humanities",""))))</f>
        <v/>
      </c>
      <c r="BC1321" s="5" t="str">
        <f aca="false">IF($AL1321="","",IF((($AL1321="Engineering and Technology")+($AL1321="Science and Mathematics")+($AL1321="Computer Science, IT and Allied Fields")+($AL1321="Life Sciences /Medicine and Healthcare")+($AL1321="Paramedical")+($AL1321="Architecture")+($AL1321="Environmental Service")+($AL1321="Agriculture, Food Industry and Forestry"))&gt;0,"Science",IF((($AL1321="Banking and Finance")+($AL1321="Management and Administration")+($AL1321="Marketing")+($AL1321="Sales")+($AL1321="Entrepreneurship")+($AL1321="Hospitality and Tourism"))&gt;0,"Commerce",IF((($AL1321="Social Sciences and Humanities")+($AL1321="Law Studies")+($AL1321="Education and Training")+($AL1321="Art, Design")+($AL1321="Entertainment and Mass Media")+($AL1321="Community and Social Service")+($AL1321="Personal Care and Services")+($AL1321="Government and Public Administration")+($AL1321="Defence/ Protective Service")+($AL1321="Sports"))&gt;0,"Arts / Humanities",""))))</f>
        <v/>
      </c>
      <c r="BD1321" s="5" t="str">
        <f aca="false">IF($B1321="","",--(F1321&gt;=10)+--(G1321&gt;=10)+--(H1321&gt;=10)+--(I1321&gt;=10)+--(J1321&gt;=10)+--(K1321&gt;=10)+--(L1321&gt;=10)+--(M1321&gt;=10)+--(N1321&gt;=10)+--(O1321&gt;=10))</f>
        <v/>
      </c>
      <c r="BE1321" s="5" t="str">
        <f aca="false">IF($B1321="","",--(AND(F1321&lt;&gt;"",F1321&lt;=8))+--(AND(G1321&lt;&gt;"",G1321&lt;=8))+--(AND(H1321&lt;&gt;"",H1321&lt;=8))+--(AND(I1321&lt;&gt;"",I1321&lt;=8))+--(AND(J1321&lt;&gt;"",J1321&lt;=8))+--(AND(K1321&lt;&gt;"",K1321&lt;=8))+--(AND(L1321&lt;&gt;"",L1321&lt;=8))+--(AND(M1321&lt;&gt;"",M1321&lt;=8))+--(AND(N1321&lt;&gt;"",N1321&lt;=8))+--(AND(O1321&lt;&gt;"",O1321&lt;=8)))</f>
        <v/>
      </c>
    </row>
    <row r="1322" customFormat="false" ht="15" hidden="false" customHeight="false" outlineLevel="0" collapsed="false">
      <c r="AZ1322" s="5" t="str">
        <f aca="false">IF($B1322="","",SUMPRODUCT(($AL1322:$AO1322&lt;&gt;"")*(COUNTIF($AP1322:$AX1322,$AL1322:$AO1322)&gt;0)))</f>
        <v/>
      </c>
      <c r="BA1322" s="5" t="str">
        <f aca="false">IF($B1322="","",IF(AZ1322&gt;0,1,0))</f>
        <v/>
      </c>
      <c r="BB1322" s="5" t="str">
        <f aca="false">IF($AP1322="","",IF((($AP1322="Engineering and Technology")+($AP1322="Science and Mathematics")+($AP1322="Computer Science, IT and Allied Fields")+($AP1322="Life Sciences /Medicine and Healthcare")+($AP1322="Paramedical")+($AP1322="Architecture")+($AP1322="Environmental Service")+($AP1322="Agriculture, Food Industry and Forestry"))&gt;0,"Science",IF((($AP1322="Banking and Finance")+($AP1322="Management and Administration")+($AP1322="Marketing")+($AP1322="Sales")+($AP1322="Entrepreneurship")+($AP1322="Hospitality and Tourism"))&gt;0,"Commerce",IF((($AP1322="Social Sciences and Humanities")+($AP1322="Law Studies")+($AP1322="Education and Training")+($AP1322="Art, Design")+($AP1322="Entertainment and Mass Media")+($AP1322="Community and Social Service")+($AP1322="Personal Care and Services")+($AP1322="Government and Public Administration")+($AP1322="Defence/ Protective Service")+($AP1322="Sports"))&gt;0,"Arts / Humanities",""))))</f>
        <v/>
      </c>
      <c r="BC1322" s="5" t="str">
        <f aca="false">IF($AL1322="","",IF((($AL1322="Engineering and Technology")+($AL1322="Science and Mathematics")+($AL1322="Computer Science, IT and Allied Fields")+($AL1322="Life Sciences /Medicine and Healthcare")+($AL1322="Paramedical")+($AL1322="Architecture")+($AL1322="Environmental Service")+($AL1322="Agriculture, Food Industry and Forestry"))&gt;0,"Science",IF((($AL1322="Banking and Finance")+($AL1322="Management and Administration")+($AL1322="Marketing")+($AL1322="Sales")+($AL1322="Entrepreneurship")+($AL1322="Hospitality and Tourism"))&gt;0,"Commerce",IF((($AL1322="Social Sciences and Humanities")+($AL1322="Law Studies")+($AL1322="Education and Training")+($AL1322="Art, Design")+($AL1322="Entertainment and Mass Media")+($AL1322="Community and Social Service")+($AL1322="Personal Care and Services")+($AL1322="Government and Public Administration")+($AL1322="Defence/ Protective Service")+($AL1322="Sports"))&gt;0,"Arts / Humanities",""))))</f>
        <v/>
      </c>
      <c r="BD1322" s="5" t="str">
        <f aca="false">IF($B1322="","",--(F1322&gt;=10)+--(G1322&gt;=10)+--(H1322&gt;=10)+--(I1322&gt;=10)+--(J1322&gt;=10)+--(K1322&gt;=10)+--(L1322&gt;=10)+--(M1322&gt;=10)+--(N1322&gt;=10)+--(O1322&gt;=10))</f>
        <v/>
      </c>
      <c r="BE1322" s="5" t="str">
        <f aca="false">IF($B1322="","",--(AND(F1322&lt;&gt;"",F1322&lt;=8))+--(AND(G1322&lt;&gt;"",G1322&lt;=8))+--(AND(H1322&lt;&gt;"",H1322&lt;=8))+--(AND(I1322&lt;&gt;"",I1322&lt;=8))+--(AND(J1322&lt;&gt;"",J1322&lt;=8))+--(AND(K1322&lt;&gt;"",K1322&lt;=8))+--(AND(L1322&lt;&gt;"",L1322&lt;=8))+--(AND(M1322&lt;&gt;"",M1322&lt;=8))+--(AND(N1322&lt;&gt;"",N1322&lt;=8))+--(AND(O1322&lt;&gt;"",O1322&lt;=8)))</f>
        <v/>
      </c>
    </row>
    <row r="1323" customFormat="false" ht="15" hidden="false" customHeight="false" outlineLevel="0" collapsed="false">
      <c r="AZ1323" s="5" t="str">
        <f aca="false">IF($B1323="","",SUMPRODUCT(($AL1323:$AO1323&lt;&gt;"")*(COUNTIF($AP1323:$AX1323,$AL1323:$AO1323)&gt;0)))</f>
        <v/>
      </c>
      <c r="BA1323" s="5" t="str">
        <f aca="false">IF($B1323="","",IF(AZ1323&gt;0,1,0))</f>
        <v/>
      </c>
      <c r="BB1323" s="5" t="str">
        <f aca="false">IF($AP1323="","",IF((($AP1323="Engineering and Technology")+($AP1323="Science and Mathematics")+($AP1323="Computer Science, IT and Allied Fields")+($AP1323="Life Sciences /Medicine and Healthcare")+($AP1323="Paramedical")+($AP1323="Architecture")+($AP1323="Environmental Service")+($AP1323="Agriculture, Food Industry and Forestry"))&gt;0,"Science",IF((($AP1323="Banking and Finance")+($AP1323="Management and Administration")+($AP1323="Marketing")+($AP1323="Sales")+($AP1323="Entrepreneurship")+($AP1323="Hospitality and Tourism"))&gt;0,"Commerce",IF((($AP1323="Social Sciences and Humanities")+($AP1323="Law Studies")+($AP1323="Education and Training")+($AP1323="Art, Design")+($AP1323="Entertainment and Mass Media")+($AP1323="Community and Social Service")+($AP1323="Personal Care and Services")+($AP1323="Government and Public Administration")+($AP1323="Defence/ Protective Service")+($AP1323="Sports"))&gt;0,"Arts / Humanities",""))))</f>
        <v/>
      </c>
      <c r="BC1323" s="5" t="str">
        <f aca="false">IF($AL1323="","",IF((($AL1323="Engineering and Technology")+($AL1323="Science and Mathematics")+($AL1323="Computer Science, IT and Allied Fields")+($AL1323="Life Sciences /Medicine and Healthcare")+($AL1323="Paramedical")+($AL1323="Architecture")+($AL1323="Environmental Service")+($AL1323="Agriculture, Food Industry and Forestry"))&gt;0,"Science",IF((($AL1323="Banking and Finance")+($AL1323="Management and Administration")+($AL1323="Marketing")+($AL1323="Sales")+($AL1323="Entrepreneurship")+($AL1323="Hospitality and Tourism"))&gt;0,"Commerce",IF((($AL1323="Social Sciences and Humanities")+($AL1323="Law Studies")+($AL1323="Education and Training")+($AL1323="Art, Design")+($AL1323="Entertainment and Mass Media")+($AL1323="Community and Social Service")+($AL1323="Personal Care and Services")+($AL1323="Government and Public Administration")+($AL1323="Defence/ Protective Service")+($AL1323="Sports"))&gt;0,"Arts / Humanities",""))))</f>
        <v/>
      </c>
      <c r="BD1323" s="5" t="str">
        <f aca="false">IF($B1323="","",--(F1323&gt;=10)+--(G1323&gt;=10)+--(H1323&gt;=10)+--(I1323&gt;=10)+--(J1323&gt;=10)+--(K1323&gt;=10)+--(L1323&gt;=10)+--(M1323&gt;=10)+--(N1323&gt;=10)+--(O1323&gt;=10))</f>
        <v/>
      </c>
      <c r="BE1323" s="5" t="str">
        <f aca="false">IF($B1323="","",--(AND(F1323&lt;&gt;"",F1323&lt;=8))+--(AND(G1323&lt;&gt;"",G1323&lt;=8))+--(AND(H1323&lt;&gt;"",H1323&lt;=8))+--(AND(I1323&lt;&gt;"",I1323&lt;=8))+--(AND(J1323&lt;&gt;"",J1323&lt;=8))+--(AND(K1323&lt;&gt;"",K1323&lt;=8))+--(AND(L1323&lt;&gt;"",L1323&lt;=8))+--(AND(M1323&lt;&gt;"",M1323&lt;=8))+--(AND(N1323&lt;&gt;"",N1323&lt;=8))+--(AND(O1323&lt;&gt;"",O1323&lt;=8)))</f>
        <v/>
      </c>
    </row>
    <row r="1324" customFormat="false" ht="15" hidden="false" customHeight="false" outlineLevel="0" collapsed="false">
      <c r="AZ1324" s="5" t="str">
        <f aca="false">IF($B1324="","",SUMPRODUCT(($AL1324:$AO1324&lt;&gt;"")*(COUNTIF($AP1324:$AX1324,$AL1324:$AO1324)&gt;0)))</f>
        <v/>
      </c>
      <c r="BA1324" s="5" t="str">
        <f aca="false">IF($B1324="","",IF(AZ1324&gt;0,1,0))</f>
        <v/>
      </c>
      <c r="BB1324" s="5" t="str">
        <f aca="false">IF($AP1324="","",IF((($AP1324="Engineering and Technology")+($AP1324="Science and Mathematics")+($AP1324="Computer Science, IT and Allied Fields")+($AP1324="Life Sciences /Medicine and Healthcare")+($AP1324="Paramedical")+($AP1324="Architecture")+($AP1324="Environmental Service")+($AP1324="Agriculture, Food Industry and Forestry"))&gt;0,"Science",IF((($AP1324="Banking and Finance")+($AP1324="Management and Administration")+($AP1324="Marketing")+($AP1324="Sales")+($AP1324="Entrepreneurship")+($AP1324="Hospitality and Tourism"))&gt;0,"Commerce",IF((($AP1324="Social Sciences and Humanities")+($AP1324="Law Studies")+($AP1324="Education and Training")+($AP1324="Art, Design")+($AP1324="Entertainment and Mass Media")+($AP1324="Community and Social Service")+($AP1324="Personal Care and Services")+($AP1324="Government and Public Administration")+($AP1324="Defence/ Protective Service")+($AP1324="Sports"))&gt;0,"Arts / Humanities",""))))</f>
        <v/>
      </c>
      <c r="BC1324" s="5" t="str">
        <f aca="false">IF($AL1324="","",IF((($AL1324="Engineering and Technology")+($AL1324="Science and Mathematics")+($AL1324="Computer Science, IT and Allied Fields")+($AL1324="Life Sciences /Medicine and Healthcare")+($AL1324="Paramedical")+($AL1324="Architecture")+($AL1324="Environmental Service")+($AL1324="Agriculture, Food Industry and Forestry"))&gt;0,"Science",IF((($AL1324="Banking and Finance")+($AL1324="Management and Administration")+($AL1324="Marketing")+($AL1324="Sales")+($AL1324="Entrepreneurship")+($AL1324="Hospitality and Tourism"))&gt;0,"Commerce",IF((($AL1324="Social Sciences and Humanities")+($AL1324="Law Studies")+($AL1324="Education and Training")+($AL1324="Art, Design")+($AL1324="Entertainment and Mass Media")+($AL1324="Community and Social Service")+($AL1324="Personal Care and Services")+($AL1324="Government and Public Administration")+($AL1324="Defence/ Protective Service")+($AL1324="Sports"))&gt;0,"Arts / Humanities",""))))</f>
        <v/>
      </c>
      <c r="BD1324" s="5" t="str">
        <f aca="false">IF($B1324="","",--(F1324&gt;=10)+--(G1324&gt;=10)+--(H1324&gt;=10)+--(I1324&gt;=10)+--(J1324&gt;=10)+--(K1324&gt;=10)+--(L1324&gt;=10)+--(M1324&gt;=10)+--(N1324&gt;=10)+--(O1324&gt;=10))</f>
        <v/>
      </c>
      <c r="BE1324" s="5" t="str">
        <f aca="false">IF($B1324="","",--(AND(F1324&lt;&gt;"",F1324&lt;=8))+--(AND(G1324&lt;&gt;"",G1324&lt;=8))+--(AND(H1324&lt;&gt;"",H1324&lt;=8))+--(AND(I1324&lt;&gt;"",I1324&lt;=8))+--(AND(J1324&lt;&gt;"",J1324&lt;=8))+--(AND(K1324&lt;&gt;"",K1324&lt;=8))+--(AND(L1324&lt;&gt;"",L1324&lt;=8))+--(AND(M1324&lt;&gt;"",M1324&lt;=8))+--(AND(N1324&lt;&gt;"",N1324&lt;=8))+--(AND(O1324&lt;&gt;"",O1324&lt;=8)))</f>
        <v/>
      </c>
    </row>
    <row r="1325" customFormat="false" ht="15" hidden="false" customHeight="false" outlineLevel="0" collapsed="false">
      <c r="AZ1325" s="5" t="str">
        <f aca="false">IF($B1325="","",SUMPRODUCT(($AL1325:$AO1325&lt;&gt;"")*(COUNTIF($AP1325:$AX1325,$AL1325:$AO1325)&gt;0)))</f>
        <v/>
      </c>
      <c r="BA1325" s="5" t="str">
        <f aca="false">IF($B1325="","",IF(AZ1325&gt;0,1,0))</f>
        <v/>
      </c>
      <c r="BB1325" s="5" t="str">
        <f aca="false">IF($AP1325="","",IF((($AP1325="Engineering and Technology")+($AP1325="Science and Mathematics")+($AP1325="Computer Science, IT and Allied Fields")+($AP1325="Life Sciences /Medicine and Healthcare")+($AP1325="Paramedical")+($AP1325="Architecture")+($AP1325="Environmental Service")+($AP1325="Agriculture, Food Industry and Forestry"))&gt;0,"Science",IF((($AP1325="Banking and Finance")+($AP1325="Management and Administration")+($AP1325="Marketing")+($AP1325="Sales")+($AP1325="Entrepreneurship")+($AP1325="Hospitality and Tourism"))&gt;0,"Commerce",IF((($AP1325="Social Sciences and Humanities")+($AP1325="Law Studies")+($AP1325="Education and Training")+($AP1325="Art, Design")+($AP1325="Entertainment and Mass Media")+($AP1325="Community and Social Service")+($AP1325="Personal Care and Services")+($AP1325="Government and Public Administration")+($AP1325="Defence/ Protective Service")+($AP1325="Sports"))&gt;0,"Arts / Humanities",""))))</f>
        <v/>
      </c>
      <c r="BC1325" s="5" t="str">
        <f aca="false">IF($AL1325="","",IF((($AL1325="Engineering and Technology")+($AL1325="Science and Mathematics")+($AL1325="Computer Science, IT and Allied Fields")+($AL1325="Life Sciences /Medicine and Healthcare")+($AL1325="Paramedical")+($AL1325="Architecture")+($AL1325="Environmental Service")+($AL1325="Agriculture, Food Industry and Forestry"))&gt;0,"Science",IF((($AL1325="Banking and Finance")+($AL1325="Management and Administration")+($AL1325="Marketing")+($AL1325="Sales")+($AL1325="Entrepreneurship")+($AL1325="Hospitality and Tourism"))&gt;0,"Commerce",IF((($AL1325="Social Sciences and Humanities")+($AL1325="Law Studies")+($AL1325="Education and Training")+($AL1325="Art, Design")+($AL1325="Entertainment and Mass Media")+($AL1325="Community and Social Service")+($AL1325="Personal Care and Services")+($AL1325="Government and Public Administration")+($AL1325="Defence/ Protective Service")+($AL1325="Sports"))&gt;0,"Arts / Humanities",""))))</f>
        <v/>
      </c>
      <c r="BD1325" s="5" t="str">
        <f aca="false">IF($B1325="","",--(F1325&gt;=10)+--(G1325&gt;=10)+--(H1325&gt;=10)+--(I1325&gt;=10)+--(J1325&gt;=10)+--(K1325&gt;=10)+--(L1325&gt;=10)+--(M1325&gt;=10)+--(N1325&gt;=10)+--(O1325&gt;=10))</f>
        <v/>
      </c>
      <c r="BE1325" s="5" t="str">
        <f aca="false">IF($B1325="","",--(AND(F1325&lt;&gt;"",F1325&lt;=8))+--(AND(G1325&lt;&gt;"",G1325&lt;=8))+--(AND(H1325&lt;&gt;"",H1325&lt;=8))+--(AND(I1325&lt;&gt;"",I1325&lt;=8))+--(AND(J1325&lt;&gt;"",J1325&lt;=8))+--(AND(K1325&lt;&gt;"",K1325&lt;=8))+--(AND(L1325&lt;&gt;"",L1325&lt;=8))+--(AND(M1325&lt;&gt;"",M1325&lt;=8))+--(AND(N1325&lt;&gt;"",N1325&lt;=8))+--(AND(O1325&lt;&gt;"",O1325&lt;=8)))</f>
        <v/>
      </c>
    </row>
    <row r="1326" customFormat="false" ht="15" hidden="false" customHeight="false" outlineLevel="0" collapsed="false">
      <c r="AZ1326" s="5" t="str">
        <f aca="false">IF($B1326="","",SUMPRODUCT(($AL1326:$AO1326&lt;&gt;"")*(COUNTIF($AP1326:$AX1326,$AL1326:$AO1326)&gt;0)))</f>
        <v/>
      </c>
      <c r="BA1326" s="5" t="str">
        <f aca="false">IF($B1326="","",IF(AZ1326&gt;0,1,0))</f>
        <v/>
      </c>
      <c r="BB1326" s="5" t="str">
        <f aca="false">IF($AP1326="","",IF((($AP1326="Engineering and Technology")+($AP1326="Science and Mathematics")+($AP1326="Computer Science, IT and Allied Fields")+($AP1326="Life Sciences /Medicine and Healthcare")+($AP1326="Paramedical")+($AP1326="Architecture")+($AP1326="Environmental Service")+($AP1326="Agriculture, Food Industry and Forestry"))&gt;0,"Science",IF((($AP1326="Banking and Finance")+($AP1326="Management and Administration")+($AP1326="Marketing")+($AP1326="Sales")+($AP1326="Entrepreneurship")+($AP1326="Hospitality and Tourism"))&gt;0,"Commerce",IF((($AP1326="Social Sciences and Humanities")+($AP1326="Law Studies")+($AP1326="Education and Training")+($AP1326="Art, Design")+($AP1326="Entertainment and Mass Media")+($AP1326="Community and Social Service")+($AP1326="Personal Care and Services")+($AP1326="Government and Public Administration")+($AP1326="Defence/ Protective Service")+($AP1326="Sports"))&gt;0,"Arts / Humanities",""))))</f>
        <v/>
      </c>
      <c r="BC1326" s="5" t="str">
        <f aca="false">IF($AL1326="","",IF((($AL1326="Engineering and Technology")+($AL1326="Science and Mathematics")+($AL1326="Computer Science, IT and Allied Fields")+($AL1326="Life Sciences /Medicine and Healthcare")+($AL1326="Paramedical")+($AL1326="Architecture")+($AL1326="Environmental Service")+($AL1326="Agriculture, Food Industry and Forestry"))&gt;0,"Science",IF((($AL1326="Banking and Finance")+($AL1326="Management and Administration")+($AL1326="Marketing")+($AL1326="Sales")+($AL1326="Entrepreneurship")+($AL1326="Hospitality and Tourism"))&gt;0,"Commerce",IF((($AL1326="Social Sciences and Humanities")+($AL1326="Law Studies")+($AL1326="Education and Training")+($AL1326="Art, Design")+($AL1326="Entertainment and Mass Media")+($AL1326="Community and Social Service")+($AL1326="Personal Care and Services")+($AL1326="Government and Public Administration")+($AL1326="Defence/ Protective Service")+($AL1326="Sports"))&gt;0,"Arts / Humanities",""))))</f>
        <v/>
      </c>
      <c r="BD1326" s="5" t="str">
        <f aca="false">IF($B1326="","",--(F1326&gt;=10)+--(G1326&gt;=10)+--(H1326&gt;=10)+--(I1326&gt;=10)+--(J1326&gt;=10)+--(K1326&gt;=10)+--(L1326&gt;=10)+--(M1326&gt;=10)+--(N1326&gt;=10)+--(O1326&gt;=10))</f>
        <v/>
      </c>
      <c r="BE1326" s="5" t="str">
        <f aca="false">IF($B1326="","",--(AND(F1326&lt;&gt;"",F1326&lt;=8))+--(AND(G1326&lt;&gt;"",G1326&lt;=8))+--(AND(H1326&lt;&gt;"",H1326&lt;=8))+--(AND(I1326&lt;&gt;"",I1326&lt;=8))+--(AND(J1326&lt;&gt;"",J1326&lt;=8))+--(AND(K1326&lt;&gt;"",K1326&lt;=8))+--(AND(L1326&lt;&gt;"",L1326&lt;=8))+--(AND(M1326&lt;&gt;"",M1326&lt;=8))+--(AND(N1326&lt;&gt;"",N1326&lt;=8))+--(AND(O1326&lt;&gt;"",O1326&lt;=8)))</f>
        <v/>
      </c>
    </row>
    <row r="1327" customFormat="false" ht="15" hidden="false" customHeight="false" outlineLevel="0" collapsed="false">
      <c r="AZ1327" s="5" t="str">
        <f aca="false">IF($B1327="","",SUMPRODUCT(($AL1327:$AO1327&lt;&gt;"")*(COUNTIF($AP1327:$AX1327,$AL1327:$AO1327)&gt;0)))</f>
        <v/>
      </c>
      <c r="BA1327" s="5" t="str">
        <f aca="false">IF($B1327="","",IF(AZ1327&gt;0,1,0))</f>
        <v/>
      </c>
      <c r="BB1327" s="5" t="str">
        <f aca="false">IF($AP1327="","",IF((($AP1327="Engineering and Technology")+($AP1327="Science and Mathematics")+($AP1327="Computer Science, IT and Allied Fields")+($AP1327="Life Sciences /Medicine and Healthcare")+($AP1327="Paramedical")+($AP1327="Architecture")+($AP1327="Environmental Service")+($AP1327="Agriculture, Food Industry and Forestry"))&gt;0,"Science",IF((($AP1327="Banking and Finance")+($AP1327="Management and Administration")+($AP1327="Marketing")+($AP1327="Sales")+($AP1327="Entrepreneurship")+($AP1327="Hospitality and Tourism"))&gt;0,"Commerce",IF((($AP1327="Social Sciences and Humanities")+($AP1327="Law Studies")+($AP1327="Education and Training")+($AP1327="Art, Design")+($AP1327="Entertainment and Mass Media")+($AP1327="Community and Social Service")+($AP1327="Personal Care and Services")+($AP1327="Government and Public Administration")+($AP1327="Defence/ Protective Service")+($AP1327="Sports"))&gt;0,"Arts / Humanities",""))))</f>
        <v/>
      </c>
      <c r="BC1327" s="5" t="str">
        <f aca="false">IF($AL1327="","",IF((($AL1327="Engineering and Technology")+($AL1327="Science and Mathematics")+($AL1327="Computer Science, IT and Allied Fields")+($AL1327="Life Sciences /Medicine and Healthcare")+($AL1327="Paramedical")+($AL1327="Architecture")+($AL1327="Environmental Service")+($AL1327="Agriculture, Food Industry and Forestry"))&gt;0,"Science",IF((($AL1327="Banking and Finance")+($AL1327="Management and Administration")+($AL1327="Marketing")+($AL1327="Sales")+($AL1327="Entrepreneurship")+($AL1327="Hospitality and Tourism"))&gt;0,"Commerce",IF((($AL1327="Social Sciences and Humanities")+($AL1327="Law Studies")+($AL1327="Education and Training")+($AL1327="Art, Design")+($AL1327="Entertainment and Mass Media")+($AL1327="Community and Social Service")+($AL1327="Personal Care and Services")+($AL1327="Government and Public Administration")+($AL1327="Defence/ Protective Service")+($AL1327="Sports"))&gt;0,"Arts / Humanities",""))))</f>
        <v/>
      </c>
      <c r="BD1327" s="5" t="str">
        <f aca="false">IF($B1327="","",--(F1327&gt;=10)+--(G1327&gt;=10)+--(H1327&gt;=10)+--(I1327&gt;=10)+--(J1327&gt;=10)+--(K1327&gt;=10)+--(L1327&gt;=10)+--(M1327&gt;=10)+--(N1327&gt;=10)+--(O1327&gt;=10))</f>
        <v/>
      </c>
      <c r="BE1327" s="5" t="str">
        <f aca="false">IF($B1327="","",--(AND(F1327&lt;&gt;"",F1327&lt;=8))+--(AND(G1327&lt;&gt;"",G1327&lt;=8))+--(AND(H1327&lt;&gt;"",H1327&lt;=8))+--(AND(I1327&lt;&gt;"",I1327&lt;=8))+--(AND(J1327&lt;&gt;"",J1327&lt;=8))+--(AND(K1327&lt;&gt;"",K1327&lt;=8))+--(AND(L1327&lt;&gt;"",L1327&lt;=8))+--(AND(M1327&lt;&gt;"",M1327&lt;=8))+--(AND(N1327&lt;&gt;"",N1327&lt;=8))+--(AND(O1327&lt;&gt;"",O1327&lt;=8)))</f>
        <v/>
      </c>
    </row>
    <row r="1328" customFormat="false" ht="15" hidden="false" customHeight="false" outlineLevel="0" collapsed="false">
      <c r="AZ1328" s="5" t="str">
        <f aca="false">IF($B1328="","",SUMPRODUCT(($AL1328:$AO1328&lt;&gt;"")*(COUNTIF($AP1328:$AX1328,$AL1328:$AO1328)&gt;0)))</f>
        <v/>
      </c>
      <c r="BA1328" s="5" t="str">
        <f aca="false">IF($B1328="","",IF(AZ1328&gt;0,1,0))</f>
        <v/>
      </c>
      <c r="BB1328" s="5" t="str">
        <f aca="false">IF($AP1328="","",IF((($AP1328="Engineering and Technology")+($AP1328="Science and Mathematics")+($AP1328="Computer Science, IT and Allied Fields")+($AP1328="Life Sciences /Medicine and Healthcare")+($AP1328="Paramedical")+($AP1328="Architecture")+($AP1328="Environmental Service")+($AP1328="Agriculture, Food Industry and Forestry"))&gt;0,"Science",IF((($AP1328="Banking and Finance")+($AP1328="Management and Administration")+($AP1328="Marketing")+($AP1328="Sales")+($AP1328="Entrepreneurship")+($AP1328="Hospitality and Tourism"))&gt;0,"Commerce",IF((($AP1328="Social Sciences and Humanities")+($AP1328="Law Studies")+($AP1328="Education and Training")+($AP1328="Art, Design")+($AP1328="Entertainment and Mass Media")+($AP1328="Community and Social Service")+($AP1328="Personal Care and Services")+($AP1328="Government and Public Administration")+($AP1328="Defence/ Protective Service")+($AP1328="Sports"))&gt;0,"Arts / Humanities",""))))</f>
        <v/>
      </c>
      <c r="BC1328" s="5" t="str">
        <f aca="false">IF($AL1328="","",IF((($AL1328="Engineering and Technology")+($AL1328="Science and Mathematics")+($AL1328="Computer Science, IT and Allied Fields")+($AL1328="Life Sciences /Medicine and Healthcare")+($AL1328="Paramedical")+($AL1328="Architecture")+($AL1328="Environmental Service")+($AL1328="Agriculture, Food Industry and Forestry"))&gt;0,"Science",IF((($AL1328="Banking and Finance")+($AL1328="Management and Administration")+($AL1328="Marketing")+($AL1328="Sales")+($AL1328="Entrepreneurship")+($AL1328="Hospitality and Tourism"))&gt;0,"Commerce",IF((($AL1328="Social Sciences and Humanities")+($AL1328="Law Studies")+($AL1328="Education and Training")+($AL1328="Art, Design")+($AL1328="Entertainment and Mass Media")+($AL1328="Community and Social Service")+($AL1328="Personal Care and Services")+($AL1328="Government and Public Administration")+($AL1328="Defence/ Protective Service")+($AL1328="Sports"))&gt;0,"Arts / Humanities",""))))</f>
        <v/>
      </c>
      <c r="BD1328" s="5" t="str">
        <f aca="false">IF($B1328="","",--(F1328&gt;=10)+--(G1328&gt;=10)+--(H1328&gt;=10)+--(I1328&gt;=10)+--(J1328&gt;=10)+--(K1328&gt;=10)+--(L1328&gt;=10)+--(M1328&gt;=10)+--(N1328&gt;=10)+--(O1328&gt;=10))</f>
        <v/>
      </c>
      <c r="BE1328" s="5" t="str">
        <f aca="false">IF($B1328="","",--(AND(F1328&lt;&gt;"",F1328&lt;=8))+--(AND(G1328&lt;&gt;"",G1328&lt;=8))+--(AND(H1328&lt;&gt;"",H1328&lt;=8))+--(AND(I1328&lt;&gt;"",I1328&lt;=8))+--(AND(J1328&lt;&gt;"",J1328&lt;=8))+--(AND(K1328&lt;&gt;"",K1328&lt;=8))+--(AND(L1328&lt;&gt;"",L1328&lt;=8))+--(AND(M1328&lt;&gt;"",M1328&lt;=8))+--(AND(N1328&lt;&gt;"",N1328&lt;=8))+--(AND(O1328&lt;&gt;"",O1328&lt;=8)))</f>
        <v/>
      </c>
    </row>
    <row r="1329" customFormat="false" ht="15" hidden="false" customHeight="false" outlineLevel="0" collapsed="false">
      <c r="AZ1329" s="5" t="str">
        <f aca="false">IF($B1329="","",SUMPRODUCT(($AL1329:$AO1329&lt;&gt;"")*(COUNTIF($AP1329:$AX1329,$AL1329:$AO1329)&gt;0)))</f>
        <v/>
      </c>
      <c r="BA1329" s="5" t="str">
        <f aca="false">IF($B1329="","",IF(AZ1329&gt;0,1,0))</f>
        <v/>
      </c>
      <c r="BB1329" s="5" t="str">
        <f aca="false">IF($AP1329="","",IF((($AP1329="Engineering and Technology")+($AP1329="Science and Mathematics")+($AP1329="Computer Science, IT and Allied Fields")+($AP1329="Life Sciences /Medicine and Healthcare")+($AP1329="Paramedical")+($AP1329="Architecture")+($AP1329="Environmental Service")+($AP1329="Agriculture, Food Industry and Forestry"))&gt;0,"Science",IF((($AP1329="Banking and Finance")+($AP1329="Management and Administration")+($AP1329="Marketing")+($AP1329="Sales")+($AP1329="Entrepreneurship")+($AP1329="Hospitality and Tourism"))&gt;0,"Commerce",IF((($AP1329="Social Sciences and Humanities")+($AP1329="Law Studies")+($AP1329="Education and Training")+($AP1329="Art, Design")+($AP1329="Entertainment and Mass Media")+($AP1329="Community and Social Service")+($AP1329="Personal Care and Services")+($AP1329="Government and Public Administration")+($AP1329="Defence/ Protective Service")+($AP1329="Sports"))&gt;0,"Arts / Humanities",""))))</f>
        <v/>
      </c>
      <c r="BC1329" s="5" t="str">
        <f aca="false">IF($AL1329="","",IF((($AL1329="Engineering and Technology")+($AL1329="Science and Mathematics")+($AL1329="Computer Science, IT and Allied Fields")+($AL1329="Life Sciences /Medicine and Healthcare")+($AL1329="Paramedical")+($AL1329="Architecture")+($AL1329="Environmental Service")+($AL1329="Agriculture, Food Industry and Forestry"))&gt;0,"Science",IF((($AL1329="Banking and Finance")+($AL1329="Management and Administration")+($AL1329="Marketing")+($AL1329="Sales")+($AL1329="Entrepreneurship")+($AL1329="Hospitality and Tourism"))&gt;0,"Commerce",IF((($AL1329="Social Sciences and Humanities")+($AL1329="Law Studies")+($AL1329="Education and Training")+($AL1329="Art, Design")+($AL1329="Entertainment and Mass Media")+($AL1329="Community and Social Service")+($AL1329="Personal Care and Services")+($AL1329="Government and Public Administration")+($AL1329="Defence/ Protective Service")+($AL1329="Sports"))&gt;0,"Arts / Humanities",""))))</f>
        <v/>
      </c>
      <c r="BD1329" s="5" t="str">
        <f aca="false">IF($B1329="","",--(F1329&gt;=10)+--(G1329&gt;=10)+--(H1329&gt;=10)+--(I1329&gt;=10)+--(J1329&gt;=10)+--(K1329&gt;=10)+--(L1329&gt;=10)+--(M1329&gt;=10)+--(N1329&gt;=10)+--(O1329&gt;=10))</f>
        <v/>
      </c>
      <c r="BE1329" s="5" t="str">
        <f aca="false">IF($B1329="","",--(AND(F1329&lt;&gt;"",F1329&lt;=8))+--(AND(G1329&lt;&gt;"",G1329&lt;=8))+--(AND(H1329&lt;&gt;"",H1329&lt;=8))+--(AND(I1329&lt;&gt;"",I1329&lt;=8))+--(AND(J1329&lt;&gt;"",J1329&lt;=8))+--(AND(K1329&lt;&gt;"",K1329&lt;=8))+--(AND(L1329&lt;&gt;"",L1329&lt;=8))+--(AND(M1329&lt;&gt;"",M1329&lt;=8))+--(AND(N1329&lt;&gt;"",N1329&lt;=8))+--(AND(O1329&lt;&gt;"",O1329&lt;=8)))</f>
        <v/>
      </c>
    </row>
    <row r="1330" customFormat="false" ht="15" hidden="false" customHeight="false" outlineLevel="0" collapsed="false">
      <c r="AZ1330" s="5" t="str">
        <f aca="false">IF($B1330="","",SUMPRODUCT(($AL1330:$AO1330&lt;&gt;"")*(COUNTIF($AP1330:$AX1330,$AL1330:$AO1330)&gt;0)))</f>
        <v/>
      </c>
      <c r="BA1330" s="5" t="str">
        <f aca="false">IF($B1330="","",IF(AZ1330&gt;0,1,0))</f>
        <v/>
      </c>
      <c r="BB1330" s="5" t="str">
        <f aca="false">IF($AP1330="","",IF((($AP1330="Engineering and Technology")+($AP1330="Science and Mathematics")+($AP1330="Computer Science, IT and Allied Fields")+($AP1330="Life Sciences /Medicine and Healthcare")+($AP1330="Paramedical")+($AP1330="Architecture")+($AP1330="Environmental Service")+($AP1330="Agriculture, Food Industry and Forestry"))&gt;0,"Science",IF((($AP1330="Banking and Finance")+($AP1330="Management and Administration")+($AP1330="Marketing")+($AP1330="Sales")+($AP1330="Entrepreneurship")+($AP1330="Hospitality and Tourism"))&gt;0,"Commerce",IF((($AP1330="Social Sciences and Humanities")+($AP1330="Law Studies")+($AP1330="Education and Training")+($AP1330="Art, Design")+($AP1330="Entertainment and Mass Media")+($AP1330="Community and Social Service")+($AP1330="Personal Care and Services")+($AP1330="Government and Public Administration")+($AP1330="Defence/ Protective Service")+($AP1330="Sports"))&gt;0,"Arts / Humanities",""))))</f>
        <v/>
      </c>
      <c r="BC1330" s="5" t="str">
        <f aca="false">IF($AL1330="","",IF((($AL1330="Engineering and Technology")+($AL1330="Science and Mathematics")+($AL1330="Computer Science, IT and Allied Fields")+($AL1330="Life Sciences /Medicine and Healthcare")+($AL1330="Paramedical")+($AL1330="Architecture")+($AL1330="Environmental Service")+($AL1330="Agriculture, Food Industry and Forestry"))&gt;0,"Science",IF((($AL1330="Banking and Finance")+($AL1330="Management and Administration")+($AL1330="Marketing")+($AL1330="Sales")+($AL1330="Entrepreneurship")+($AL1330="Hospitality and Tourism"))&gt;0,"Commerce",IF((($AL1330="Social Sciences and Humanities")+($AL1330="Law Studies")+($AL1330="Education and Training")+($AL1330="Art, Design")+($AL1330="Entertainment and Mass Media")+($AL1330="Community and Social Service")+($AL1330="Personal Care and Services")+($AL1330="Government and Public Administration")+($AL1330="Defence/ Protective Service")+($AL1330="Sports"))&gt;0,"Arts / Humanities",""))))</f>
        <v/>
      </c>
      <c r="BD1330" s="5" t="str">
        <f aca="false">IF($B1330="","",--(F1330&gt;=10)+--(G1330&gt;=10)+--(H1330&gt;=10)+--(I1330&gt;=10)+--(J1330&gt;=10)+--(K1330&gt;=10)+--(L1330&gt;=10)+--(M1330&gt;=10)+--(N1330&gt;=10)+--(O1330&gt;=10))</f>
        <v/>
      </c>
      <c r="BE1330" s="5" t="str">
        <f aca="false">IF($B1330="","",--(AND(F1330&lt;&gt;"",F1330&lt;=8))+--(AND(G1330&lt;&gt;"",G1330&lt;=8))+--(AND(H1330&lt;&gt;"",H1330&lt;=8))+--(AND(I1330&lt;&gt;"",I1330&lt;=8))+--(AND(J1330&lt;&gt;"",J1330&lt;=8))+--(AND(K1330&lt;&gt;"",K1330&lt;=8))+--(AND(L1330&lt;&gt;"",L1330&lt;=8))+--(AND(M1330&lt;&gt;"",M1330&lt;=8))+--(AND(N1330&lt;&gt;"",N1330&lt;=8))+--(AND(O1330&lt;&gt;"",O1330&lt;=8)))</f>
        <v/>
      </c>
    </row>
    <row r="1331" customFormat="false" ht="15" hidden="false" customHeight="false" outlineLevel="0" collapsed="false">
      <c r="AZ1331" s="5" t="str">
        <f aca="false">IF($B1331="","",SUMPRODUCT(($AL1331:$AO1331&lt;&gt;"")*(COUNTIF($AP1331:$AX1331,$AL1331:$AO1331)&gt;0)))</f>
        <v/>
      </c>
      <c r="BA1331" s="5" t="str">
        <f aca="false">IF($B1331="","",IF(AZ1331&gt;0,1,0))</f>
        <v/>
      </c>
      <c r="BB1331" s="5" t="str">
        <f aca="false">IF($AP1331="","",IF((($AP1331="Engineering and Technology")+($AP1331="Science and Mathematics")+($AP1331="Computer Science, IT and Allied Fields")+($AP1331="Life Sciences /Medicine and Healthcare")+($AP1331="Paramedical")+($AP1331="Architecture")+($AP1331="Environmental Service")+($AP1331="Agriculture, Food Industry and Forestry"))&gt;0,"Science",IF((($AP1331="Banking and Finance")+($AP1331="Management and Administration")+($AP1331="Marketing")+($AP1331="Sales")+($AP1331="Entrepreneurship")+($AP1331="Hospitality and Tourism"))&gt;0,"Commerce",IF((($AP1331="Social Sciences and Humanities")+($AP1331="Law Studies")+($AP1331="Education and Training")+($AP1331="Art, Design")+($AP1331="Entertainment and Mass Media")+($AP1331="Community and Social Service")+($AP1331="Personal Care and Services")+($AP1331="Government and Public Administration")+($AP1331="Defence/ Protective Service")+($AP1331="Sports"))&gt;0,"Arts / Humanities",""))))</f>
        <v/>
      </c>
      <c r="BC1331" s="5" t="str">
        <f aca="false">IF($AL1331="","",IF((($AL1331="Engineering and Technology")+($AL1331="Science and Mathematics")+($AL1331="Computer Science, IT and Allied Fields")+($AL1331="Life Sciences /Medicine and Healthcare")+($AL1331="Paramedical")+($AL1331="Architecture")+($AL1331="Environmental Service")+($AL1331="Agriculture, Food Industry and Forestry"))&gt;0,"Science",IF((($AL1331="Banking and Finance")+($AL1331="Management and Administration")+($AL1331="Marketing")+($AL1331="Sales")+($AL1331="Entrepreneurship")+($AL1331="Hospitality and Tourism"))&gt;0,"Commerce",IF((($AL1331="Social Sciences and Humanities")+($AL1331="Law Studies")+($AL1331="Education and Training")+($AL1331="Art, Design")+($AL1331="Entertainment and Mass Media")+($AL1331="Community and Social Service")+($AL1331="Personal Care and Services")+($AL1331="Government and Public Administration")+($AL1331="Defence/ Protective Service")+($AL1331="Sports"))&gt;0,"Arts / Humanities",""))))</f>
        <v/>
      </c>
      <c r="BD1331" s="5" t="str">
        <f aca="false">IF($B1331="","",--(F1331&gt;=10)+--(G1331&gt;=10)+--(H1331&gt;=10)+--(I1331&gt;=10)+--(J1331&gt;=10)+--(K1331&gt;=10)+--(L1331&gt;=10)+--(M1331&gt;=10)+--(N1331&gt;=10)+--(O1331&gt;=10))</f>
        <v/>
      </c>
      <c r="BE1331" s="5" t="str">
        <f aca="false">IF($B1331="","",--(AND(F1331&lt;&gt;"",F1331&lt;=8))+--(AND(G1331&lt;&gt;"",G1331&lt;=8))+--(AND(H1331&lt;&gt;"",H1331&lt;=8))+--(AND(I1331&lt;&gt;"",I1331&lt;=8))+--(AND(J1331&lt;&gt;"",J1331&lt;=8))+--(AND(K1331&lt;&gt;"",K1331&lt;=8))+--(AND(L1331&lt;&gt;"",L1331&lt;=8))+--(AND(M1331&lt;&gt;"",M1331&lt;=8))+--(AND(N1331&lt;&gt;"",N1331&lt;=8))+--(AND(O1331&lt;&gt;"",O1331&lt;=8)))</f>
        <v/>
      </c>
    </row>
    <row r="1332" customFormat="false" ht="15" hidden="false" customHeight="false" outlineLevel="0" collapsed="false">
      <c r="AZ1332" s="5" t="str">
        <f aca="false">IF($B1332="","",SUMPRODUCT(($AL1332:$AO1332&lt;&gt;"")*(COUNTIF($AP1332:$AX1332,$AL1332:$AO1332)&gt;0)))</f>
        <v/>
      </c>
      <c r="BA1332" s="5" t="str">
        <f aca="false">IF($B1332="","",IF(AZ1332&gt;0,1,0))</f>
        <v/>
      </c>
      <c r="BB1332" s="5" t="str">
        <f aca="false">IF($AP1332="","",IF((($AP1332="Engineering and Technology")+($AP1332="Science and Mathematics")+($AP1332="Computer Science, IT and Allied Fields")+($AP1332="Life Sciences /Medicine and Healthcare")+($AP1332="Paramedical")+($AP1332="Architecture")+($AP1332="Environmental Service")+($AP1332="Agriculture, Food Industry and Forestry"))&gt;0,"Science",IF((($AP1332="Banking and Finance")+($AP1332="Management and Administration")+($AP1332="Marketing")+($AP1332="Sales")+($AP1332="Entrepreneurship")+($AP1332="Hospitality and Tourism"))&gt;0,"Commerce",IF((($AP1332="Social Sciences and Humanities")+($AP1332="Law Studies")+($AP1332="Education and Training")+($AP1332="Art, Design")+($AP1332="Entertainment and Mass Media")+($AP1332="Community and Social Service")+($AP1332="Personal Care and Services")+($AP1332="Government and Public Administration")+($AP1332="Defence/ Protective Service")+($AP1332="Sports"))&gt;0,"Arts / Humanities",""))))</f>
        <v/>
      </c>
      <c r="BC1332" s="5" t="str">
        <f aca="false">IF($AL1332="","",IF((($AL1332="Engineering and Technology")+($AL1332="Science and Mathematics")+($AL1332="Computer Science, IT and Allied Fields")+($AL1332="Life Sciences /Medicine and Healthcare")+($AL1332="Paramedical")+($AL1332="Architecture")+($AL1332="Environmental Service")+($AL1332="Agriculture, Food Industry and Forestry"))&gt;0,"Science",IF((($AL1332="Banking and Finance")+($AL1332="Management and Administration")+($AL1332="Marketing")+($AL1332="Sales")+($AL1332="Entrepreneurship")+($AL1332="Hospitality and Tourism"))&gt;0,"Commerce",IF((($AL1332="Social Sciences and Humanities")+($AL1332="Law Studies")+($AL1332="Education and Training")+($AL1332="Art, Design")+($AL1332="Entertainment and Mass Media")+($AL1332="Community and Social Service")+($AL1332="Personal Care and Services")+($AL1332="Government and Public Administration")+($AL1332="Defence/ Protective Service")+($AL1332="Sports"))&gt;0,"Arts / Humanities",""))))</f>
        <v/>
      </c>
      <c r="BD1332" s="5" t="str">
        <f aca="false">IF($B1332="","",--(F1332&gt;=10)+--(G1332&gt;=10)+--(H1332&gt;=10)+--(I1332&gt;=10)+--(J1332&gt;=10)+--(K1332&gt;=10)+--(L1332&gt;=10)+--(M1332&gt;=10)+--(N1332&gt;=10)+--(O1332&gt;=10))</f>
        <v/>
      </c>
      <c r="BE1332" s="5" t="str">
        <f aca="false">IF($B1332="","",--(AND(F1332&lt;&gt;"",F1332&lt;=8))+--(AND(G1332&lt;&gt;"",G1332&lt;=8))+--(AND(H1332&lt;&gt;"",H1332&lt;=8))+--(AND(I1332&lt;&gt;"",I1332&lt;=8))+--(AND(J1332&lt;&gt;"",J1332&lt;=8))+--(AND(K1332&lt;&gt;"",K1332&lt;=8))+--(AND(L1332&lt;&gt;"",L1332&lt;=8))+--(AND(M1332&lt;&gt;"",M1332&lt;=8))+--(AND(N1332&lt;&gt;"",N1332&lt;=8))+--(AND(O1332&lt;&gt;"",O1332&lt;=8)))</f>
        <v/>
      </c>
    </row>
    <row r="1333" customFormat="false" ht="15" hidden="false" customHeight="false" outlineLevel="0" collapsed="false">
      <c r="AZ1333" s="5" t="str">
        <f aca="false">IF($B1333="","",SUMPRODUCT(($AL1333:$AO1333&lt;&gt;"")*(COUNTIF($AP1333:$AX1333,$AL1333:$AO1333)&gt;0)))</f>
        <v/>
      </c>
      <c r="BA1333" s="5" t="str">
        <f aca="false">IF($B1333="","",IF(AZ1333&gt;0,1,0))</f>
        <v/>
      </c>
      <c r="BB1333" s="5" t="str">
        <f aca="false">IF($AP1333="","",IF((($AP1333="Engineering and Technology")+($AP1333="Science and Mathematics")+($AP1333="Computer Science, IT and Allied Fields")+($AP1333="Life Sciences /Medicine and Healthcare")+($AP1333="Paramedical")+($AP1333="Architecture")+($AP1333="Environmental Service")+($AP1333="Agriculture, Food Industry and Forestry"))&gt;0,"Science",IF((($AP1333="Banking and Finance")+($AP1333="Management and Administration")+($AP1333="Marketing")+($AP1333="Sales")+($AP1333="Entrepreneurship")+($AP1333="Hospitality and Tourism"))&gt;0,"Commerce",IF((($AP1333="Social Sciences and Humanities")+($AP1333="Law Studies")+($AP1333="Education and Training")+($AP1333="Art, Design")+($AP1333="Entertainment and Mass Media")+($AP1333="Community and Social Service")+($AP1333="Personal Care and Services")+($AP1333="Government and Public Administration")+($AP1333="Defence/ Protective Service")+($AP1333="Sports"))&gt;0,"Arts / Humanities",""))))</f>
        <v/>
      </c>
      <c r="BC1333" s="5" t="str">
        <f aca="false">IF($AL1333="","",IF((($AL1333="Engineering and Technology")+($AL1333="Science and Mathematics")+($AL1333="Computer Science, IT and Allied Fields")+($AL1333="Life Sciences /Medicine and Healthcare")+($AL1333="Paramedical")+($AL1333="Architecture")+($AL1333="Environmental Service")+($AL1333="Agriculture, Food Industry and Forestry"))&gt;0,"Science",IF((($AL1333="Banking and Finance")+($AL1333="Management and Administration")+($AL1333="Marketing")+($AL1333="Sales")+($AL1333="Entrepreneurship")+($AL1333="Hospitality and Tourism"))&gt;0,"Commerce",IF((($AL1333="Social Sciences and Humanities")+($AL1333="Law Studies")+($AL1333="Education and Training")+($AL1333="Art, Design")+($AL1333="Entertainment and Mass Media")+($AL1333="Community and Social Service")+($AL1333="Personal Care and Services")+($AL1333="Government and Public Administration")+($AL1333="Defence/ Protective Service")+($AL1333="Sports"))&gt;0,"Arts / Humanities",""))))</f>
        <v/>
      </c>
      <c r="BD1333" s="5" t="str">
        <f aca="false">IF($B1333="","",--(F1333&gt;=10)+--(G1333&gt;=10)+--(H1333&gt;=10)+--(I1333&gt;=10)+--(J1333&gt;=10)+--(K1333&gt;=10)+--(L1333&gt;=10)+--(M1333&gt;=10)+--(N1333&gt;=10)+--(O1333&gt;=10))</f>
        <v/>
      </c>
      <c r="BE1333" s="5" t="str">
        <f aca="false">IF($B1333="","",--(AND(F1333&lt;&gt;"",F1333&lt;=8))+--(AND(G1333&lt;&gt;"",G1333&lt;=8))+--(AND(H1333&lt;&gt;"",H1333&lt;=8))+--(AND(I1333&lt;&gt;"",I1333&lt;=8))+--(AND(J1333&lt;&gt;"",J1333&lt;=8))+--(AND(K1333&lt;&gt;"",K1333&lt;=8))+--(AND(L1333&lt;&gt;"",L1333&lt;=8))+--(AND(M1333&lt;&gt;"",M1333&lt;=8))+--(AND(N1333&lt;&gt;"",N1333&lt;=8))+--(AND(O1333&lt;&gt;"",O1333&lt;=8)))</f>
        <v/>
      </c>
    </row>
    <row r="1334" customFormat="false" ht="15" hidden="false" customHeight="false" outlineLevel="0" collapsed="false">
      <c r="AZ1334" s="5" t="str">
        <f aca="false">IF($B1334="","",SUMPRODUCT(($AL1334:$AO1334&lt;&gt;"")*(COUNTIF($AP1334:$AX1334,$AL1334:$AO1334)&gt;0)))</f>
        <v/>
      </c>
      <c r="BA1334" s="5" t="str">
        <f aca="false">IF($B1334="","",IF(AZ1334&gt;0,1,0))</f>
        <v/>
      </c>
      <c r="BB1334" s="5" t="str">
        <f aca="false">IF($AP1334="","",IF((($AP1334="Engineering and Technology")+($AP1334="Science and Mathematics")+($AP1334="Computer Science, IT and Allied Fields")+($AP1334="Life Sciences /Medicine and Healthcare")+($AP1334="Paramedical")+($AP1334="Architecture")+($AP1334="Environmental Service")+($AP1334="Agriculture, Food Industry and Forestry"))&gt;0,"Science",IF((($AP1334="Banking and Finance")+($AP1334="Management and Administration")+($AP1334="Marketing")+($AP1334="Sales")+($AP1334="Entrepreneurship")+($AP1334="Hospitality and Tourism"))&gt;0,"Commerce",IF((($AP1334="Social Sciences and Humanities")+($AP1334="Law Studies")+($AP1334="Education and Training")+($AP1334="Art, Design")+($AP1334="Entertainment and Mass Media")+($AP1334="Community and Social Service")+($AP1334="Personal Care and Services")+($AP1334="Government and Public Administration")+($AP1334="Defence/ Protective Service")+($AP1334="Sports"))&gt;0,"Arts / Humanities",""))))</f>
        <v/>
      </c>
      <c r="BC1334" s="5" t="str">
        <f aca="false">IF($AL1334="","",IF((($AL1334="Engineering and Technology")+($AL1334="Science and Mathematics")+($AL1334="Computer Science, IT and Allied Fields")+($AL1334="Life Sciences /Medicine and Healthcare")+($AL1334="Paramedical")+($AL1334="Architecture")+($AL1334="Environmental Service")+($AL1334="Agriculture, Food Industry and Forestry"))&gt;0,"Science",IF((($AL1334="Banking and Finance")+($AL1334="Management and Administration")+($AL1334="Marketing")+($AL1334="Sales")+($AL1334="Entrepreneurship")+($AL1334="Hospitality and Tourism"))&gt;0,"Commerce",IF((($AL1334="Social Sciences and Humanities")+($AL1334="Law Studies")+($AL1334="Education and Training")+($AL1334="Art, Design")+($AL1334="Entertainment and Mass Media")+($AL1334="Community and Social Service")+($AL1334="Personal Care and Services")+($AL1334="Government and Public Administration")+($AL1334="Defence/ Protective Service")+($AL1334="Sports"))&gt;0,"Arts / Humanities",""))))</f>
        <v/>
      </c>
      <c r="BD1334" s="5" t="str">
        <f aca="false">IF($B1334="","",--(F1334&gt;=10)+--(G1334&gt;=10)+--(H1334&gt;=10)+--(I1334&gt;=10)+--(J1334&gt;=10)+--(K1334&gt;=10)+--(L1334&gt;=10)+--(M1334&gt;=10)+--(N1334&gt;=10)+--(O1334&gt;=10))</f>
        <v/>
      </c>
      <c r="BE1334" s="5" t="str">
        <f aca="false">IF($B1334="","",--(AND(F1334&lt;&gt;"",F1334&lt;=8))+--(AND(G1334&lt;&gt;"",G1334&lt;=8))+--(AND(H1334&lt;&gt;"",H1334&lt;=8))+--(AND(I1334&lt;&gt;"",I1334&lt;=8))+--(AND(J1334&lt;&gt;"",J1334&lt;=8))+--(AND(K1334&lt;&gt;"",K1334&lt;=8))+--(AND(L1334&lt;&gt;"",L1334&lt;=8))+--(AND(M1334&lt;&gt;"",M1334&lt;=8))+--(AND(N1334&lt;&gt;"",N1334&lt;=8))+--(AND(O1334&lt;&gt;"",O1334&lt;=8)))</f>
        <v/>
      </c>
    </row>
    <row r="1335" customFormat="false" ht="15" hidden="false" customHeight="false" outlineLevel="0" collapsed="false">
      <c r="AZ1335" s="5" t="str">
        <f aca="false">IF($B1335="","",SUMPRODUCT(($AL1335:$AO1335&lt;&gt;"")*(COUNTIF($AP1335:$AX1335,$AL1335:$AO1335)&gt;0)))</f>
        <v/>
      </c>
      <c r="BA1335" s="5" t="str">
        <f aca="false">IF($B1335="","",IF(AZ1335&gt;0,1,0))</f>
        <v/>
      </c>
      <c r="BB1335" s="5" t="str">
        <f aca="false">IF($AP1335="","",IF((($AP1335="Engineering and Technology")+($AP1335="Science and Mathematics")+($AP1335="Computer Science, IT and Allied Fields")+($AP1335="Life Sciences /Medicine and Healthcare")+($AP1335="Paramedical")+($AP1335="Architecture")+($AP1335="Environmental Service")+($AP1335="Agriculture, Food Industry and Forestry"))&gt;0,"Science",IF((($AP1335="Banking and Finance")+($AP1335="Management and Administration")+($AP1335="Marketing")+($AP1335="Sales")+($AP1335="Entrepreneurship")+($AP1335="Hospitality and Tourism"))&gt;0,"Commerce",IF((($AP1335="Social Sciences and Humanities")+($AP1335="Law Studies")+($AP1335="Education and Training")+($AP1335="Art, Design")+($AP1335="Entertainment and Mass Media")+($AP1335="Community and Social Service")+($AP1335="Personal Care and Services")+($AP1335="Government and Public Administration")+($AP1335="Defence/ Protective Service")+($AP1335="Sports"))&gt;0,"Arts / Humanities",""))))</f>
        <v/>
      </c>
      <c r="BC1335" s="5" t="str">
        <f aca="false">IF($AL1335="","",IF((($AL1335="Engineering and Technology")+($AL1335="Science and Mathematics")+($AL1335="Computer Science, IT and Allied Fields")+($AL1335="Life Sciences /Medicine and Healthcare")+($AL1335="Paramedical")+($AL1335="Architecture")+($AL1335="Environmental Service")+($AL1335="Agriculture, Food Industry and Forestry"))&gt;0,"Science",IF((($AL1335="Banking and Finance")+($AL1335="Management and Administration")+($AL1335="Marketing")+($AL1335="Sales")+($AL1335="Entrepreneurship")+($AL1335="Hospitality and Tourism"))&gt;0,"Commerce",IF((($AL1335="Social Sciences and Humanities")+($AL1335="Law Studies")+($AL1335="Education and Training")+($AL1335="Art, Design")+($AL1335="Entertainment and Mass Media")+($AL1335="Community and Social Service")+($AL1335="Personal Care and Services")+($AL1335="Government and Public Administration")+($AL1335="Defence/ Protective Service")+($AL1335="Sports"))&gt;0,"Arts / Humanities",""))))</f>
        <v/>
      </c>
      <c r="BD1335" s="5" t="str">
        <f aca="false">IF($B1335="","",--(F1335&gt;=10)+--(G1335&gt;=10)+--(H1335&gt;=10)+--(I1335&gt;=10)+--(J1335&gt;=10)+--(K1335&gt;=10)+--(L1335&gt;=10)+--(M1335&gt;=10)+--(N1335&gt;=10)+--(O1335&gt;=10))</f>
        <v/>
      </c>
      <c r="BE1335" s="5" t="str">
        <f aca="false">IF($B1335="","",--(AND(F1335&lt;&gt;"",F1335&lt;=8))+--(AND(G1335&lt;&gt;"",G1335&lt;=8))+--(AND(H1335&lt;&gt;"",H1335&lt;=8))+--(AND(I1335&lt;&gt;"",I1335&lt;=8))+--(AND(J1335&lt;&gt;"",J1335&lt;=8))+--(AND(K1335&lt;&gt;"",K1335&lt;=8))+--(AND(L1335&lt;&gt;"",L1335&lt;=8))+--(AND(M1335&lt;&gt;"",M1335&lt;=8))+--(AND(N1335&lt;&gt;"",N1335&lt;=8))+--(AND(O1335&lt;&gt;"",O1335&lt;=8)))</f>
        <v/>
      </c>
    </row>
    <row r="1336" customFormat="false" ht="15" hidden="false" customHeight="false" outlineLevel="0" collapsed="false">
      <c r="AZ1336" s="5" t="str">
        <f aca="false">IF($B1336="","",SUMPRODUCT(($AL1336:$AO1336&lt;&gt;"")*(COUNTIF($AP1336:$AX1336,$AL1336:$AO1336)&gt;0)))</f>
        <v/>
      </c>
      <c r="BA1336" s="5" t="str">
        <f aca="false">IF($B1336="","",IF(AZ1336&gt;0,1,0))</f>
        <v/>
      </c>
      <c r="BB1336" s="5" t="str">
        <f aca="false">IF($AP1336="","",IF((($AP1336="Engineering and Technology")+($AP1336="Science and Mathematics")+($AP1336="Computer Science, IT and Allied Fields")+($AP1336="Life Sciences /Medicine and Healthcare")+($AP1336="Paramedical")+($AP1336="Architecture")+($AP1336="Environmental Service")+($AP1336="Agriculture, Food Industry and Forestry"))&gt;0,"Science",IF((($AP1336="Banking and Finance")+($AP1336="Management and Administration")+($AP1336="Marketing")+($AP1336="Sales")+($AP1336="Entrepreneurship")+($AP1336="Hospitality and Tourism"))&gt;0,"Commerce",IF((($AP1336="Social Sciences and Humanities")+($AP1336="Law Studies")+($AP1336="Education and Training")+($AP1336="Art, Design")+($AP1336="Entertainment and Mass Media")+($AP1336="Community and Social Service")+($AP1336="Personal Care and Services")+($AP1336="Government and Public Administration")+($AP1336="Defence/ Protective Service")+($AP1336="Sports"))&gt;0,"Arts / Humanities",""))))</f>
        <v/>
      </c>
      <c r="BC1336" s="5" t="str">
        <f aca="false">IF($AL1336="","",IF((($AL1336="Engineering and Technology")+($AL1336="Science and Mathematics")+($AL1336="Computer Science, IT and Allied Fields")+($AL1336="Life Sciences /Medicine and Healthcare")+($AL1336="Paramedical")+($AL1336="Architecture")+($AL1336="Environmental Service")+($AL1336="Agriculture, Food Industry and Forestry"))&gt;0,"Science",IF((($AL1336="Banking and Finance")+($AL1336="Management and Administration")+($AL1336="Marketing")+($AL1336="Sales")+($AL1336="Entrepreneurship")+($AL1336="Hospitality and Tourism"))&gt;0,"Commerce",IF((($AL1336="Social Sciences and Humanities")+($AL1336="Law Studies")+($AL1336="Education and Training")+($AL1336="Art, Design")+($AL1336="Entertainment and Mass Media")+($AL1336="Community and Social Service")+($AL1336="Personal Care and Services")+($AL1336="Government and Public Administration")+($AL1336="Defence/ Protective Service")+($AL1336="Sports"))&gt;0,"Arts / Humanities",""))))</f>
        <v/>
      </c>
      <c r="BD1336" s="5" t="str">
        <f aca="false">IF($B1336="","",--(F1336&gt;=10)+--(G1336&gt;=10)+--(H1336&gt;=10)+--(I1336&gt;=10)+--(J1336&gt;=10)+--(K1336&gt;=10)+--(L1336&gt;=10)+--(M1336&gt;=10)+--(N1336&gt;=10)+--(O1336&gt;=10))</f>
        <v/>
      </c>
      <c r="BE1336" s="5" t="str">
        <f aca="false">IF($B1336="","",--(AND(F1336&lt;&gt;"",F1336&lt;=8))+--(AND(G1336&lt;&gt;"",G1336&lt;=8))+--(AND(H1336&lt;&gt;"",H1336&lt;=8))+--(AND(I1336&lt;&gt;"",I1336&lt;=8))+--(AND(J1336&lt;&gt;"",J1336&lt;=8))+--(AND(K1336&lt;&gt;"",K1336&lt;=8))+--(AND(L1336&lt;&gt;"",L1336&lt;=8))+--(AND(M1336&lt;&gt;"",M1336&lt;=8))+--(AND(N1336&lt;&gt;"",N1336&lt;=8))+--(AND(O1336&lt;&gt;"",O1336&lt;=8)))</f>
        <v/>
      </c>
    </row>
    <row r="1337" customFormat="false" ht="15" hidden="false" customHeight="false" outlineLevel="0" collapsed="false">
      <c r="AZ1337" s="5" t="str">
        <f aca="false">IF($B1337="","",SUMPRODUCT(($AL1337:$AO1337&lt;&gt;"")*(COUNTIF($AP1337:$AX1337,$AL1337:$AO1337)&gt;0)))</f>
        <v/>
      </c>
      <c r="BA1337" s="5" t="str">
        <f aca="false">IF($B1337="","",IF(AZ1337&gt;0,1,0))</f>
        <v/>
      </c>
      <c r="BB1337" s="5" t="str">
        <f aca="false">IF($AP1337="","",IF((($AP1337="Engineering and Technology")+($AP1337="Science and Mathematics")+($AP1337="Computer Science, IT and Allied Fields")+($AP1337="Life Sciences /Medicine and Healthcare")+($AP1337="Paramedical")+($AP1337="Architecture")+($AP1337="Environmental Service")+($AP1337="Agriculture, Food Industry and Forestry"))&gt;0,"Science",IF((($AP1337="Banking and Finance")+($AP1337="Management and Administration")+($AP1337="Marketing")+($AP1337="Sales")+($AP1337="Entrepreneurship")+($AP1337="Hospitality and Tourism"))&gt;0,"Commerce",IF((($AP1337="Social Sciences and Humanities")+($AP1337="Law Studies")+($AP1337="Education and Training")+($AP1337="Art, Design")+($AP1337="Entertainment and Mass Media")+($AP1337="Community and Social Service")+($AP1337="Personal Care and Services")+($AP1337="Government and Public Administration")+($AP1337="Defence/ Protective Service")+($AP1337="Sports"))&gt;0,"Arts / Humanities",""))))</f>
        <v/>
      </c>
      <c r="BC1337" s="5" t="str">
        <f aca="false">IF($AL1337="","",IF((($AL1337="Engineering and Technology")+($AL1337="Science and Mathematics")+($AL1337="Computer Science, IT and Allied Fields")+($AL1337="Life Sciences /Medicine and Healthcare")+($AL1337="Paramedical")+($AL1337="Architecture")+($AL1337="Environmental Service")+($AL1337="Agriculture, Food Industry and Forestry"))&gt;0,"Science",IF((($AL1337="Banking and Finance")+($AL1337="Management and Administration")+($AL1337="Marketing")+($AL1337="Sales")+($AL1337="Entrepreneurship")+($AL1337="Hospitality and Tourism"))&gt;0,"Commerce",IF((($AL1337="Social Sciences and Humanities")+($AL1337="Law Studies")+($AL1337="Education and Training")+($AL1337="Art, Design")+($AL1337="Entertainment and Mass Media")+($AL1337="Community and Social Service")+($AL1337="Personal Care and Services")+($AL1337="Government and Public Administration")+($AL1337="Defence/ Protective Service")+($AL1337="Sports"))&gt;0,"Arts / Humanities",""))))</f>
        <v/>
      </c>
      <c r="BD1337" s="5" t="str">
        <f aca="false">IF($B1337="","",--(F1337&gt;=10)+--(G1337&gt;=10)+--(H1337&gt;=10)+--(I1337&gt;=10)+--(J1337&gt;=10)+--(K1337&gt;=10)+--(L1337&gt;=10)+--(M1337&gt;=10)+--(N1337&gt;=10)+--(O1337&gt;=10))</f>
        <v/>
      </c>
      <c r="BE1337" s="5" t="str">
        <f aca="false">IF($B1337="","",--(AND(F1337&lt;&gt;"",F1337&lt;=8))+--(AND(G1337&lt;&gt;"",G1337&lt;=8))+--(AND(H1337&lt;&gt;"",H1337&lt;=8))+--(AND(I1337&lt;&gt;"",I1337&lt;=8))+--(AND(J1337&lt;&gt;"",J1337&lt;=8))+--(AND(K1337&lt;&gt;"",K1337&lt;=8))+--(AND(L1337&lt;&gt;"",L1337&lt;=8))+--(AND(M1337&lt;&gt;"",M1337&lt;=8))+--(AND(N1337&lt;&gt;"",N1337&lt;=8))+--(AND(O1337&lt;&gt;"",O1337&lt;=8)))</f>
        <v/>
      </c>
    </row>
    <row r="1338" customFormat="false" ht="15" hidden="false" customHeight="false" outlineLevel="0" collapsed="false">
      <c r="AZ1338" s="5" t="str">
        <f aca="false">IF($B1338="","",SUMPRODUCT(($AL1338:$AO1338&lt;&gt;"")*(COUNTIF($AP1338:$AX1338,$AL1338:$AO1338)&gt;0)))</f>
        <v/>
      </c>
      <c r="BA1338" s="5" t="str">
        <f aca="false">IF($B1338="","",IF(AZ1338&gt;0,1,0))</f>
        <v/>
      </c>
      <c r="BB1338" s="5" t="str">
        <f aca="false">IF($AP1338="","",IF((($AP1338="Engineering and Technology")+($AP1338="Science and Mathematics")+($AP1338="Computer Science, IT and Allied Fields")+($AP1338="Life Sciences /Medicine and Healthcare")+($AP1338="Paramedical")+($AP1338="Architecture")+($AP1338="Environmental Service")+($AP1338="Agriculture, Food Industry and Forestry"))&gt;0,"Science",IF((($AP1338="Banking and Finance")+($AP1338="Management and Administration")+($AP1338="Marketing")+($AP1338="Sales")+($AP1338="Entrepreneurship")+($AP1338="Hospitality and Tourism"))&gt;0,"Commerce",IF((($AP1338="Social Sciences and Humanities")+($AP1338="Law Studies")+($AP1338="Education and Training")+($AP1338="Art, Design")+($AP1338="Entertainment and Mass Media")+($AP1338="Community and Social Service")+($AP1338="Personal Care and Services")+($AP1338="Government and Public Administration")+($AP1338="Defence/ Protective Service")+($AP1338="Sports"))&gt;0,"Arts / Humanities",""))))</f>
        <v/>
      </c>
      <c r="BC1338" s="5" t="str">
        <f aca="false">IF($AL1338="","",IF((($AL1338="Engineering and Technology")+($AL1338="Science and Mathematics")+($AL1338="Computer Science, IT and Allied Fields")+($AL1338="Life Sciences /Medicine and Healthcare")+($AL1338="Paramedical")+($AL1338="Architecture")+($AL1338="Environmental Service")+($AL1338="Agriculture, Food Industry and Forestry"))&gt;0,"Science",IF((($AL1338="Banking and Finance")+($AL1338="Management and Administration")+($AL1338="Marketing")+($AL1338="Sales")+($AL1338="Entrepreneurship")+($AL1338="Hospitality and Tourism"))&gt;0,"Commerce",IF((($AL1338="Social Sciences and Humanities")+($AL1338="Law Studies")+($AL1338="Education and Training")+($AL1338="Art, Design")+($AL1338="Entertainment and Mass Media")+($AL1338="Community and Social Service")+($AL1338="Personal Care and Services")+($AL1338="Government and Public Administration")+($AL1338="Defence/ Protective Service")+($AL1338="Sports"))&gt;0,"Arts / Humanities",""))))</f>
        <v/>
      </c>
      <c r="BD1338" s="5" t="str">
        <f aca="false">IF($B1338="","",--(F1338&gt;=10)+--(G1338&gt;=10)+--(H1338&gt;=10)+--(I1338&gt;=10)+--(J1338&gt;=10)+--(K1338&gt;=10)+--(L1338&gt;=10)+--(M1338&gt;=10)+--(N1338&gt;=10)+--(O1338&gt;=10))</f>
        <v/>
      </c>
      <c r="BE1338" s="5" t="str">
        <f aca="false">IF($B1338="","",--(AND(F1338&lt;&gt;"",F1338&lt;=8))+--(AND(G1338&lt;&gt;"",G1338&lt;=8))+--(AND(H1338&lt;&gt;"",H1338&lt;=8))+--(AND(I1338&lt;&gt;"",I1338&lt;=8))+--(AND(J1338&lt;&gt;"",J1338&lt;=8))+--(AND(K1338&lt;&gt;"",K1338&lt;=8))+--(AND(L1338&lt;&gt;"",L1338&lt;=8))+--(AND(M1338&lt;&gt;"",M1338&lt;=8))+--(AND(N1338&lt;&gt;"",N1338&lt;=8))+--(AND(O1338&lt;&gt;"",O1338&lt;=8)))</f>
        <v/>
      </c>
    </row>
    <row r="1339" customFormat="false" ht="15" hidden="false" customHeight="false" outlineLevel="0" collapsed="false">
      <c r="AZ1339" s="5" t="str">
        <f aca="false">IF($B1339="","",SUMPRODUCT(($AL1339:$AO1339&lt;&gt;"")*(COUNTIF($AP1339:$AX1339,$AL1339:$AO1339)&gt;0)))</f>
        <v/>
      </c>
      <c r="BA1339" s="5" t="str">
        <f aca="false">IF($B1339="","",IF(AZ1339&gt;0,1,0))</f>
        <v/>
      </c>
      <c r="BB1339" s="5" t="str">
        <f aca="false">IF($AP1339="","",IF((($AP1339="Engineering and Technology")+($AP1339="Science and Mathematics")+($AP1339="Computer Science, IT and Allied Fields")+($AP1339="Life Sciences /Medicine and Healthcare")+($AP1339="Paramedical")+($AP1339="Architecture")+($AP1339="Environmental Service")+($AP1339="Agriculture, Food Industry and Forestry"))&gt;0,"Science",IF((($AP1339="Banking and Finance")+($AP1339="Management and Administration")+($AP1339="Marketing")+($AP1339="Sales")+($AP1339="Entrepreneurship")+($AP1339="Hospitality and Tourism"))&gt;0,"Commerce",IF((($AP1339="Social Sciences and Humanities")+($AP1339="Law Studies")+($AP1339="Education and Training")+($AP1339="Art, Design")+($AP1339="Entertainment and Mass Media")+($AP1339="Community and Social Service")+($AP1339="Personal Care and Services")+($AP1339="Government and Public Administration")+($AP1339="Defence/ Protective Service")+($AP1339="Sports"))&gt;0,"Arts / Humanities",""))))</f>
        <v/>
      </c>
      <c r="BC1339" s="5" t="str">
        <f aca="false">IF($AL1339="","",IF((($AL1339="Engineering and Technology")+($AL1339="Science and Mathematics")+($AL1339="Computer Science, IT and Allied Fields")+($AL1339="Life Sciences /Medicine and Healthcare")+($AL1339="Paramedical")+($AL1339="Architecture")+($AL1339="Environmental Service")+($AL1339="Agriculture, Food Industry and Forestry"))&gt;0,"Science",IF((($AL1339="Banking and Finance")+($AL1339="Management and Administration")+($AL1339="Marketing")+($AL1339="Sales")+($AL1339="Entrepreneurship")+($AL1339="Hospitality and Tourism"))&gt;0,"Commerce",IF((($AL1339="Social Sciences and Humanities")+($AL1339="Law Studies")+($AL1339="Education and Training")+($AL1339="Art, Design")+($AL1339="Entertainment and Mass Media")+($AL1339="Community and Social Service")+($AL1339="Personal Care and Services")+($AL1339="Government and Public Administration")+($AL1339="Defence/ Protective Service")+($AL1339="Sports"))&gt;0,"Arts / Humanities",""))))</f>
        <v/>
      </c>
      <c r="BD1339" s="5" t="str">
        <f aca="false">IF($B1339="","",--(F1339&gt;=10)+--(G1339&gt;=10)+--(H1339&gt;=10)+--(I1339&gt;=10)+--(J1339&gt;=10)+--(K1339&gt;=10)+--(L1339&gt;=10)+--(M1339&gt;=10)+--(N1339&gt;=10)+--(O1339&gt;=10))</f>
        <v/>
      </c>
      <c r="BE1339" s="5" t="str">
        <f aca="false">IF($B1339="","",--(AND(F1339&lt;&gt;"",F1339&lt;=8))+--(AND(G1339&lt;&gt;"",G1339&lt;=8))+--(AND(H1339&lt;&gt;"",H1339&lt;=8))+--(AND(I1339&lt;&gt;"",I1339&lt;=8))+--(AND(J1339&lt;&gt;"",J1339&lt;=8))+--(AND(K1339&lt;&gt;"",K1339&lt;=8))+--(AND(L1339&lt;&gt;"",L1339&lt;=8))+--(AND(M1339&lt;&gt;"",M1339&lt;=8))+--(AND(N1339&lt;&gt;"",N1339&lt;=8))+--(AND(O1339&lt;&gt;"",O1339&lt;=8)))</f>
        <v/>
      </c>
    </row>
    <row r="1340" customFormat="false" ht="15" hidden="false" customHeight="false" outlineLevel="0" collapsed="false">
      <c r="AZ1340" s="5" t="str">
        <f aca="false">IF($B1340="","",SUMPRODUCT(($AL1340:$AO1340&lt;&gt;"")*(COUNTIF($AP1340:$AX1340,$AL1340:$AO1340)&gt;0)))</f>
        <v/>
      </c>
      <c r="BA1340" s="5" t="str">
        <f aca="false">IF($B1340="","",IF(AZ1340&gt;0,1,0))</f>
        <v/>
      </c>
      <c r="BB1340" s="5" t="str">
        <f aca="false">IF($AP1340="","",IF((($AP1340="Engineering and Technology")+($AP1340="Science and Mathematics")+($AP1340="Computer Science, IT and Allied Fields")+($AP1340="Life Sciences /Medicine and Healthcare")+($AP1340="Paramedical")+($AP1340="Architecture")+($AP1340="Environmental Service")+($AP1340="Agriculture, Food Industry and Forestry"))&gt;0,"Science",IF((($AP1340="Banking and Finance")+($AP1340="Management and Administration")+($AP1340="Marketing")+($AP1340="Sales")+($AP1340="Entrepreneurship")+($AP1340="Hospitality and Tourism"))&gt;0,"Commerce",IF((($AP1340="Social Sciences and Humanities")+($AP1340="Law Studies")+($AP1340="Education and Training")+($AP1340="Art, Design")+($AP1340="Entertainment and Mass Media")+($AP1340="Community and Social Service")+($AP1340="Personal Care and Services")+($AP1340="Government and Public Administration")+($AP1340="Defence/ Protective Service")+($AP1340="Sports"))&gt;0,"Arts / Humanities",""))))</f>
        <v/>
      </c>
      <c r="BC1340" s="5" t="str">
        <f aca="false">IF($AL1340="","",IF((($AL1340="Engineering and Technology")+($AL1340="Science and Mathematics")+($AL1340="Computer Science, IT and Allied Fields")+($AL1340="Life Sciences /Medicine and Healthcare")+($AL1340="Paramedical")+($AL1340="Architecture")+($AL1340="Environmental Service")+($AL1340="Agriculture, Food Industry and Forestry"))&gt;0,"Science",IF((($AL1340="Banking and Finance")+($AL1340="Management and Administration")+($AL1340="Marketing")+($AL1340="Sales")+($AL1340="Entrepreneurship")+($AL1340="Hospitality and Tourism"))&gt;0,"Commerce",IF((($AL1340="Social Sciences and Humanities")+($AL1340="Law Studies")+($AL1340="Education and Training")+($AL1340="Art, Design")+($AL1340="Entertainment and Mass Media")+($AL1340="Community and Social Service")+($AL1340="Personal Care and Services")+($AL1340="Government and Public Administration")+($AL1340="Defence/ Protective Service")+($AL1340="Sports"))&gt;0,"Arts / Humanities",""))))</f>
        <v/>
      </c>
      <c r="BD1340" s="5" t="str">
        <f aca="false">IF($B1340="","",--(F1340&gt;=10)+--(G1340&gt;=10)+--(H1340&gt;=10)+--(I1340&gt;=10)+--(J1340&gt;=10)+--(K1340&gt;=10)+--(L1340&gt;=10)+--(M1340&gt;=10)+--(N1340&gt;=10)+--(O1340&gt;=10))</f>
        <v/>
      </c>
      <c r="BE1340" s="5" t="str">
        <f aca="false">IF($B1340="","",--(AND(F1340&lt;&gt;"",F1340&lt;=8))+--(AND(G1340&lt;&gt;"",G1340&lt;=8))+--(AND(H1340&lt;&gt;"",H1340&lt;=8))+--(AND(I1340&lt;&gt;"",I1340&lt;=8))+--(AND(J1340&lt;&gt;"",J1340&lt;=8))+--(AND(K1340&lt;&gt;"",K1340&lt;=8))+--(AND(L1340&lt;&gt;"",L1340&lt;=8))+--(AND(M1340&lt;&gt;"",M1340&lt;=8))+--(AND(N1340&lt;&gt;"",N1340&lt;=8))+--(AND(O1340&lt;&gt;"",O1340&lt;=8)))</f>
        <v/>
      </c>
    </row>
    <row r="1341" customFormat="false" ht="15" hidden="false" customHeight="false" outlineLevel="0" collapsed="false">
      <c r="AZ1341" s="5" t="str">
        <f aca="false">IF($B1341="","",SUMPRODUCT(($AL1341:$AO1341&lt;&gt;"")*(COUNTIF($AP1341:$AX1341,$AL1341:$AO1341)&gt;0)))</f>
        <v/>
      </c>
      <c r="BA1341" s="5" t="str">
        <f aca="false">IF($B1341="","",IF(AZ1341&gt;0,1,0))</f>
        <v/>
      </c>
      <c r="BB1341" s="5" t="str">
        <f aca="false">IF($AP1341="","",IF((($AP1341="Engineering and Technology")+($AP1341="Science and Mathematics")+($AP1341="Computer Science, IT and Allied Fields")+($AP1341="Life Sciences /Medicine and Healthcare")+($AP1341="Paramedical")+($AP1341="Architecture")+($AP1341="Environmental Service")+($AP1341="Agriculture, Food Industry and Forestry"))&gt;0,"Science",IF((($AP1341="Banking and Finance")+($AP1341="Management and Administration")+($AP1341="Marketing")+($AP1341="Sales")+($AP1341="Entrepreneurship")+($AP1341="Hospitality and Tourism"))&gt;0,"Commerce",IF((($AP1341="Social Sciences and Humanities")+($AP1341="Law Studies")+($AP1341="Education and Training")+($AP1341="Art, Design")+($AP1341="Entertainment and Mass Media")+($AP1341="Community and Social Service")+($AP1341="Personal Care and Services")+($AP1341="Government and Public Administration")+($AP1341="Defence/ Protective Service")+($AP1341="Sports"))&gt;0,"Arts / Humanities",""))))</f>
        <v/>
      </c>
      <c r="BC1341" s="5" t="str">
        <f aca="false">IF($AL1341="","",IF((($AL1341="Engineering and Technology")+($AL1341="Science and Mathematics")+($AL1341="Computer Science, IT and Allied Fields")+($AL1341="Life Sciences /Medicine and Healthcare")+($AL1341="Paramedical")+($AL1341="Architecture")+($AL1341="Environmental Service")+($AL1341="Agriculture, Food Industry and Forestry"))&gt;0,"Science",IF((($AL1341="Banking and Finance")+($AL1341="Management and Administration")+($AL1341="Marketing")+($AL1341="Sales")+($AL1341="Entrepreneurship")+($AL1341="Hospitality and Tourism"))&gt;0,"Commerce",IF((($AL1341="Social Sciences and Humanities")+($AL1341="Law Studies")+($AL1341="Education and Training")+($AL1341="Art, Design")+($AL1341="Entertainment and Mass Media")+($AL1341="Community and Social Service")+($AL1341="Personal Care and Services")+($AL1341="Government and Public Administration")+($AL1341="Defence/ Protective Service")+($AL1341="Sports"))&gt;0,"Arts / Humanities",""))))</f>
        <v/>
      </c>
      <c r="BD1341" s="5" t="str">
        <f aca="false">IF($B1341="","",--(F1341&gt;=10)+--(G1341&gt;=10)+--(H1341&gt;=10)+--(I1341&gt;=10)+--(J1341&gt;=10)+--(K1341&gt;=10)+--(L1341&gt;=10)+--(M1341&gt;=10)+--(N1341&gt;=10)+--(O1341&gt;=10))</f>
        <v/>
      </c>
      <c r="BE1341" s="5" t="str">
        <f aca="false">IF($B1341="","",--(AND(F1341&lt;&gt;"",F1341&lt;=8))+--(AND(G1341&lt;&gt;"",G1341&lt;=8))+--(AND(H1341&lt;&gt;"",H1341&lt;=8))+--(AND(I1341&lt;&gt;"",I1341&lt;=8))+--(AND(J1341&lt;&gt;"",J1341&lt;=8))+--(AND(K1341&lt;&gt;"",K1341&lt;=8))+--(AND(L1341&lt;&gt;"",L1341&lt;=8))+--(AND(M1341&lt;&gt;"",M1341&lt;=8))+--(AND(N1341&lt;&gt;"",N1341&lt;=8))+--(AND(O1341&lt;&gt;"",O1341&lt;=8)))</f>
        <v/>
      </c>
    </row>
    <row r="1342" customFormat="false" ht="15" hidden="false" customHeight="false" outlineLevel="0" collapsed="false">
      <c r="AZ1342" s="5" t="str">
        <f aca="false">IF($B1342="","",SUMPRODUCT(($AL1342:$AO1342&lt;&gt;"")*(COUNTIF($AP1342:$AX1342,$AL1342:$AO1342)&gt;0)))</f>
        <v/>
      </c>
      <c r="BA1342" s="5" t="str">
        <f aca="false">IF($B1342="","",IF(AZ1342&gt;0,1,0))</f>
        <v/>
      </c>
      <c r="BB1342" s="5" t="str">
        <f aca="false">IF($AP1342="","",IF((($AP1342="Engineering and Technology")+($AP1342="Science and Mathematics")+($AP1342="Computer Science, IT and Allied Fields")+($AP1342="Life Sciences /Medicine and Healthcare")+($AP1342="Paramedical")+($AP1342="Architecture")+($AP1342="Environmental Service")+($AP1342="Agriculture, Food Industry and Forestry"))&gt;0,"Science",IF((($AP1342="Banking and Finance")+($AP1342="Management and Administration")+($AP1342="Marketing")+($AP1342="Sales")+($AP1342="Entrepreneurship")+($AP1342="Hospitality and Tourism"))&gt;0,"Commerce",IF((($AP1342="Social Sciences and Humanities")+($AP1342="Law Studies")+($AP1342="Education and Training")+($AP1342="Art, Design")+($AP1342="Entertainment and Mass Media")+($AP1342="Community and Social Service")+($AP1342="Personal Care and Services")+($AP1342="Government and Public Administration")+($AP1342="Defence/ Protective Service")+($AP1342="Sports"))&gt;0,"Arts / Humanities",""))))</f>
        <v/>
      </c>
      <c r="BC1342" s="5" t="str">
        <f aca="false">IF($AL1342="","",IF((($AL1342="Engineering and Technology")+($AL1342="Science and Mathematics")+($AL1342="Computer Science, IT and Allied Fields")+($AL1342="Life Sciences /Medicine and Healthcare")+($AL1342="Paramedical")+($AL1342="Architecture")+($AL1342="Environmental Service")+($AL1342="Agriculture, Food Industry and Forestry"))&gt;0,"Science",IF((($AL1342="Banking and Finance")+($AL1342="Management and Administration")+($AL1342="Marketing")+($AL1342="Sales")+($AL1342="Entrepreneurship")+($AL1342="Hospitality and Tourism"))&gt;0,"Commerce",IF((($AL1342="Social Sciences and Humanities")+($AL1342="Law Studies")+($AL1342="Education and Training")+($AL1342="Art, Design")+($AL1342="Entertainment and Mass Media")+($AL1342="Community and Social Service")+($AL1342="Personal Care and Services")+($AL1342="Government and Public Administration")+($AL1342="Defence/ Protective Service")+($AL1342="Sports"))&gt;0,"Arts / Humanities",""))))</f>
        <v/>
      </c>
      <c r="BD1342" s="5" t="str">
        <f aca="false">IF($B1342="","",--(F1342&gt;=10)+--(G1342&gt;=10)+--(H1342&gt;=10)+--(I1342&gt;=10)+--(J1342&gt;=10)+--(K1342&gt;=10)+--(L1342&gt;=10)+--(M1342&gt;=10)+--(N1342&gt;=10)+--(O1342&gt;=10))</f>
        <v/>
      </c>
      <c r="BE1342" s="5" t="str">
        <f aca="false">IF($B1342="","",--(AND(F1342&lt;&gt;"",F1342&lt;=8))+--(AND(G1342&lt;&gt;"",G1342&lt;=8))+--(AND(H1342&lt;&gt;"",H1342&lt;=8))+--(AND(I1342&lt;&gt;"",I1342&lt;=8))+--(AND(J1342&lt;&gt;"",J1342&lt;=8))+--(AND(K1342&lt;&gt;"",K1342&lt;=8))+--(AND(L1342&lt;&gt;"",L1342&lt;=8))+--(AND(M1342&lt;&gt;"",M1342&lt;=8))+--(AND(N1342&lt;&gt;"",N1342&lt;=8))+--(AND(O1342&lt;&gt;"",O1342&lt;=8)))</f>
        <v/>
      </c>
    </row>
    <row r="1343" customFormat="false" ht="15" hidden="false" customHeight="false" outlineLevel="0" collapsed="false">
      <c r="AZ1343" s="5" t="str">
        <f aca="false">IF($B1343="","",SUMPRODUCT(($AL1343:$AO1343&lt;&gt;"")*(COUNTIF($AP1343:$AX1343,$AL1343:$AO1343)&gt;0)))</f>
        <v/>
      </c>
      <c r="BA1343" s="5" t="str">
        <f aca="false">IF($B1343="","",IF(AZ1343&gt;0,1,0))</f>
        <v/>
      </c>
      <c r="BB1343" s="5" t="str">
        <f aca="false">IF($AP1343="","",IF((($AP1343="Engineering and Technology")+($AP1343="Science and Mathematics")+($AP1343="Computer Science, IT and Allied Fields")+($AP1343="Life Sciences /Medicine and Healthcare")+($AP1343="Paramedical")+($AP1343="Architecture")+($AP1343="Environmental Service")+($AP1343="Agriculture, Food Industry and Forestry"))&gt;0,"Science",IF((($AP1343="Banking and Finance")+($AP1343="Management and Administration")+($AP1343="Marketing")+($AP1343="Sales")+($AP1343="Entrepreneurship")+($AP1343="Hospitality and Tourism"))&gt;0,"Commerce",IF((($AP1343="Social Sciences and Humanities")+($AP1343="Law Studies")+($AP1343="Education and Training")+($AP1343="Art, Design")+($AP1343="Entertainment and Mass Media")+($AP1343="Community and Social Service")+($AP1343="Personal Care and Services")+($AP1343="Government and Public Administration")+($AP1343="Defence/ Protective Service")+($AP1343="Sports"))&gt;0,"Arts / Humanities",""))))</f>
        <v/>
      </c>
      <c r="BC1343" s="5" t="str">
        <f aca="false">IF($AL1343="","",IF((($AL1343="Engineering and Technology")+($AL1343="Science and Mathematics")+($AL1343="Computer Science, IT and Allied Fields")+($AL1343="Life Sciences /Medicine and Healthcare")+($AL1343="Paramedical")+($AL1343="Architecture")+($AL1343="Environmental Service")+($AL1343="Agriculture, Food Industry and Forestry"))&gt;0,"Science",IF((($AL1343="Banking and Finance")+($AL1343="Management and Administration")+($AL1343="Marketing")+($AL1343="Sales")+($AL1343="Entrepreneurship")+($AL1343="Hospitality and Tourism"))&gt;0,"Commerce",IF((($AL1343="Social Sciences and Humanities")+($AL1343="Law Studies")+($AL1343="Education and Training")+($AL1343="Art, Design")+($AL1343="Entertainment and Mass Media")+($AL1343="Community and Social Service")+($AL1343="Personal Care and Services")+($AL1343="Government and Public Administration")+($AL1343="Defence/ Protective Service")+($AL1343="Sports"))&gt;0,"Arts / Humanities",""))))</f>
        <v/>
      </c>
      <c r="BD1343" s="5" t="str">
        <f aca="false">IF($B1343="","",--(F1343&gt;=10)+--(G1343&gt;=10)+--(H1343&gt;=10)+--(I1343&gt;=10)+--(J1343&gt;=10)+--(K1343&gt;=10)+--(L1343&gt;=10)+--(M1343&gt;=10)+--(N1343&gt;=10)+--(O1343&gt;=10))</f>
        <v/>
      </c>
      <c r="BE1343" s="5" t="str">
        <f aca="false">IF($B1343="","",--(AND(F1343&lt;&gt;"",F1343&lt;=8))+--(AND(G1343&lt;&gt;"",G1343&lt;=8))+--(AND(H1343&lt;&gt;"",H1343&lt;=8))+--(AND(I1343&lt;&gt;"",I1343&lt;=8))+--(AND(J1343&lt;&gt;"",J1343&lt;=8))+--(AND(K1343&lt;&gt;"",K1343&lt;=8))+--(AND(L1343&lt;&gt;"",L1343&lt;=8))+--(AND(M1343&lt;&gt;"",M1343&lt;=8))+--(AND(N1343&lt;&gt;"",N1343&lt;=8))+--(AND(O1343&lt;&gt;"",O1343&lt;=8)))</f>
        <v/>
      </c>
    </row>
    <row r="1344" customFormat="false" ht="15" hidden="false" customHeight="false" outlineLevel="0" collapsed="false">
      <c r="AZ1344" s="5" t="str">
        <f aca="false">IF($B1344="","",SUMPRODUCT(($AL1344:$AO1344&lt;&gt;"")*(COUNTIF($AP1344:$AX1344,$AL1344:$AO1344)&gt;0)))</f>
        <v/>
      </c>
      <c r="BA1344" s="5" t="str">
        <f aca="false">IF($B1344="","",IF(AZ1344&gt;0,1,0))</f>
        <v/>
      </c>
      <c r="BB1344" s="5" t="str">
        <f aca="false">IF($AP1344="","",IF((($AP1344="Engineering and Technology")+($AP1344="Science and Mathematics")+($AP1344="Computer Science, IT and Allied Fields")+($AP1344="Life Sciences /Medicine and Healthcare")+($AP1344="Paramedical")+($AP1344="Architecture")+($AP1344="Environmental Service")+($AP1344="Agriculture, Food Industry and Forestry"))&gt;0,"Science",IF((($AP1344="Banking and Finance")+($AP1344="Management and Administration")+($AP1344="Marketing")+($AP1344="Sales")+($AP1344="Entrepreneurship")+($AP1344="Hospitality and Tourism"))&gt;0,"Commerce",IF((($AP1344="Social Sciences and Humanities")+($AP1344="Law Studies")+($AP1344="Education and Training")+($AP1344="Art, Design")+($AP1344="Entertainment and Mass Media")+($AP1344="Community and Social Service")+($AP1344="Personal Care and Services")+($AP1344="Government and Public Administration")+($AP1344="Defence/ Protective Service")+($AP1344="Sports"))&gt;0,"Arts / Humanities",""))))</f>
        <v/>
      </c>
      <c r="BC1344" s="5" t="str">
        <f aca="false">IF($AL1344="","",IF((($AL1344="Engineering and Technology")+($AL1344="Science and Mathematics")+($AL1344="Computer Science, IT and Allied Fields")+($AL1344="Life Sciences /Medicine and Healthcare")+($AL1344="Paramedical")+($AL1344="Architecture")+($AL1344="Environmental Service")+($AL1344="Agriculture, Food Industry and Forestry"))&gt;0,"Science",IF((($AL1344="Banking and Finance")+($AL1344="Management and Administration")+($AL1344="Marketing")+($AL1344="Sales")+($AL1344="Entrepreneurship")+($AL1344="Hospitality and Tourism"))&gt;0,"Commerce",IF((($AL1344="Social Sciences and Humanities")+($AL1344="Law Studies")+($AL1344="Education and Training")+($AL1344="Art, Design")+($AL1344="Entertainment and Mass Media")+($AL1344="Community and Social Service")+($AL1344="Personal Care and Services")+($AL1344="Government and Public Administration")+($AL1344="Defence/ Protective Service")+($AL1344="Sports"))&gt;0,"Arts / Humanities",""))))</f>
        <v/>
      </c>
      <c r="BD1344" s="5" t="str">
        <f aca="false">IF($B1344="","",--(F1344&gt;=10)+--(G1344&gt;=10)+--(H1344&gt;=10)+--(I1344&gt;=10)+--(J1344&gt;=10)+--(K1344&gt;=10)+--(L1344&gt;=10)+--(M1344&gt;=10)+--(N1344&gt;=10)+--(O1344&gt;=10))</f>
        <v/>
      </c>
      <c r="BE1344" s="5" t="str">
        <f aca="false">IF($B1344="","",--(AND(F1344&lt;&gt;"",F1344&lt;=8))+--(AND(G1344&lt;&gt;"",G1344&lt;=8))+--(AND(H1344&lt;&gt;"",H1344&lt;=8))+--(AND(I1344&lt;&gt;"",I1344&lt;=8))+--(AND(J1344&lt;&gt;"",J1344&lt;=8))+--(AND(K1344&lt;&gt;"",K1344&lt;=8))+--(AND(L1344&lt;&gt;"",L1344&lt;=8))+--(AND(M1344&lt;&gt;"",M1344&lt;=8))+--(AND(N1344&lt;&gt;"",N1344&lt;=8))+--(AND(O1344&lt;&gt;"",O1344&lt;=8)))</f>
        <v/>
      </c>
    </row>
    <row r="1345" customFormat="false" ht="15" hidden="false" customHeight="false" outlineLevel="0" collapsed="false">
      <c r="AZ1345" s="5" t="str">
        <f aca="false">IF($B1345="","",SUMPRODUCT(($AL1345:$AO1345&lt;&gt;"")*(COUNTIF($AP1345:$AX1345,$AL1345:$AO1345)&gt;0)))</f>
        <v/>
      </c>
      <c r="BA1345" s="5" t="str">
        <f aca="false">IF($B1345="","",IF(AZ1345&gt;0,1,0))</f>
        <v/>
      </c>
      <c r="BB1345" s="5" t="str">
        <f aca="false">IF($AP1345="","",IF((($AP1345="Engineering and Technology")+($AP1345="Science and Mathematics")+($AP1345="Computer Science, IT and Allied Fields")+($AP1345="Life Sciences /Medicine and Healthcare")+($AP1345="Paramedical")+($AP1345="Architecture")+($AP1345="Environmental Service")+($AP1345="Agriculture, Food Industry and Forestry"))&gt;0,"Science",IF((($AP1345="Banking and Finance")+($AP1345="Management and Administration")+($AP1345="Marketing")+($AP1345="Sales")+($AP1345="Entrepreneurship")+($AP1345="Hospitality and Tourism"))&gt;0,"Commerce",IF((($AP1345="Social Sciences and Humanities")+($AP1345="Law Studies")+($AP1345="Education and Training")+($AP1345="Art, Design")+($AP1345="Entertainment and Mass Media")+($AP1345="Community and Social Service")+($AP1345="Personal Care and Services")+($AP1345="Government and Public Administration")+($AP1345="Defence/ Protective Service")+($AP1345="Sports"))&gt;0,"Arts / Humanities",""))))</f>
        <v/>
      </c>
      <c r="BC1345" s="5" t="str">
        <f aca="false">IF($AL1345="","",IF((($AL1345="Engineering and Technology")+($AL1345="Science and Mathematics")+($AL1345="Computer Science, IT and Allied Fields")+($AL1345="Life Sciences /Medicine and Healthcare")+($AL1345="Paramedical")+($AL1345="Architecture")+($AL1345="Environmental Service")+($AL1345="Agriculture, Food Industry and Forestry"))&gt;0,"Science",IF((($AL1345="Banking and Finance")+($AL1345="Management and Administration")+($AL1345="Marketing")+($AL1345="Sales")+($AL1345="Entrepreneurship")+($AL1345="Hospitality and Tourism"))&gt;0,"Commerce",IF((($AL1345="Social Sciences and Humanities")+($AL1345="Law Studies")+($AL1345="Education and Training")+($AL1345="Art, Design")+($AL1345="Entertainment and Mass Media")+($AL1345="Community and Social Service")+($AL1345="Personal Care and Services")+($AL1345="Government and Public Administration")+($AL1345="Defence/ Protective Service")+($AL1345="Sports"))&gt;0,"Arts / Humanities",""))))</f>
        <v/>
      </c>
      <c r="BD1345" s="5" t="str">
        <f aca="false">IF($B1345="","",--(F1345&gt;=10)+--(G1345&gt;=10)+--(H1345&gt;=10)+--(I1345&gt;=10)+--(J1345&gt;=10)+--(K1345&gt;=10)+--(L1345&gt;=10)+--(M1345&gt;=10)+--(N1345&gt;=10)+--(O1345&gt;=10))</f>
        <v/>
      </c>
      <c r="BE1345" s="5" t="str">
        <f aca="false">IF($B1345="","",--(AND(F1345&lt;&gt;"",F1345&lt;=8))+--(AND(G1345&lt;&gt;"",G1345&lt;=8))+--(AND(H1345&lt;&gt;"",H1345&lt;=8))+--(AND(I1345&lt;&gt;"",I1345&lt;=8))+--(AND(J1345&lt;&gt;"",J1345&lt;=8))+--(AND(K1345&lt;&gt;"",K1345&lt;=8))+--(AND(L1345&lt;&gt;"",L1345&lt;=8))+--(AND(M1345&lt;&gt;"",M1345&lt;=8))+--(AND(N1345&lt;&gt;"",N1345&lt;=8))+--(AND(O1345&lt;&gt;"",O1345&lt;=8)))</f>
        <v/>
      </c>
    </row>
    <row r="1346" customFormat="false" ht="15" hidden="false" customHeight="false" outlineLevel="0" collapsed="false">
      <c r="AZ1346" s="5" t="str">
        <f aca="false">IF($B1346="","",SUMPRODUCT(($AL1346:$AO1346&lt;&gt;"")*(COUNTIF($AP1346:$AX1346,$AL1346:$AO1346)&gt;0)))</f>
        <v/>
      </c>
      <c r="BA1346" s="5" t="str">
        <f aca="false">IF($B1346="","",IF(AZ1346&gt;0,1,0))</f>
        <v/>
      </c>
      <c r="BB1346" s="5" t="str">
        <f aca="false">IF($AP1346="","",IF((($AP1346="Engineering and Technology")+($AP1346="Science and Mathematics")+($AP1346="Computer Science, IT and Allied Fields")+($AP1346="Life Sciences /Medicine and Healthcare")+($AP1346="Paramedical")+($AP1346="Architecture")+($AP1346="Environmental Service")+($AP1346="Agriculture, Food Industry and Forestry"))&gt;0,"Science",IF((($AP1346="Banking and Finance")+($AP1346="Management and Administration")+($AP1346="Marketing")+($AP1346="Sales")+($AP1346="Entrepreneurship")+($AP1346="Hospitality and Tourism"))&gt;0,"Commerce",IF((($AP1346="Social Sciences and Humanities")+($AP1346="Law Studies")+($AP1346="Education and Training")+($AP1346="Art, Design")+($AP1346="Entertainment and Mass Media")+($AP1346="Community and Social Service")+($AP1346="Personal Care and Services")+($AP1346="Government and Public Administration")+($AP1346="Defence/ Protective Service")+($AP1346="Sports"))&gt;0,"Arts / Humanities",""))))</f>
        <v/>
      </c>
      <c r="BC1346" s="5" t="str">
        <f aca="false">IF($AL1346="","",IF((($AL1346="Engineering and Technology")+($AL1346="Science and Mathematics")+($AL1346="Computer Science, IT and Allied Fields")+($AL1346="Life Sciences /Medicine and Healthcare")+($AL1346="Paramedical")+($AL1346="Architecture")+($AL1346="Environmental Service")+($AL1346="Agriculture, Food Industry and Forestry"))&gt;0,"Science",IF((($AL1346="Banking and Finance")+($AL1346="Management and Administration")+($AL1346="Marketing")+($AL1346="Sales")+($AL1346="Entrepreneurship")+($AL1346="Hospitality and Tourism"))&gt;0,"Commerce",IF((($AL1346="Social Sciences and Humanities")+($AL1346="Law Studies")+($AL1346="Education and Training")+($AL1346="Art, Design")+($AL1346="Entertainment and Mass Media")+($AL1346="Community and Social Service")+($AL1346="Personal Care and Services")+($AL1346="Government and Public Administration")+($AL1346="Defence/ Protective Service")+($AL1346="Sports"))&gt;0,"Arts / Humanities",""))))</f>
        <v/>
      </c>
      <c r="BD1346" s="5" t="str">
        <f aca="false">IF($B1346="","",--(F1346&gt;=10)+--(G1346&gt;=10)+--(H1346&gt;=10)+--(I1346&gt;=10)+--(J1346&gt;=10)+--(K1346&gt;=10)+--(L1346&gt;=10)+--(M1346&gt;=10)+--(N1346&gt;=10)+--(O1346&gt;=10))</f>
        <v/>
      </c>
      <c r="BE1346" s="5" t="str">
        <f aca="false">IF($B1346="","",--(AND(F1346&lt;&gt;"",F1346&lt;=8))+--(AND(G1346&lt;&gt;"",G1346&lt;=8))+--(AND(H1346&lt;&gt;"",H1346&lt;=8))+--(AND(I1346&lt;&gt;"",I1346&lt;=8))+--(AND(J1346&lt;&gt;"",J1346&lt;=8))+--(AND(K1346&lt;&gt;"",K1346&lt;=8))+--(AND(L1346&lt;&gt;"",L1346&lt;=8))+--(AND(M1346&lt;&gt;"",M1346&lt;=8))+--(AND(N1346&lt;&gt;"",N1346&lt;=8))+--(AND(O1346&lt;&gt;"",O1346&lt;=8)))</f>
        <v/>
      </c>
    </row>
    <row r="1347" customFormat="false" ht="15" hidden="false" customHeight="false" outlineLevel="0" collapsed="false">
      <c r="AZ1347" s="5" t="str">
        <f aca="false">IF($B1347="","",SUMPRODUCT(($AL1347:$AO1347&lt;&gt;"")*(COUNTIF($AP1347:$AX1347,$AL1347:$AO1347)&gt;0)))</f>
        <v/>
      </c>
      <c r="BA1347" s="5" t="str">
        <f aca="false">IF($B1347="","",IF(AZ1347&gt;0,1,0))</f>
        <v/>
      </c>
      <c r="BB1347" s="5" t="str">
        <f aca="false">IF($AP1347="","",IF((($AP1347="Engineering and Technology")+($AP1347="Science and Mathematics")+($AP1347="Computer Science, IT and Allied Fields")+($AP1347="Life Sciences /Medicine and Healthcare")+($AP1347="Paramedical")+($AP1347="Architecture")+($AP1347="Environmental Service")+($AP1347="Agriculture, Food Industry and Forestry"))&gt;0,"Science",IF((($AP1347="Banking and Finance")+($AP1347="Management and Administration")+($AP1347="Marketing")+($AP1347="Sales")+($AP1347="Entrepreneurship")+($AP1347="Hospitality and Tourism"))&gt;0,"Commerce",IF((($AP1347="Social Sciences and Humanities")+($AP1347="Law Studies")+($AP1347="Education and Training")+($AP1347="Art, Design")+($AP1347="Entertainment and Mass Media")+($AP1347="Community and Social Service")+($AP1347="Personal Care and Services")+($AP1347="Government and Public Administration")+($AP1347="Defence/ Protective Service")+($AP1347="Sports"))&gt;0,"Arts / Humanities",""))))</f>
        <v/>
      </c>
      <c r="BC1347" s="5" t="str">
        <f aca="false">IF($AL1347="","",IF((($AL1347="Engineering and Technology")+($AL1347="Science and Mathematics")+($AL1347="Computer Science, IT and Allied Fields")+($AL1347="Life Sciences /Medicine and Healthcare")+($AL1347="Paramedical")+($AL1347="Architecture")+($AL1347="Environmental Service")+($AL1347="Agriculture, Food Industry and Forestry"))&gt;0,"Science",IF((($AL1347="Banking and Finance")+($AL1347="Management and Administration")+($AL1347="Marketing")+($AL1347="Sales")+($AL1347="Entrepreneurship")+($AL1347="Hospitality and Tourism"))&gt;0,"Commerce",IF((($AL1347="Social Sciences and Humanities")+($AL1347="Law Studies")+($AL1347="Education and Training")+($AL1347="Art, Design")+($AL1347="Entertainment and Mass Media")+($AL1347="Community and Social Service")+($AL1347="Personal Care and Services")+($AL1347="Government and Public Administration")+($AL1347="Defence/ Protective Service")+($AL1347="Sports"))&gt;0,"Arts / Humanities",""))))</f>
        <v/>
      </c>
      <c r="BD1347" s="5" t="str">
        <f aca="false">IF($B1347="","",--(F1347&gt;=10)+--(G1347&gt;=10)+--(H1347&gt;=10)+--(I1347&gt;=10)+--(J1347&gt;=10)+--(K1347&gt;=10)+--(L1347&gt;=10)+--(M1347&gt;=10)+--(N1347&gt;=10)+--(O1347&gt;=10))</f>
        <v/>
      </c>
      <c r="BE1347" s="5" t="str">
        <f aca="false">IF($B1347="","",--(AND(F1347&lt;&gt;"",F1347&lt;=8))+--(AND(G1347&lt;&gt;"",G1347&lt;=8))+--(AND(H1347&lt;&gt;"",H1347&lt;=8))+--(AND(I1347&lt;&gt;"",I1347&lt;=8))+--(AND(J1347&lt;&gt;"",J1347&lt;=8))+--(AND(K1347&lt;&gt;"",K1347&lt;=8))+--(AND(L1347&lt;&gt;"",L1347&lt;=8))+--(AND(M1347&lt;&gt;"",M1347&lt;=8))+--(AND(N1347&lt;&gt;"",N1347&lt;=8))+--(AND(O1347&lt;&gt;"",O1347&lt;=8)))</f>
        <v/>
      </c>
    </row>
    <row r="1348" customFormat="false" ht="15" hidden="false" customHeight="false" outlineLevel="0" collapsed="false">
      <c r="AZ1348" s="5" t="str">
        <f aca="false">IF($B1348="","",SUMPRODUCT(($AL1348:$AO1348&lt;&gt;"")*(COUNTIF($AP1348:$AX1348,$AL1348:$AO1348)&gt;0)))</f>
        <v/>
      </c>
      <c r="BA1348" s="5" t="str">
        <f aca="false">IF($B1348="","",IF(AZ1348&gt;0,1,0))</f>
        <v/>
      </c>
      <c r="BB1348" s="5" t="str">
        <f aca="false">IF($AP1348="","",IF((($AP1348="Engineering and Technology")+($AP1348="Science and Mathematics")+($AP1348="Computer Science, IT and Allied Fields")+($AP1348="Life Sciences /Medicine and Healthcare")+($AP1348="Paramedical")+($AP1348="Architecture")+($AP1348="Environmental Service")+($AP1348="Agriculture, Food Industry and Forestry"))&gt;0,"Science",IF((($AP1348="Banking and Finance")+($AP1348="Management and Administration")+($AP1348="Marketing")+($AP1348="Sales")+($AP1348="Entrepreneurship")+($AP1348="Hospitality and Tourism"))&gt;0,"Commerce",IF((($AP1348="Social Sciences and Humanities")+($AP1348="Law Studies")+($AP1348="Education and Training")+($AP1348="Art, Design")+($AP1348="Entertainment and Mass Media")+($AP1348="Community and Social Service")+($AP1348="Personal Care and Services")+($AP1348="Government and Public Administration")+($AP1348="Defence/ Protective Service")+($AP1348="Sports"))&gt;0,"Arts / Humanities",""))))</f>
        <v/>
      </c>
      <c r="BC1348" s="5" t="str">
        <f aca="false">IF($AL1348="","",IF((($AL1348="Engineering and Technology")+($AL1348="Science and Mathematics")+($AL1348="Computer Science, IT and Allied Fields")+($AL1348="Life Sciences /Medicine and Healthcare")+($AL1348="Paramedical")+($AL1348="Architecture")+($AL1348="Environmental Service")+($AL1348="Agriculture, Food Industry and Forestry"))&gt;0,"Science",IF((($AL1348="Banking and Finance")+($AL1348="Management and Administration")+($AL1348="Marketing")+($AL1348="Sales")+($AL1348="Entrepreneurship")+($AL1348="Hospitality and Tourism"))&gt;0,"Commerce",IF((($AL1348="Social Sciences and Humanities")+($AL1348="Law Studies")+($AL1348="Education and Training")+($AL1348="Art, Design")+($AL1348="Entertainment and Mass Media")+($AL1348="Community and Social Service")+($AL1348="Personal Care and Services")+($AL1348="Government and Public Administration")+($AL1348="Defence/ Protective Service")+($AL1348="Sports"))&gt;0,"Arts / Humanities",""))))</f>
        <v/>
      </c>
      <c r="BD1348" s="5" t="str">
        <f aca="false">IF($B1348="","",--(F1348&gt;=10)+--(G1348&gt;=10)+--(H1348&gt;=10)+--(I1348&gt;=10)+--(J1348&gt;=10)+--(K1348&gt;=10)+--(L1348&gt;=10)+--(M1348&gt;=10)+--(N1348&gt;=10)+--(O1348&gt;=10))</f>
        <v/>
      </c>
      <c r="BE1348" s="5" t="str">
        <f aca="false">IF($B1348="","",--(AND(F1348&lt;&gt;"",F1348&lt;=8))+--(AND(G1348&lt;&gt;"",G1348&lt;=8))+--(AND(H1348&lt;&gt;"",H1348&lt;=8))+--(AND(I1348&lt;&gt;"",I1348&lt;=8))+--(AND(J1348&lt;&gt;"",J1348&lt;=8))+--(AND(K1348&lt;&gt;"",K1348&lt;=8))+--(AND(L1348&lt;&gt;"",L1348&lt;=8))+--(AND(M1348&lt;&gt;"",M1348&lt;=8))+--(AND(N1348&lt;&gt;"",N1348&lt;=8))+--(AND(O1348&lt;&gt;"",O1348&lt;=8)))</f>
        <v/>
      </c>
    </row>
    <row r="1349" customFormat="false" ht="15" hidden="false" customHeight="false" outlineLevel="0" collapsed="false">
      <c r="AZ1349" s="5" t="str">
        <f aca="false">IF($B1349="","",SUMPRODUCT(($AL1349:$AO1349&lt;&gt;"")*(COUNTIF($AP1349:$AX1349,$AL1349:$AO1349)&gt;0)))</f>
        <v/>
      </c>
      <c r="BA1349" s="5" t="str">
        <f aca="false">IF($B1349="","",IF(AZ1349&gt;0,1,0))</f>
        <v/>
      </c>
      <c r="BB1349" s="5" t="str">
        <f aca="false">IF($AP1349="","",IF((($AP1349="Engineering and Technology")+($AP1349="Science and Mathematics")+($AP1349="Computer Science, IT and Allied Fields")+($AP1349="Life Sciences /Medicine and Healthcare")+($AP1349="Paramedical")+($AP1349="Architecture")+($AP1349="Environmental Service")+($AP1349="Agriculture, Food Industry and Forestry"))&gt;0,"Science",IF((($AP1349="Banking and Finance")+($AP1349="Management and Administration")+($AP1349="Marketing")+($AP1349="Sales")+($AP1349="Entrepreneurship")+($AP1349="Hospitality and Tourism"))&gt;0,"Commerce",IF((($AP1349="Social Sciences and Humanities")+($AP1349="Law Studies")+($AP1349="Education and Training")+($AP1349="Art, Design")+($AP1349="Entertainment and Mass Media")+($AP1349="Community and Social Service")+($AP1349="Personal Care and Services")+($AP1349="Government and Public Administration")+($AP1349="Defence/ Protective Service")+($AP1349="Sports"))&gt;0,"Arts / Humanities",""))))</f>
        <v/>
      </c>
      <c r="BC1349" s="5" t="str">
        <f aca="false">IF($AL1349="","",IF((($AL1349="Engineering and Technology")+($AL1349="Science and Mathematics")+($AL1349="Computer Science, IT and Allied Fields")+($AL1349="Life Sciences /Medicine and Healthcare")+($AL1349="Paramedical")+($AL1349="Architecture")+($AL1349="Environmental Service")+($AL1349="Agriculture, Food Industry and Forestry"))&gt;0,"Science",IF((($AL1349="Banking and Finance")+($AL1349="Management and Administration")+($AL1349="Marketing")+($AL1349="Sales")+($AL1349="Entrepreneurship")+($AL1349="Hospitality and Tourism"))&gt;0,"Commerce",IF((($AL1349="Social Sciences and Humanities")+($AL1349="Law Studies")+($AL1349="Education and Training")+($AL1349="Art, Design")+($AL1349="Entertainment and Mass Media")+($AL1349="Community and Social Service")+($AL1349="Personal Care and Services")+($AL1349="Government and Public Administration")+($AL1349="Defence/ Protective Service")+($AL1349="Sports"))&gt;0,"Arts / Humanities",""))))</f>
        <v/>
      </c>
      <c r="BD1349" s="5" t="str">
        <f aca="false">IF($B1349="","",--(F1349&gt;=10)+--(G1349&gt;=10)+--(H1349&gt;=10)+--(I1349&gt;=10)+--(J1349&gt;=10)+--(K1349&gt;=10)+--(L1349&gt;=10)+--(M1349&gt;=10)+--(N1349&gt;=10)+--(O1349&gt;=10))</f>
        <v/>
      </c>
      <c r="BE1349" s="5" t="str">
        <f aca="false">IF($B1349="","",--(AND(F1349&lt;&gt;"",F1349&lt;=8))+--(AND(G1349&lt;&gt;"",G1349&lt;=8))+--(AND(H1349&lt;&gt;"",H1349&lt;=8))+--(AND(I1349&lt;&gt;"",I1349&lt;=8))+--(AND(J1349&lt;&gt;"",J1349&lt;=8))+--(AND(K1349&lt;&gt;"",K1349&lt;=8))+--(AND(L1349&lt;&gt;"",L1349&lt;=8))+--(AND(M1349&lt;&gt;"",M1349&lt;=8))+--(AND(N1349&lt;&gt;"",N1349&lt;=8))+--(AND(O1349&lt;&gt;"",O1349&lt;=8)))</f>
        <v/>
      </c>
    </row>
    <row r="1350" customFormat="false" ht="15" hidden="false" customHeight="false" outlineLevel="0" collapsed="false">
      <c r="AZ1350" s="5" t="str">
        <f aca="false">IF($B1350="","",SUMPRODUCT(($AL1350:$AO1350&lt;&gt;"")*(COUNTIF($AP1350:$AX1350,$AL1350:$AO1350)&gt;0)))</f>
        <v/>
      </c>
      <c r="BA1350" s="5" t="str">
        <f aca="false">IF($B1350="","",IF(AZ1350&gt;0,1,0))</f>
        <v/>
      </c>
      <c r="BB1350" s="5" t="str">
        <f aca="false">IF($AP1350="","",IF((($AP1350="Engineering and Technology")+($AP1350="Science and Mathematics")+($AP1350="Computer Science, IT and Allied Fields")+($AP1350="Life Sciences /Medicine and Healthcare")+($AP1350="Paramedical")+($AP1350="Architecture")+($AP1350="Environmental Service")+($AP1350="Agriculture, Food Industry and Forestry"))&gt;0,"Science",IF((($AP1350="Banking and Finance")+($AP1350="Management and Administration")+($AP1350="Marketing")+($AP1350="Sales")+($AP1350="Entrepreneurship")+($AP1350="Hospitality and Tourism"))&gt;0,"Commerce",IF((($AP1350="Social Sciences and Humanities")+($AP1350="Law Studies")+($AP1350="Education and Training")+($AP1350="Art, Design")+($AP1350="Entertainment and Mass Media")+($AP1350="Community and Social Service")+($AP1350="Personal Care and Services")+($AP1350="Government and Public Administration")+($AP1350="Defence/ Protective Service")+($AP1350="Sports"))&gt;0,"Arts / Humanities",""))))</f>
        <v/>
      </c>
      <c r="BC1350" s="5" t="str">
        <f aca="false">IF($AL1350="","",IF((($AL1350="Engineering and Technology")+($AL1350="Science and Mathematics")+($AL1350="Computer Science, IT and Allied Fields")+($AL1350="Life Sciences /Medicine and Healthcare")+($AL1350="Paramedical")+($AL1350="Architecture")+($AL1350="Environmental Service")+($AL1350="Agriculture, Food Industry and Forestry"))&gt;0,"Science",IF((($AL1350="Banking and Finance")+($AL1350="Management and Administration")+($AL1350="Marketing")+($AL1350="Sales")+($AL1350="Entrepreneurship")+($AL1350="Hospitality and Tourism"))&gt;0,"Commerce",IF((($AL1350="Social Sciences and Humanities")+($AL1350="Law Studies")+($AL1350="Education and Training")+($AL1350="Art, Design")+($AL1350="Entertainment and Mass Media")+($AL1350="Community and Social Service")+($AL1350="Personal Care and Services")+($AL1350="Government and Public Administration")+($AL1350="Defence/ Protective Service")+($AL1350="Sports"))&gt;0,"Arts / Humanities",""))))</f>
        <v/>
      </c>
      <c r="BD1350" s="5" t="str">
        <f aca="false">IF($B1350="","",--(F1350&gt;=10)+--(G1350&gt;=10)+--(H1350&gt;=10)+--(I1350&gt;=10)+--(J1350&gt;=10)+--(K1350&gt;=10)+--(L1350&gt;=10)+--(M1350&gt;=10)+--(N1350&gt;=10)+--(O1350&gt;=10))</f>
        <v/>
      </c>
      <c r="BE1350" s="5" t="str">
        <f aca="false">IF($B1350="","",--(AND(F1350&lt;&gt;"",F1350&lt;=8))+--(AND(G1350&lt;&gt;"",G1350&lt;=8))+--(AND(H1350&lt;&gt;"",H1350&lt;=8))+--(AND(I1350&lt;&gt;"",I1350&lt;=8))+--(AND(J1350&lt;&gt;"",J1350&lt;=8))+--(AND(K1350&lt;&gt;"",K1350&lt;=8))+--(AND(L1350&lt;&gt;"",L1350&lt;=8))+--(AND(M1350&lt;&gt;"",M1350&lt;=8))+--(AND(N1350&lt;&gt;"",N1350&lt;=8))+--(AND(O1350&lt;&gt;"",O1350&lt;=8)))</f>
        <v/>
      </c>
    </row>
    <row r="1351" customFormat="false" ht="15" hidden="false" customHeight="false" outlineLevel="0" collapsed="false">
      <c r="AZ1351" s="5" t="str">
        <f aca="false">IF($B1351="","",SUMPRODUCT(($AL1351:$AO1351&lt;&gt;"")*(COUNTIF($AP1351:$AX1351,$AL1351:$AO1351)&gt;0)))</f>
        <v/>
      </c>
      <c r="BA1351" s="5" t="str">
        <f aca="false">IF($B1351="","",IF(AZ1351&gt;0,1,0))</f>
        <v/>
      </c>
      <c r="BB1351" s="5" t="str">
        <f aca="false">IF($AP1351="","",IF((($AP1351="Engineering and Technology")+($AP1351="Science and Mathematics")+($AP1351="Computer Science, IT and Allied Fields")+($AP1351="Life Sciences /Medicine and Healthcare")+($AP1351="Paramedical")+($AP1351="Architecture")+($AP1351="Environmental Service")+($AP1351="Agriculture, Food Industry and Forestry"))&gt;0,"Science",IF((($AP1351="Banking and Finance")+($AP1351="Management and Administration")+($AP1351="Marketing")+($AP1351="Sales")+($AP1351="Entrepreneurship")+($AP1351="Hospitality and Tourism"))&gt;0,"Commerce",IF((($AP1351="Social Sciences and Humanities")+($AP1351="Law Studies")+($AP1351="Education and Training")+($AP1351="Art, Design")+($AP1351="Entertainment and Mass Media")+($AP1351="Community and Social Service")+($AP1351="Personal Care and Services")+($AP1351="Government and Public Administration")+($AP1351="Defence/ Protective Service")+($AP1351="Sports"))&gt;0,"Arts / Humanities",""))))</f>
        <v/>
      </c>
      <c r="BC1351" s="5" t="str">
        <f aca="false">IF($AL1351="","",IF((($AL1351="Engineering and Technology")+($AL1351="Science and Mathematics")+($AL1351="Computer Science, IT and Allied Fields")+($AL1351="Life Sciences /Medicine and Healthcare")+($AL1351="Paramedical")+($AL1351="Architecture")+($AL1351="Environmental Service")+($AL1351="Agriculture, Food Industry and Forestry"))&gt;0,"Science",IF((($AL1351="Banking and Finance")+($AL1351="Management and Administration")+($AL1351="Marketing")+($AL1351="Sales")+($AL1351="Entrepreneurship")+($AL1351="Hospitality and Tourism"))&gt;0,"Commerce",IF((($AL1351="Social Sciences and Humanities")+($AL1351="Law Studies")+($AL1351="Education and Training")+($AL1351="Art, Design")+($AL1351="Entertainment and Mass Media")+($AL1351="Community and Social Service")+($AL1351="Personal Care and Services")+($AL1351="Government and Public Administration")+($AL1351="Defence/ Protective Service")+($AL1351="Sports"))&gt;0,"Arts / Humanities",""))))</f>
        <v/>
      </c>
      <c r="BD1351" s="5" t="str">
        <f aca="false">IF($B1351="","",--(F1351&gt;=10)+--(G1351&gt;=10)+--(H1351&gt;=10)+--(I1351&gt;=10)+--(J1351&gt;=10)+--(K1351&gt;=10)+--(L1351&gt;=10)+--(M1351&gt;=10)+--(N1351&gt;=10)+--(O1351&gt;=10))</f>
        <v/>
      </c>
      <c r="BE1351" s="5" t="str">
        <f aca="false">IF($B1351="","",--(AND(F1351&lt;&gt;"",F1351&lt;=8))+--(AND(G1351&lt;&gt;"",G1351&lt;=8))+--(AND(H1351&lt;&gt;"",H1351&lt;=8))+--(AND(I1351&lt;&gt;"",I1351&lt;=8))+--(AND(J1351&lt;&gt;"",J1351&lt;=8))+--(AND(K1351&lt;&gt;"",K1351&lt;=8))+--(AND(L1351&lt;&gt;"",L1351&lt;=8))+--(AND(M1351&lt;&gt;"",M1351&lt;=8))+--(AND(N1351&lt;&gt;"",N1351&lt;=8))+--(AND(O1351&lt;&gt;"",O1351&lt;=8)))</f>
        <v/>
      </c>
    </row>
    <row r="1352" customFormat="false" ht="15" hidden="false" customHeight="false" outlineLevel="0" collapsed="false">
      <c r="AZ1352" s="5" t="str">
        <f aca="false">IF($B1352="","",SUMPRODUCT(($AL1352:$AO1352&lt;&gt;"")*(COUNTIF($AP1352:$AX1352,$AL1352:$AO1352)&gt;0)))</f>
        <v/>
      </c>
      <c r="BA1352" s="5" t="str">
        <f aca="false">IF($B1352="","",IF(AZ1352&gt;0,1,0))</f>
        <v/>
      </c>
      <c r="BB1352" s="5" t="str">
        <f aca="false">IF($AP1352="","",IF((($AP1352="Engineering and Technology")+($AP1352="Science and Mathematics")+($AP1352="Computer Science, IT and Allied Fields")+($AP1352="Life Sciences /Medicine and Healthcare")+($AP1352="Paramedical")+($AP1352="Architecture")+($AP1352="Environmental Service")+($AP1352="Agriculture, Food Industry and Forestry"))&gt;0,"Science",IF((($AP1352="Banking and Finance")+($AP1352="Management and Administration")+($AP1352="Marketing")+($AP1352="Sales")+($AP1352="Entrepreneurship")+($AP1352="Hospitality and Tourism"))&gt;0,"Commerce",IF((($AP1352="Social Sciences and Humanities")+($AP1352="Law Studies")+($AP1352="Education and Training")+($AP1352="Art, Design")+($AP1352="Entertainment and Mass Media")+($AP1352="Community and Social Service")+($AP1352="Personal Care and Services")+($AP1352="Government and Public Administration")+($AP1352="Defence/ Protective Service")+($AP1352="Sports"))&gt;0,"Arts / Humanities",""))))</f>
        <v/>
      </c>
      <c r="BC1352" s="5" t="str">
        <f aca="false">IF($AL1352="","",IF((($AL1352="Engineering and Technology")+($AL1352="Science and Mathematics")+($AL1352="Computer Science, IT and Allied Fields")+($AL1352="Life Sciences /Medicine and Healthcare")+($AL1352="Paramedical")+($AL1352="Architecture")+($AL1352="Environmental Service")+($AL1352="Agriculture, Food Industry and Forestry"))&gt;0,"Science",IF((($AL1352="Banking and Finance")+($AL1352="Management and Administration")+($AL1352="Marketing")+($AL1352="Sales")+($AL1352="Entrepreneurship")+($AL1352="Hospitality and Tourism"))&gt;0,"Commerce",IF((($AL1352="Social Sciences and Humanities")+($AL1352="Law Studies")+($AL1352="Education and Training")+($AL1352="Art, Design")+($AL1352="Entertainment and Mass Media")+($AL1352="Community and Social Service")+($AL1352="Personal Care and Services")+($AL1352="Government and Public Administration")+($AL1352="Defence/ Protective Service")+($AL1352="Sports"))&gt;0,"Arts / Humanities",""))))</f>
        <v/>
      </c>
      <c r="BD1352" s="5" t="str">
        <f aca="false">IF($B1352="","",--(F1352&gt;=10)+--(G1352&gt;=10)+--(H1352&gt;=10)+--(I1352&gt;=10)+--(J1352&gt;=10)+--(K1352&gt;=10)+--(L1352&gt;=10)+--(M1352&gt;=10)+--(N1352&gt;=10)+--(O1352&gt;=10))</f>
        <v/>
      </c>
      <c r="BE1352" s="5" t="str">
        <f aca="false">IF($B1352="","",--(AND(F1352&lt;&gt;"",F1352&lt;=8))+--(AND(G1352&lt;&gt;"",G1352&lt;=8))+--(AND(H1352&lt;&gt;"",H1352&lt;=8))+--(AND(I1352&lt;&gt;"",I1352&lt;=8))+--(AND(J1352&lt;&gt;"",J1352&lt;=8))+--(AND(K1352&lt;&gt;"",K1352&lt;=8))+--(AND(L1352&lt;&gt;"",L1352&lt;=8))+--(AND(M1352&lt;&gt;"",M1352&lt;=8))+--(AND(N1352&lt;&gt;"",N1352&lt;=8))+--(AND(O1352&lt;&gt;"",O1352&lt;=8)))</f>
        <v/>
      </c>
    </row>
    <row r="1353" customFormat="false" ht="15" hidden="false" customHeight="false" outlineLevel="0" collapsed="false">
      <c r="AZ1353" s="5" t="str">
        <f aca="false">IF($B1353="","",SUMPRODUCT(($AL1353:$AO1353&lt;&gt;"")*(COUNTIF($AP1353:$AX1353,$AL1353:$AO1353)&gt;0)))</f>
        <v/>
      </c>
      <c r="BA1353" s="5" t="str">
        <f aca="false">IF($B1353="","",IF(AZ1353&gt;0,1,0))</f>
        <v/>
      </c>
      <c r="BB1353" s="5" t="str">
        <f aca="false">IF($AP1353="","",IF((($AP1353="Engineering and Technology")+($AP1353="Science and Mathematics")+($AP1353="Computer Science, IT and Allied Fields")+($AP1353="Life Sciences /Medicine and Healthcare")+($AP1353="Paramedical")+($AP1353="Architecture")+($AP1353="Environmental Service")+($AP1353="Agriculture, Food Industry and Forestry"))&gt;0,"Science",IF((($AP1353="Banking and Finance")+($AP1353="Management and Administration")+($AP1353="Marketing")+($AP1353="Sales")+($AP1353="Entrepreneurship")+($AP1353="Hospitality and Tourism"))&gt;0,"Commerce",IF((($AP1353="Social Sciences and Humanities")+($AP1353="Law Studies")+($AP1353="Education and Training")+($AP1353="Art, Design")+($AP1353="Entertainment and Mass Media")+($AP1353="Community and Social Service")+($AP1353="Personal Care and Services")+($AP1353="Government and Public Administration")+($AP1353="Defence/ Protective Service")+($AP1353="Sports"))&gt;0,"Arts / Humanities",""))))</f>
        <v/>
      </c>
      <c r="BC1353" s="5" t="str">
        <f aca="false">IF($AL1353="","",IF((($AL1353="Engineering and Technology")+($AL1353="Science and Mathematics")+($AL1353="Computer Science, IT and Allied Fields")+($AL1353="Life Sciences /Medicine and Healthcare")+($AL1353="Paramedical")+($AL1353="Architecture")+($AL1353="Environmental Service")+($AL1353="Agriculture, Food Industry and Forestry"))&gt;0,"Science",IF((($AL1353="Banking and Finance")+($AL1353="Management and Administration")+($AL1353="Marketing")+($AL1353="Sales")+($AL1353="Entrepreneurship")+($AL1353="Hospitality and Tourism"))&gt;0,"Commerce",IF((($AL1353="Social Sciences and Humanities")+($AL1353="Law Studies")+($AL1353="Education and Training")+($AL1353="Art, Design")+($AL1353="Entertainment and Mass Media")+($AL1353="Community and Social Service")+($AL1353="Personal Care and Services")+($AL1353="Government and Public Administration")+($AL1353="Defence/ Protective Service")+($AL1353="Sports"))&gt;0,"Arts / Humanities",""))))</f>
        <v/>
      </c>
      <c r="BD1353" s="5" t="str">
        <f aca="false">IF($B1353="","",--(F1353&gt;=10)+--(G1353&gt;=10)+--(H1353&gt;=10)+--(I1353&gt;=10)+--(J1353&gt;=10)+--(K1353&gt;=10)+--(L1353&gt;=10)+--(M1353&gt;=10)+--(N1353&gt;=10)+--(O1353&gt;=10))</f>
        <v/>
      </c>
      <c r="BE1353" s="5" t="str">
        <f aca="false">IF($B1353="","",--(AND(F1353&lt;&gt;"",F1353&lt;=8))+--(AND(G1353&lt;&gt;"",G1353&lt;=8))+--(AND(H1353&lt;&gt;"",H1353&lt;=8))+--(AND(I1353&lt;&gt;"",I1353&lt;=8))+--(AND(J1353&lt;&gt;"",J1353&lt;=8))+--(AND(K1353&lt;&gt;"",K1353&lt;=8))+--(AND(L1353&lt;&gt;"",L1353&lt;=8))+--(AND(M1353&lt;&gt;"",M1353&lt;=8))+--(AND(N1353&lt;&gt;"",N1353&lt;=8))+--(AND(O1353&lt;&gt;"",O1353&lt;=8)))</f>
        <v/>
      </c>
    </row>
    <row r="1354" customFormat="false" ht="15" hidden="false" customHeight="false" outlineLevel="0" collapsed="false">
      <c r="AZ1354" s="5" t="str">
        <f aca="false">IF($B1354="","",SUMPRODUCT(($AL1354:$AO1354&lt;&gt;"")*(COUNTIF($AP1354:$AX1354,$AL1354:$AO1354)&gt;0)))</f>
        <v/>
      </c>
      <c r="BA1354" s="5" t="str">
        <f aca="false">IF($B1354="","",IF(AZ1354&gt;0,1,0))</f>
        <v/>
      </c>
      <c r="BB1354" s="5" t="str">
        <f aca="false">IF($AP1354="","",IF((($AP1354="Engineering and Technology")+($AP1354="Science and Mathematics")+($AP1354="Computer Science, IT and Allied Fields")+($AP1354="Life Sciences /Medicine and Healthcare")+($AP1354="Paramedical")+($AP1354="Architecture")+($AP1354="Environmental Service")+($AP1354="Agriculture, Food Industry and Forestry"))&gt;0,"Science",IF((($AP1354="Banking and Finance")+($AP1354="Management and Administration")+($AP1354="Marketing")+($AP1354="Sales")+($AP1354="Entrepreneurship")+($AP1354="Hospitality and Tourism"))&gt;0,"Commerce",IF((($AP1354="Social Sciences and Humanities")+($AP1354="Law Studies")+($AP1354="Education and Training")+($AP1354="Art, Design")+($AP1354="Entertainment and Mass Media")+($AP1354="Community and Social Service")+($AP1354="Personal Care and Services")+($AP1354="Government and Public Administration")+($AP1354="Defence/ Protective Service")+($AP1354="Sports"))&gt;0,"Arts / Humanities",""))))</f>
        <v/>
      </c>
      <c r="BC1354" s="5" t="str">
        <f aca="false">IF($AL1354="","",IF((($AL1354="Engineering and Technology")+($AL1354="Science and Mathematics")+($AL1354="Computer Science, IT and Allied Fields")+($AL1354="Life Sciences /Medicine and Healthcare")+($AL1354="Paramedical")+($AL1354="Architecture")+($AL1354="Environmental Service")+($AL1354="Agriculture, Food Industry and Forestry"))&gt;0,"Science",IF((($AL1354="Banking and Finance")+($AL1354="Management and Administration")+($AL1354="Marketing")+($AL1354="Sales")+($AL1354="Entrepreneurship")+($AL1354="Hospitality and Tourism"))&gt;0,"Commerce",IF((($AL1354="Social Sciences and Humanities")+($AL1354="Law Studies")+($AL1354="Education and Training")+($AL1354="Art, Design")+($AL1354="Entertainment and Mass Media")+($AL1354="Community and Social Service")+($AL1354="Personal Care and Services")+($AL1354="Government and Public Administration")+($AL1354="Defence/ Protective Service")+($AL1354="Sports"))&gt;0,"Arts / Humanities",""))))</f>
        <v/>
      </c>
      <c r="BD1354" s="5" t="str">
        <f aca="false">IF($B1354="","",--(F1354&gt;=10)+--(G1354&gt;=10)+--(H1354&gt;=10)+--(I1354&gt;=10)+--(J1354&gt;=10)+--(K1354&gt;=10)+--(L1354&gt;=10)+--(M1354&gt;=10)+--(N1354&gt;=10)+--(O1354&gt;=10))</f>
        <v/>
      </c>
      <c r="BE1354" s="5" t="str">
        <f aca="false">IF($B1354="","",--(AND(F1354&lt;&gt;"",F1354&lt;=8))+--(AND(G1354&lt;&gt;"",G1354&lt;=8))+--(AND(H1354&lt;&gt;"",H1354&lt;=8))+--(AND(I1354&lt;&gt;"",I1354&lt;=8))+--(AND(J1354&lt;&gt;"",J1354&lt;=8))+--(AND(K1354&lt;&gt;"",K1354&lt;=8))+--(AND(L1354&lt;&gt;"",L1354&lt;=8))+--(AND(M1354&lt;&gt;"",M1354&lt;=8))+--(AND(N1354&lt;&gt;"",N1354&lt;=8))+--(AND(O1354&lt;&gt;"",O1354&lt;=8)))</f>
        <v/>
      </c>
    </row>
    <row r="1355" customFormat="false" ht="15" hidden="false" customHeight="false" outlineLevel="0" collapsed="false">
      <c r="AZ1355" s="5" t="str">
        <f aca="false">IF($B1355="","",SUMPRODUCT(($AL1355:$AO1355&lt;&gt;"")*(COUNTIF($AP1355:$AX1355,$AL1355:$AO1355)&gt;0)))</f>
        <v/>
      </c>
      <c r="BA1355" s="5" t="str">
        <f aca="false">IF($B1355="","",IF(AZ1355&gt;0,1,0))</f>
        <v/>
      </c>
      <c r="BB1355" s="5" t="str">
        <f aca="false">IF($AP1355="","",IF((($AP1355="Engineering and Technology")+($AP1355="Science and Mathematics")+($AP1355="Computer Science, IT and Allied Fields")+($AP1355="Life Sciences /Medicine and Healthcare")+($AP1355="Paramedical")+($AP1355="Architecture")+($AP1355="Environmental Service")+($AP1355="Agriculture, Food Industry and Forestry"))&gt;0,"Science",IF((($AP1355="Banking and Finance")+($AP1355="Management and Administration")+($AP1355="Marketing")+($AP1355="Sales")+($AP1355="Entrepreneurship")+($AP1355="Hospitality and Tourism"))&gt;0,"Commerce",IF((($AP1355="Social Sciences and Humanities")+($AP1355="Law Studies")+($AP1355="Education and Training")+($AP1355="Art, Design")+($AP1355="Entertainment and Mass Media")+($AP1355="Community and Social Service")+($AP1355="Personal Care and Services")+($AP1355="Government and Public Administration")+($AP1355="Defence/ Protective Service")+($AP1355="Sports"))&gt;0,"Arts / Humanities",""))))</f>
        <v/>
      </c>
      <c r="BC1355" s="5" t="str">
        <f aca="false">IF($AL1355="","",IF((($AL1355="Engineering and Technology")+($AL1355="Science and Mathematics")+($AL1355="Computer Science, IT and Allied Fields")+($AL1355="Life Sciences /Medicine and Healthcare")+($AL1355="Paramedical")+($AL1355="Architecture")+($AL1355="Environmental Service")+($AL1355="Agriculture, Food Industry and Forestry"))&gt;0,"Science",IF((($AL1355="Banking and Finance")+($AL1355="Management and Administration")+($AL1355="Marketing")+($AL1355="Sales")+($AL1355="Entrepreneurship")+($AL1355="Hospitality and Tourism"))&gt;0,"Commerce",IF((($AL1355="Social Sciences and Humanities")+($AL1355="Law Studies")+($AL1355="Education and Training")+($AL1355="Art, Design")+($AL1355="Entertainment and Mass Media")+($AL1355="Community and Social Service")+($AL1355="Personal Care and Services")+($AL1355="Government and Public Administration")+($AL1355="Defence/ Protective Service")+($AL1355="Sports"))&gt;0,"Arts / Humanities",""))))</f>
        <v/>
      </c>
      <c r="BD1355" s="5" t="str">
        <f aca="false">IF($B1355="","",--(F1355&gt;=10)+--(G1355&gt;=10)+--(H1355&gt;=10)+--(I1355&gt;=10)+--(J1355&gt;=10)+--(K1355&gt;=10)+--(L1355&gt;=10)+--(M1355&gt;=10)+--(N1355&gt;=10)+--(O1355&gt;=10))</f>
        <v/>
      </c>
      <c r="BE1355" s="5" t="str">
        <f aca="false">IF($B1355="","",--(AND(F1355&lt;&gt;"",F1355&lt;=8))+--(AND(G1355&lt;&gt;"",G1355&lt;=8))+--(AND(H1355&lt;&gt;"",H1355&lt;=8))+--(AND(I1355&lt;&gt;"",I1355&lt;=8))+--(AND(J1355&lt;&gt;"",J1355&lt;=8))+--(AND(K1355&lt;&gt;"",K1355&lt;=8))+--(AND(L1355&lt;&gt;"",L1355&lt;=8))+--(AND(M1355&lt;&gt;"",M1355&lt;=8))+--(AND(N1355&lt;&gt;"",N1355&lt;=8))+--(AND(O1355&lt;&gt;"",O1355&lt;=8)))</f>
        <v/>
      </c>
    </row>
    <row r="1356" customFormat="false" ht="15" hidden="false" customHeight="false" outlineLevel="0" collapsed="false">
      <c r="AZ1356" s="5" t="str">
        <f aca="false">IF($B1356="","",SUMPRODUCT(($AL1356:$AO1356&lt;&gt;"")*(COUNTIF($AP1356:$AX1356,$AL1356:$AO1356)&gt;0)))</f>
        <v/>
      </c>
      <c r="BA1356" s="5" t="str">
        <f aca="false">IF($B1356="","",IF(AZ1356&gt;0,1,0))</f>
        <v/>
      </c>
      <c r="BB1356" s="5" t="str">
        <f aca="false">IF($AP1356="","",IF((($AP1356="Engineering and Technology")+($AP1356="Science and Mathematics")+($AP1356="Computer Science, IT and Allied Fields")+($AP1356="Life Sciences /Medicine and Healthcare")+($AP1356="Paramedical")+($AP1356="Architecture")+($AP1356="Environmental Service")+($AP1356="Agriculture, Food Industry and Forestry"))&gt;0,"Science",IF((($AP1356="Banking and Finance")+($AP1356="Management and Administration")+($AP1356="Marketing")+($AP1356="Sales")+($AP1356="Entrepreneurship")+($AP1356="Hospitality and Tourism"))&gt;0,"Commerce",IF((($AP1356="Social Sciences and Humanities")+($AP1356="Law Studies")+($AP1356="Education and Training")+($AP1356="Art, Design")+($AP1356="Entertainment and Mass Media")+($AP1356="Community and Social Service")+($AP1356="Personal Care and Services")+($AP1356="Government and Public Administration")+($AP1356="Defence/ Protective Service")+($AP1356="Sports"))&gt;0,"Arts / Humanities",""))))</f>
        <v/>
      </c>
      <c r="BC1356" s="5" t="str">
        <f aca="false">IF($AL1356="","",IF((($AL1356="Engineering and Technology")+($AL1356="Science and Mathematics")+($AL1356="Computer Science, IT and Allied Fields")+($AL1356="Life Sciences /Medicine and Healthcare")+($AL1356="Paramedical")+($AL1356="Architecture")+($AL1356="Environmental Service")+($AL1356="Agriculture, Food Industry and Forestry"))&gt;0,"Science",IF((($AL1356="Banking and Finance")+($AL1356="Management and Administration")+($AL1356="Marketing")+($AL1356="Sales")+($AL1356="Entrepreneurship")+($AL1356="Hospitality and Tourism"))&gt;0,"Commerce",IF((($AL1356="Social Sciences and Humanities")+($AL1356="Law Studies")+($AL1356="Education and Training")+($AL1356="Art, Design")+($AL1356="Entertainment and Mass Media")+($AL1356="Community and Social Service")+($AL1356="Personal Care and Services")+($AL1356="Government and Public Administration")+($AL1356="Defence/ Protective Service")+($AL1356="Sports"))&gt;0,"Arts / Humanities",""))))</f>
        <v/>
      </c>
      <c r="BD1356" s="5" t="str">
        <f aca="false">IF($B1356="","",--(F1356&gt;=10)+--(G1356&gt;=10)+--(H1356&gt;=10)+--(I1356&gt;=10)+--(J1356&gt;=10)+--(K1356&gt;=10)+--(L1356&gt;=10)+--(M1356&gt;=10)+--(N1356&gt;=10)+--(O1356&gt;=10))</f>
        <v/>
      </c>
      <c r="BE1356" s="5" t="str">
        <f aca="false">IF($B1356="","",--(AND(F1356&lt;&gt;"",F1356&lt;=8))+--(AND(G1356&lt;&gt;"",G1356&lt;=8))+--(AND(H1356&lt;&gt;"",H1356&lt;=8))+--(AND(I1356&lt;&gt;"",I1356&lt;=8))+--(AND(J1356&lt;&gt;"",J1356&lt;=8))+--(AND(K1356&lt;&gt;"",K1356&lt;=8))+--(AND(L1356&lt;&gt;"",L1356&lt;=8))+--(AND(M1356&lt;&gt;"",M1356&lt;=8))+--(AND(N1356&lt;&gt;"",N1356&lt;=8))+--(AND(O1356&lt;&gt;"",O1356&lt;=8)))</f>
        <v/>
      </c>
    </row>
    <row r="1357" customFormat="false" ht="15" hidden="false" customHeight="false" outlineLevel="0" collapsed="false">
      <c r="AZ1357" s="5" t="str">
        <f aca="false">IF($B1357="","",SUMPRODUCT(($AL1357:$AO1357&lt;&gt;"")*(COUNTIF($AP1357:$AX1357,$AL1357:$AO1357)&gt;0)))</f>
        <v/>
      </c>
      <c r="BA1357" s="5" t="str">
        <f aca="false">IF($B1357="","",IF(AZ1357&gt;0,1,0))</f>
        <v/>
      </c>
      <c r="BB1357" s="5" t="str">
        <f aca="false">IF($AP1357="","",IF((($AP1357="Engineering and Technology")+($AP1357="Science and Mathematics")+($AP1357="Computer Science, IT and Allied Fields")+($AP1357="Life Sciences /Medicine and Healthcare")+($AP1357="Paramedical")+($AP1357="Architecture")+($AP1357="Environmental Service")+($AP1357="Agriculture, Food Industry and Forestry"))&gt;0,"Science",IF((($AP1357="Banking and Finance")+($AP1357="Management and Administration")+($AP1357="Marketing")+($AP1357="Sales")+($AP1357="Entrepreneurship")+($AP1357="Hospitality and Tourism"))&gt;0,"Commerce",IF((($AP1357="Social Sciences and Humanities")+($AP1357="Law Studies")+($AP1357="Education and Training")+($AP1357="Art, Design")+($AP1357="Entertainment and Mass Media")+($AP1357="Community and Social Service")+($AP1357="Personal Care and Services")+($AP1357="Government and Public Administration")+($AP1357="Defence/ Protective Service")+($AP1357="Sports"))&gt;0,"Arts / Humanities",""))))</f>
        <v/>
      </c>
      <c r="BC1357" s="5" t="str">
        <f aca="false">IF($AL1357="","",IF((($AL1357="Engineering and Technology")+($AL1357="Science and Mathematics")+($AL1357="Computer Science, IT and Allied Fields")+($AL1357="Life Sciences /Medicine and Healthcare")+($AL1357="Paramedical")+($AL1357="Architecture")+($AL1357="Environmental Service")+($AL1357="Agriculture, Food Industry and Forestry"))&gt;0,"Science",IF((($AL1357="Banking and Finance")+($AL1357="Management and Administration")+($AL1357="Marketing")+($AL1357="Sales")+($AL1357="Entrepreneurship")+($AL1357="Hospitality and Tourism"))&gt;0,"Commerce",IF((($AL1357="Social Sciences and Humanities")+($AL1357="Law Studies")+($AL1357="Education and Training")+($AL1357="Art, Design")+($AL1357="Entertainment and Mass Media")+($AL1357="Community and Social Service")+($AL1357="Personal Care and Services")+($AL1357="Government and Public Administration")+($AL1357="Defence/ Protective Service")+($AL1357="Sports"))&gt;0,"Arts / Humanities",""))))</f>
        <v/>
      </c>
      <c r="BD1357" s="5" t="str">
        <f aca="false">IF($B1357="","",--(F1357&gt;=10)+--(G1357&gt;=10)+--(H1357&gt;=10)+--(I1357&gt;=10)+--(J1357&gt;=10)+--(K1357&gt;=10)+--(L1357&gt;=10)+--(M1357&gt;=10)+--(N1357&gt;=10)+--(O1357&gt;=10))</f>
        <v/>
      </c>
      <c r="BE1357" s="5" t="str">
        <f aca="false">IF($B1357="","",--(AND(F1357&lt;&gt;"",F1357&lt;=8))+--(AND(G1357&lt;&gt;"",G1357&lt;=8))+--(AND(H1357&lt;&gt;"",H1357&lt;=8))+--(AND(I1357&lt;&gt;"",I1357&lt;=8))+--(AND(J1357&lt;&gt;"",J1357&lt;=8))+--(AND(K1357&lt;&gt;"",K1357&lt;=8))+--(AND(L1357&lt;&gt;"",L1357&lt;=8))+--(AND(M1357&lt;&gt;"",M1357&lt;=8))+--(AND(N1357&lt;&gt;"",N1357&lt;=8))+--(AND(O1357&lt;&gt;"",O1357&lt;=8)))</f>
        <v/>
      </c>
    </row>
    <row r="1358" customFormat="false" ht="15" hidden="false" customHeight="false" outlineLevel="0" collapsed="false">
      <c r="AZ1358" s="5" t="str">
        <f aca="false">IF($B1358="","",SUMPRODUCT(($AL1358:$AO1358&lt;&gt;"")*(COUNTIF($AP1358:$AX1358,$AL1358:$AO1358)&gt;0)))</f>
        <v/>
      </c>
      <c r="BA1358" s="5" t="str">
        <f aca="false">IF($B1358="","",IF(AZ1358&gt;0,1,0))</f>
        <v/>
      </c>
      <c r="BB1358" s="5" t="str">
        <f aca="false">IF($AP1358="","",IF((($AP1358="Engineering and Technology")+($AP1358="Science and Mathematics")+($AP1358="Computer Science, IT and Allied Fields")+($AP1358="Life Sciences /Medicine and Healthcare")+($AP1358="Paramedical")+($AP1358="Architecture")+($AP1358="Environmental Service")+($AP1358="Agriculture, Food Industry and Forestry"))&gt;0,"Science",IF((($AP1358="Banking and Finance")+($AP1358="Management and Administration")+($AP1358="Marketing")+($AP1358="Sales")+($AP1358="Entrepreneurship")+($AP1358="Hospitality and Tourism"))&gt;0,"Commerce",IF((($AP1358="Social Sciences and Humanities")+($AP1358="Law Studies")+($AP1358="Education and Training")+($AP1358="Art, Design")+($AP1358="Entertainment and Mass Media")+($AP1358="Community and Social Service")+($AP1358="Personal Care and Services")+($AP1358="Government and Public Administration")+($AP1358="Defence/ Protective Service")+($AP1358="Sports"))&gt;0,"Arts / Humanities",""))))</f>
        <v/>
      </c>
      <c r="BC1358" s="5" t="str">
        <f aca="false">IF($AL1358="","",IF((($AL1358="Engineering and Technology")+($AL1358="Science and Mathematics")+($AL1358="Computer Science, IT and Allied Fields")+($AL1358="Life Sciences /Medicine and Healthcare")+($AL1358="Paramedical")+($AL1358="Architecture")+($AL1358="Environmental Service")+($AL1358="Agriculture, Food Industry and Forestry"))&gt;0,"Science",IF((($AL1358="Banking and Finance")+($AL1358="Management and Administration")+($AL1358="Marketing")+($AL1358="Sales")+($AL1358="Entrepreneurship")+($AL1358="Hospitality and Tourism"))&gt;0,"Commerce",IF((($AL1358="Social Sciences and Humanities")+($AL1358="Law Studies")+($AL1358="Education and Training")+($AL1358="Art, Design")+($AL1358="Entertainment and Mass Media")+($AL1358="Community and Social Service")+($AL1358="Personal Care and Services")+($AL1358="Government and Public Administration")+($AL1358="Defence/ Protective Service")+($AL1358="Sports"))&gt;0,"Arts / Humanities",""))))</f>
        <v/>
      </c>
      <c r="BD1358" s="5" t="str">
        <f aca="false">IF($B1358="","",--(F1358&gt;=10)+--(G1358&gt;=10)+--(H1358&gt;=10)+--(I1358&gt;=10)+--(J1358&gt;=10)+--(K1358&gt;=10)+--(L1358&gt;=10)+--(M1358&gt;=10)+--(N1358&gt;=10)+--(O1358&gt;=10))</f>
        <v/>
      </c>
      <c r="BE1358" s="5" t="str">
        <f aca="false">IF($B1358="","",--(AND(F1358&lt;&gt;"",F1358&lt;=8))+--(AND(G1358&lt;&gt;"",G1358&lt;=8))+--(AND(H1358&lt;&gt;"",H1358&lt;=8))+--(AND(I1358&lt;&gt;"",I1358&lt;=8))+--(AND(J1358&lt;&gt;"",J1358&lt;=8))+--(AND(K1358&lt;&gt;"",K1358&lt;=8))+--(AND(L1358&lt;&gt;"",L1358&lt;=8))+--(AND(M1358&lt;&gt;"",M1358&lt;=8))+--(AND(N1358&lt;&gt;"",N1358&lt;=8))+--(AND(O1358&lt;&gt;"",O1358&lt;=8)))</f>
        <v/>
      </c>
    </row>
    <row r="1359" customFormat="false" ht="15" hidden="false" customHeight="false" outlineLevel="0" collapsed="false">
      <c r="AZ1359" s="5" t="str">
        <f aca="false">IF($B1359="","",SUMPRODUCT(($AL1359:$AO1359&lt;&gt;"")*(COUNTIF($AP1359:$AX1359,$AL1359:$AO1359)&gt;0)))</f>
        <v/>
      </c>
      <c r="BA1359" s="5" t="str">
        <f aca="false">IF($B1359="","",IF(AZ1359&gt;0,1,0))</f>
        <v/>
      </c>
      <c r="BB1359" s="5" t="str">
        <f aca="false">IF($AP1359="","",IF((($AP1359="Engineering and Technology")+($AP1359="Science and Mathematics")+($AP1359="Computer Science, IT and Allied Fields")+($AP1359="Life Sciences /Medicine and Healthcare")+($AP1359="Paramedical")+($AP1359="Architecture")+($AP1359="Environmental Service")+($AP1359="Agriculture, Food Industry and Forestry"))&gt;0,"Science",IF((($AP1359="Banking and Finance")+($AP1359="Management and Administration")+($AP1359="Marketing")+($AP1359="Sales")+($AP1359="Entrepreneurship")+($AP1359="Hospitality and Tourism"))&gt;0,"Commerce",IF((($AP1359="Social Sciences and Humanities")+($AP1359="Law Studies")+($AP1359="Education and Training")+($AP1359="Art, Design")+($AP1359="Entertainment and Mass Media")+($AP1359="Community and Social Service")+($AP1359="Personal Care and Services")+($AP1359="Government and Public Administration")+($AP1359="Defence/ Protective Service")+($AP1359="Sports"))&gt;0,"Arts / Humanities",""))))</f>
        <v/>
      </c>
      <c r="BC1359" s="5" t="str">
        <f aca="false">IF($AL1359="","",IF((($AL1359="Engineering and Technology")+($AL1359="Science and Mathematics")+($AL1359="Computer Science, IT and Allied Fields")+($AL1359="Life Sciences /Medicine and Healthcare")+($AL1359="Paramedical")+($AL1359="Architecture")+($AL1359="Environmental Service")+($AL1359="Agriculture, Food Industry and Forestry"))&gt;0,"Science",IF((($AL1359="Banking and Finance")+($AL1359="Management and Administration")+($AL1359="Marketing")+($AL1359="Sales")+($AL1359="Entrepreneurship")+($AL1359="Hospitality and Tourism"))&gt;0,"Commerce",IF((($AL1359="Social Sciences and Humanities")+($AL1359="Law Studies")+($AL1359="Education and Training")+($AL1359="Art, Design")+($AL1359="Entertainment and Mass Media")+($AL1359="Community and Social Service")+($AL1359="Personal Care and Services")+($AL1359="Government and Public Administration")+($AL1359="Defence/ Protective Service")+($AL1359="Sports"))&gt;0,"Arts / Humanities",""))))</f>
        <v/>
      </c>
      <c r="BD1359" s="5" t="str">
        <f aca="false">IF($B1359="","",--(F1359&gt;=10)+--(G1359&gt;=10)+--(H1359&gt;=10)+--(I1359&gt;=10)+--(J1359&gt;=10)+--(K1359&gt;=10)+--(L1359&gt;=10)+--(M1359&gt;=10)+--(N1359&gt;=10)+--(O1359&gt;=10))</f>
        <v/>
      </c>
      <c r="BE1359" s="5" t="str">
        <f aca="false">IF($B1359="","",--(AND(F1359&lt;&gt;"",F1359&lt;=8))+--(AND(G1359&lt;&gt;"",G1359&lt;=8))+--(AND(H1359&lt;&gt;"",H1359&lt;=8))+--(AND(I1359&lt;&gt;"",I1359&lt;=8))+--(AND(J1359&lt;&gt;"",J1359&lt;=8))+--(AND(K1359&lt;&gt;"",K1359&lt;=8))+--(AND(L1359&lt;&gt;"",L1359&lt;=8))+--(AND(M1359&lt;&gt;"",M1359&lt;=8))+--(AND(N1359&lt;&gt;"",N1359&lt;=8))+--(AND(O1359&lt;&gt;"",O1359&lt;=8)))</f>
        <v/>
      </c>
    </row>
    <row r="1360" customFormat="false" ht="15" hidden="false" customHeight="false" outlineLevel="0" collapsed="false">
      <c r="AZ1360" s="5" t="str">
        <f aca="false">IF($B1360="","",SUMPRODUCT(($AL1360:$AO1360&lt;&gt;"")*(COUNTIF($AP1360:$AX1360,$AL1360:$AO1360)&gt;0)))</f>
        <v/>
      </c>
      <c r="BA1360" s="5" t="str">
        <f aca="false">IF($B1360="","",IF(AZ1360&gt;0,1,0))</f>
        <v/>
      </c>
      <c r="BB1360" s="5" t="str">
        <f aca="false">IF($AP1360="","",IF((($AP1360="Engineering and Technology")+($AP1360="Science and Mathematics")+($AP1360="Computer Science, IT and Allied Fields")+($AP1360="Life Sciences /Medicine and Healthcare")+($AP1360="Paramedical")+($AP1360="Architecture")+($AP1360="Environmental Service")+($AP1360="Agriculture, Food Industry and Forestry"))&gt;0,"Science",IF((($AP1360="Banking and Finance")+($AP1360="Management and Administration")+($AP1360="Marketing")+($AP1360="Sales")+($AP1360="Entrepreneurship")+($AP1360="Hospitality and Tourism"))&gt;0,"Commerce",IF((($AP1360="Social Sciences and Humanities")+($AP1360="Law Studies")+($AP1360="Education and Training")+($AP1360="Art, Design")+($AP1360="Entertainment and Mass Media")+($AP1360="Community and Social Service")+($AP1360="Personal Care and Services")+($AP1360="Government and Public Administration")+($AP1360="Defence/ Protective Service")+($AP1360="Sports"))&gt;0,"Arts / Humanities",""))))</f>
        <v/>
      </c>
      <c r="BC1360" s="5" t="str">
        <f aca="false">IF($AL1360="","",IF((($AL1360="Engineering and Technology")+($AL1360="Science and Mathematics")+($AL1360="Computer Science, IT and Allied Fields")+($AL1360="Life Sciences /Medicine and Healthcare")+($AL1360="Paramedical")+($AL1360="Architecture")+($AL1360="Environmental Service")+($AL1360="Agriculture, Food Industry and Forestry"))&gt;0,"Science",IF((($AL1360="Banking and Finance")+($AL1360="Management and Administration")+($AL1360="Marketing")+($AL1360="Sales")+($AL1360="Entrepreneurship")+($AL1360="Hospitality and Tourism"))&gt;0,"Commerce",IF((($AL1360="Social Sciences and Humanities")+($AL1360="Law Studies")+($AL1360="Education and Training")+($AL1360="Art, Design")+($AL1360="Entertainment and Mass Media")+($AL1360="Community and Social Service")+($AL1360="Personal Care and Services")+($AL1360="Government and Public Administration")+($AL1360="Defence/ Protective Service")+($AL1360="Sports"))&gt;0,"Arts / Humanities",""))))</f>
        <v/>
      </c>
      <c r="BD1360" s="5" t="str">
        <f aca="false">IF($B1360="","",--(F1360&gt;=10)+--(G1360&gt;=10)+--(H1360&gt;=10)+--(I1360&gt;=10)+--(J1360&gt;=10)+--(K1360&gt;=10)+--(L1360&gt;=10)+--(M1360&gt;=10)+--(N1360&gt;=10)+--(O1360&gt;=10))</f>
        <v/>
      </c>
      <c r="BE1360" s="5" t="str">
        <f aca="false">IF($B1360="","",--(AND(F1360&lt;&gt;"",F1360&lt;=8))+--(AND(G1360&lt;&gt;"",G1360&lt;=8))+--(AND(H1360&lt;&gt;"",H1360&lt;=8))+--(AND(I1360&lt;&gt;"",I1360&lt;=8))+--(AND(J1360&lt;&gt;"",J1360&lt;=8))+--(AND(K1360&lt;&gt;"",K1360&lt;=8))+--(AND(L1360&lt;&gt;"",L1360&lt;=8))+--(AND(M1360&lt;&gt;"",M1360&lt;=8))+--(AND(N1360&lt;&gt;"",N1360&lt;=8))+--(AND(O1360&lt;&gt;"",O1360&lt;=8)))</f>
        <v/>
      </c>
    </row>
    <row r="1361" customFormat="false" ht="15" hidden="false" customHeight="false" outlineLevel="0" collapsed="false">
      <c r="AZ1361" s="5" t="str">
        <f aca="false">IF($B1361="","",SUMPRODUCT(($AL1361:$AO1361&lt;&gt;"")*(COUNTIF($AP1361:$AX1361,$AL1361:$AO1361)&gt;0)))</f>
        <v/>
      </c>
      <c r="BA1361" s="5" t="str">
        <f aca="false">IF($B1361="","",IF(AZ1361&gt;0,1,0))</f>
        <v/>
      </c>
      <c r="BB1361" s="5" t="str">
        <f aca="false">IF($AP1361="","",IF((($AP1361="Engineering and Technology")+($AP1361="Science and Mathematics")+($AP1361="Computer Science, IT and Allied Fields")+($AP1361="Life Sciences /Medicine and Healthcare")+($AP1361="Paramedical")+($AP1361="Architecture")+($AP1361="Environmental Service")+($AP1361="Agriculture, Food Industry and Forestry"))&gt;0,"Science",IF((($AP1361="Banking and Finance")+($AP1361="Management and Administration")+($AP1361="Marketing")+($AP1361="Sales")+($AP1361="Entrepreneurship")+($AP1361="Hospitality and Tourism"))&gt;0,"Commerce",IF((($AP1361="Social Sciences and Humanities")+($AP1361="Law Studies")+($AP1361="Education and Training")+($AP1361="Art, Design")+($AP1361="Entertainment and Mass Media")+($AP1361="Community and Social Service")+($AP1361="Personal Care and Services")+($AP1361="Government and Public Administration")+($AP1361="Defence/ Protective Service")+($AP1361="Sports"))&gt;0,"Arts / Humanities",""))))</f>
        <v/>
      </c>
      <c r="BC1361" s="5" t="str">
        <f aca="false">IF($AL1361="","",IF((($AL1361="Engineering and Technology")+($AL1361="Science and Mathematics")+($AL1361="Computer Science, IT and Allied Fields")+($AL1361="Life Sciences /Medicine and Healthcare")+($AL1361="Paramedical")+($AL1361="Architecture")+($AL1361="Environmental Service")+($AL1361="Agriculture, Food Industry and Forestry"))&gt;0,"Science",IF((($AL1361="Banking and Finance")+($AL1361="Management and Administration")+($AL1361="Marketing")+($AL1361="Sales")+($AL1361="Entrepreneurship")+($AL1361="Hospitality and Tourism"))&gt;0,"Commerce",IF((($AL1361="Social Sciences and Humanities")+($AL1361="Law Studies")+($AL1361="Education and Training")+($AL1361="Art, Design")+($AL1361="Entertainment and Mass Media")+($AL1361="Community and Social Service")+($AL1361="Personal Care and Services")+($AL1361="Government and Public Administration")+($AL1361="Defence/ Protective Service")+($AL1361="Sports"))&gt;0,"Arts / Humanities",""))))</f>
        <v/>
      </c>
      <c r="BD1361" s="5" t="str">
        <f aca="false">IF($B1361="","",--(F1361&gt;=10)+--(G1361&gt;=10)+--(H1361&gt;=10)+--(I1361&gt;=10)+--(J1361&gt;=10)+--(K1361&gt;=10)+--(L1361&gt;=10)+--(M1361&gt;=10)+--(N1361&gt;=10)+--(O1361&gt;=10))</f>
        <v/>
      </c>
      <c r="BE1361" s="5" t="str">
        <f aca="false">IF($B1361="","",--(AND(F1361&lt;&gt;"",F1361&lt;=8))+--(AND(G1361&lt;&gt;"",G1361&lt;=8))+--(AND(H1361&lt;&gt;"",H1361&lt;=8))+--(AND(I1361&lt;&gt;"",I1361&lt;=8))+--(AND(J1361&lt;&gt;"",J1361&lt;=8))+--(AND(K1361&lt;&gt;"",K1361&lt;=8))+--(AND(L1361&lt;&gt;"",L1361&lt;=8))+--(AND(M1361&lt;&gt;"",M1361&lt;=8))+--(AND(N1361&lt;&gt;"",N1361&lt;=8))+--(AND(O1361&lt;&gt;"",O1361&lt;=8)))</f>
        <v/>
      </c>
    </row>
    <row r="1362" customFormat="false" ht="15" hidden="false" customHeight="false" outlineLevel="0" collapsed="false">
      <c r="AZ1362" s="5" t="str">
        <f aca="false">IF($B1362="","",SUMPRODUCT(($AL1362:$AO1362&lt;&gt;"")*(COUNTIF($AP1362:$AX1362,$AL1362:$AO1362)&gt;0)))</f>
        <v/>
      </c>
      <c r="BA1362" s="5" t="str">
        <f aca="false">IF($B1362="","",IF(AZ1362&gt;0,1,0))</f>
        <v/>
      </c>
      <c r="BB1362" s="5" t="str">
        <f aca="false">IF($AP1362="","",IF((($AP1362="Engineering and Technology")+($AP1362="Science and Mathematics")+($AP1362="Computer Science, IT and Allied Fields")+($AP1362="Life Sciences /Medicine and Healthcare")+($AP1362="Paramedical")+($AP1362="Architecture")+($AP1362="Environmental Service")+($AP1362="Agriculture, Food Industry and Forestry"))&gt;0,"Science",IF((($AP1362="Banking and Finance")+($AP1362="Management and Administration")+($AP1362="Marketing")+($AP1362="Sales")+($AP1362="Entrepreneurship")+($AP1362="Hospitality and Tourism"))&gt;0,"Commerce",IF((($AP1362="Social Sciences and Humanities")+($AP1362="Law Studies")+($AP1362="Education and Training")+($AP1362="Art, Design")+($AP1362="Entertainment and Mass Media")+($AP1362="Community and Social Service")+($AP1362="Personal Care and Services")+($AP1362="Government and Public Administration")+($AP1362="Defence/ Protective Service")+($AP1362="Sports"))&gt;0,"Arts / Humanities",""))))</f>
        <v/>
      </c>
      <c r="BC1362" s="5" t="str">
        <f aca="false">IF($AL1362="","",IF((($AL1362="Engineering and Technology")+($AL1362="Science and Mathematics")+($AL1362="Computer Science, IT and Allied Fields")+($AL1362="Life Sciences /Medicine and Healthcare")+($AL1362="Paramedical")+($AL1362="Architecture")+($AL1362="Environmental Service")+($AL1362="Agriculture, Food Industry and Forestry"))&gt;0,"Science",IF((($AL1362="Banking and Finance")+($AL1362="Management and Administration")+($AL1362="Marketing")+($AL1362="Sales")+($AL1362="Entrepreneurship")+($AL1362="Hospitality and Tourism"))&gt;0,"Commerce",IF((($AL1362="Social Sciences and Humanities")+($AL1362="Law Studies")+($AL1362="Education and Training")+($AL1362="Art, Design")+($AL1362="Entertainment and Mass Media")+($AL1362="Community and Social Service")+($AL1362="Personal Care and Services")+($AL1362="Government and Public Administration")+($AL1362="Defence/ Protective Service")+($AL1362="Sports"))&gt;0,"Arts / Humanities",""))))</f>
        <v/>
      </c>
      <c r="BD1362" s="5" t="str">
        <f aca="false">IF($B1362="","",--(F1362&gt;=10)+--(G1362&gt;=10)+--(H1362&gt;=10)+--(I1362&gt;=10)+--(J1362&gt;=10)+--(K1362&gt;=10)+--(L1362&gt;=10)+--(M1362&gt;=10)+--(N1362&gt;=10)+--(O1362&gt;=10))</f>
        <v/>
      </c>
      <c r="BE1362" s="5" t="str">
        <f aca="false">IF($B1362="","",--(AND(F1362&lt;&gt;"",F1362&lt;=8))+--(AND(G1362&lt;&gt;"",G1362&lt;=8))+--(AND(H1362&lt;&gt;"",H1362&lt;=8))+--(AND(I1362&lt;&gt;"",I1362&lt;=8))+--(AND(J1362&lt;&gt;"",J1362&lt;=8))+--(AND(K1362&lt;&gt;"",K1362&lt;=8))+--(AND(L1362&lt;&gt;"",L1362&lt;=8))+--(AND(M1362&lt;&gt;"",M1362&lt;=8))+--(AND(N1362&lt;&gt;"",N1362&lt;=8))+--(AND(O1362&lt;&gt;"",O1362&lt;=8)))</f>
        <v/>
      </c>
    </row>
    <row r="1363" customFormat="false" ht="15" hidden="false" customHeight="false" outlineLevel="0" collapsed="false">
      <c r="AZ1363" s="5" t="str">
        <f aca="false">IF($B1363="","",SUMPRODUCT(($AL1363:$AO1363&lt;&gt;"")*(COUNTIF($AP1363:$AX1363,$AL1363:$AO1363)&gt;0)))</f>
        <v/>
      </c>
      <c r="BA1363" s="5" t="str">
        <f aca="false">IF($B1363="","",IF(AZ1363&gt;0,1,0))</f>
        <v/>
      </c>
      <c r="BB1363" s="5" t="str">
        <f aca="false">IF($AP1363="","",IF((($AP1363="Engineering and Technology")+($AP1363="Science and Mathematics")+($AP1363="Computer Science, IT and Allied Fields")+($AP1363="Life Sciences /Medicine and Healthcare")+($AP1363="Paramedical")+($AP1363="Architecture")+($AP1363="Environmental Service")+($AP1363="Agriculture, Food Industry and Forestry"))&gt;0,"Science",IF((($AP1363="Banking and Finance")+($AP1363="Management and Administration")+($AP1363="Marketing")+($AP1363="Sales")+($AP1363="Entrepreneurship")+($AP1363="Hospitality and Tourism"))&gt;0,"Commerce",IF((($AP1363="Social Sciences and Humanities")+($AP1363="Law Studies")+($AP1363="Education and Training")+($AP1363="Art, Design")+($AP1363="Entertainment and Mass Media")+($AP1363="Community and Social Service")+($AP1363="Personal Care and Services")+($AP1363="Government and Public Administration")+($AP1363="Defence/ Protective Service")+($AP1363="Sports"))&gt;0,"Arts / Humanities",""))))</f>
        <v/>
      </c>
      <c r="BC1363" s="5" t="str">
        <f aca="false">IF($AL1363="","",IF((($AL1363="Engineering and Technology")+($AL1363="Science and Mathematics")+($AL1363="Computer Science, IT and Allied Fields")+($AL1363="Life Sciences /Medicine and Healthcare")+($AL1363="Paramedical")+($AL1363="Architecture")+($AL1363="Environmental Service")+($AL1363="Agriculture, Food Industry and Forestry"))&gt;0,"Science",IF((($AL1363="Banking and Finance")+($AL1363="Management and Administration")+($AL1363="Marketing")+($AL1363="Sales")+($AL1363="Entrepreneurship")+($AL1363="Hospitality and Tourism"))&gt;0,"Commerce",IF((($AL1363="Social Sciences and Humanities")+($AL1363="Law Studies")+($AL1363="Education and Training")+($AL1363="Art, Design")+($AL1363="Entertainment and Mass Media")+($AL1363="Community and Social Service")+($AL1363="Personal Care and Services")+($AL1363="Government and Public Administration")+($AL1363="Defence/ Protective Service")+($AL1363="Sports"))&gt;0,"Arts / Humanities",""))))</f>
        <v/>
      </c>
      <c r="BD1363" s="5" t="str">
        <f aca="false">IF($B1363="","",--(F1363&gt;=10)+--(G1363&gt;=10)+--(H1363&gt;=10)+--(I1363&gt;=10)+--(J1363&gt;=10)+--(K1363&gt;=10)+--(L1363&gt;=10)+--(M1363&gt;=10)+--(N1363&gt;=10)+--(O1363&gt;=10))</f>
        <v/>
      </c>
      <c r="BE1363" s="5" t="str">
        <f aca="false">IF($B1363="","",--(AND(F1363&lt;&gt;"",F1363&lt;=8))+--(AND(G1363&lt;&gt;"",G1363&lt;=8))+--(AND(H1363&lt;&gt;"",H1363&lt;=8))+--(AND(I1363&lt;&gt;"",I1363&lt;=8))+--(AND(J1363&lt;&gt;"",J1363&lt;=8))+--(AND(K1363&lt;&gt;"",K1363&lt;=8))+--(AND(L1363&lt;&gt;"",L1363&lt;=8))+--(AND(M1363&lt;&gt;"",M1363&lt;=8))+--(AND(N1363&lt;&gt;"",N1363&lt;=8))+--(AND(O1363&lt;&gt;"",O1363&lt;=8)))</f>
        <v/>
      </c>
    </row>
    <row r="1364" customFormat="false" ht="15" hidden="false" customHeight="false" outlineLevel="0" collapsed="false">
      <c r="AZ1364" s="5" t="str">
        <f aca="false">IF($B1364="","",SUMPRODUCT(($AL1364:$AO1364&lt;&gt;"")*(COUNTIF($AP1364:$AX1364,$AL1364:$AO1364)&gt;0)))</f>
        <v/>
      </c>
      <c r="BA1364" s="5" t="str">
        <f aca="false">IF($B1364="","",IF(AZ1364&gt;0,1,0))</f>
        <v/>
      </c>
      <c r="BB1364" s="5" t="str">
        <f aca="false">IF($AP1364="","",IF((($AP1364="Engineering and Technology")+($AP1364="Science and Mathematics")+($AP1364="Computer Science, IT and Allied Fields")+($AP1364="Life Sciences /Medicine and Healthcare")+($AP1364="Paramedical")+($AP1364="Architecture")+($AP1364="Environmental Service")+($AP1364="Agriculture, Food Industry and Forestry"))&gt;0,"Science",IF((($AP1364="Banking and Finance")+($AP1364="Management and Administration")+($AP1364="Marketing")+($AP1364="Sales")+($AP1364="Entrepreneurship")+($AP1364="Hospitality and Tourism"))&gt;0,"Commerce",IF((($AP1364="Social Sciences and Humanities")+($AP1364="Law Studies")+($AP1364="Education and Training")+($AP1364="Art, Design")+($AP1364="Entertainment and Mass Media")+($AP1364="Community and Social Service")+($AP1364="Personal Care and Services")+($AP1364="Government and Public Administration")+($AP1364="Defence/ Protective Service")+($AP1364="Sports"))&gt;0,"Arts / Humanities",""))))</f>
        <v/>
      </c>
      <c r="BC1364" s="5" t="str">
        <f aca="false">IF($AL1364="","",IF((($AL1364="Engineering and Technology")+($AL1364="Science and Mathematics")+($AL1364="Computer Science, IT and Allied Fields")+($AL1364="Life Sciences /Medicine and Healthcare")+($AL1364="Paramedical")+($AL1364="Architecture")+($AL1364="Environmental Service")+($AL1364="Agriculture, Food Industry and Forestry"))&gt;0,"Science",IF((($AL1364="Banking and Finance")+($AL1364="Management and Administration")+($AL1364="Marketing")+($AL1364="Sales")+($AL1364="Entrepreneurship")+($AL1364="Hospitality and Tourism"))&gt;0,"Commerce",IF((($AL1364="Social Sciences and Humanities")+($AL1364="Law Studies")+($AL1364="Education and Training")+($AL1364="Art, Design")+($AL1364="Entertainment and Mass Media")+($AL1364="Community and Social Service")+($AL1364="Personal Care and Services")+($AL1364="Government and Public Administration")+($AL1364="Defence/ Protective Service")+($AL1364="Sports"))&gt;0,"Arts / Humanities",""))))</f>
        <v/>
      </c>
      <c r="BD1364" s="5" t="str">
        <f aca="false">IF($B1364="","",--(F1364&gt;=10)+--(G1364&gt;=10)+--(H1364&gt;=10)+--(I1364&gt;=10)+--(J1364&gt;=10)+--(K1364&gt;=10)+--(L1364&gt;=10)+--(M1364&gt;=10)+--(N1364&gt;=10)+--(O1364&gt;=10))</f>
        <v/>
      </c>
      <c r="BE1364" s="5" t="str">
        <f aca="false">IF($B1364="","",--(AND(F1364&lt;&gt;"",F1364&lt;=8))+--(AND(G1364&lt;&gt;"",G1364&lt;=8))+--(AND(H1364&lt;&gt;"",H1364&lt;=8))+--(AND(I1364&lt;&gt;"",I1364&lt;=8))+--(AND(J1364&lt;&gt;"",J1364&lt;=8))+--(AND(K1364&lt;&gt;"",K1364&lt;=8))+--(AND(L1364&lt;&gt;"",L1364&lt;=8))+--(AND(M1364&lt;&gt;"",M1364&lt;=8))+--(AND(N1364&lt;&gt;"",N1364&lt;=8))+--(AND(O1364&lt;&gt;"",O1364&lt;=8)))</f>
        <v/>
      </c>
    </row>
    <row r="1365" customFormat="false" ht="15" hidden="false" customHeight="false" outlineLevel="0" collapsed="false">
      <c r="AZ1365" s="5" t="str">
        <f aca="false">IF($B1365="","",SUMPRODUCT(($AL1365:$AO1365&lt;&gt;"")*(COUNTIF($AP1365:$AX1365,$AL1365:$AO1365)&gt;0)))</f>
        <v/>
      </c>
      <c r="BA1365" s="5" t="str">
        <f aca="false">IF($B1365="","",IF(AZ1365&gt;0,1,0))</f>
        <v/>
      </c>
      <c r="BB1365" s="5" t="str">
        <f aca="false">IF($AP1365="","",IF((($AP1365="Engineering and Technology")+($AP1365="Science and Mathematics")+($AP1365="Computer Science, IT and Allied Fields")+($AP1365="Life Sciences /Medicine and Healthcare")+($AP1365="Paramedical")+($AP1365="Architecture")+($AP1365="Environmental Service")+($AP1365="Agriculture, Food Industry and Forestry"))&gt;0,"Science",IF((($AP1365="Banking and Finance")+($AP1365="Management and Administration")+($AP1365="Marketing")+($AP1365="Sales")+($AP1365="Entrepreneurship")+($AP1365="Hospitality and Tourism"))&gt;0,"Commerce",IF((($AP1365="Social Sciences and Humanities")+($AP1365="Law Studies")+($AP1365="Education and Training")+($AP1365="Art, Design")+($AP1365="Entertainment and Mass Media")+($AP1365="Community and Social Service")+($AP1365="Personal Care and Services")+($AP1365="Government and Public Administration")+($AP1365="Defence/ Protective Service")+($AP1365="Sports"))&gt;0,"Arts / Humanities",""))))</f>
        <v/>
      </c>
      <c r="BC1365" s="5" t="str">
        <f aca="false">IF($AL1365="","",IF((($AL1365="Engineering and Technology")+($AL1365="Science and Mathematics")+($AL1365="Computer Science, IT and Allied Fields")+($AL1365="Life Sciences /Medicine and Healthcare")+($AL1365="Paramedical")+($AL1365="Architecture")+($AL1365="Environmental Service")+($AL1365="Agriculture, Food Industry and Forestry"))&gt;0,"Science",IF((($AL1365="Banking and Finance")+($AL1365="Management and Administration")+($AL1365="Marketing")+($AL1365="Sales")+($AL1365="Entrepreneurship")+($AL1365="Hospitality and Tourism"))&gt;0,"Commerce",IF((($AL1365="Social Sciences and Humanities")+($AL1365="Law Studies")+($AL1365="Education and Training")+($AL1365="Art, Design")+($AL1365="Entertainment and Mass Media")+($AL1365="Community and Social Service")+($AL1365="Personal Care and Services")+($AL1365="Government and Public Administration")+($AL1365="Defence/ Protective Service")+($AL1365="Sports"))&gt;0,"Arts / Humanities",""))))</f>
        <v/>
      </c>
      <c r="BD1365" s="5" t="str">
        <f aca="false">IF($B1365="","",--(F1365&gt;=10)+--(G1365&gt;=10)+--(H1365&gt;=10)+--(I1365&gt;=10)+--(J1365&gt;=10)+--(K1365&gt;=10)+--(L1365&gt;=10)+--(M1365&gt;=10)+--(N1365&gt;=10)+--(O1365&gt;=10))</f>
        <v/>
      </c>
      <c r="BE1365" s="5" t="str">
        <f aca="false">IF($B1365="","",--(AND(F1365&lt;&gt;"",F1365&lt;=8))+--(AND(G1365&lt;&gt;"",G1365&lt;=8))+--(AND(H1365&lt;&gt;"",H1365&lt;=8))+--(AND(I1365&lt;&gt;"",I1365&lt;=8))+--(AND(J1365&lt;&gt;"",J1365&lt;=8))+--(AND(K1365&lt;&gt;"",K1365&lt;=8))+--(AND(L1365&lt;&gt;"",L1365&lt;=8))+--(AND(M1365&lt;&gt;"",M1365&lt;=8))+--(AND(N1365&lt;&gt;"",N1365&lt;=8))+--(AND(O1365&lt;&gt;"",O1365&lt;=8)))</f>
        <v/>
      </c>
    </row>
    <row r="1366" customFormat="false" ht="15" hidden="false" customHeight="false" outlineLevel="0" collapsed="false">
      <c r="AZ1366" s="5" t="str">
        <f aca="false">IF($B1366="","",SUMPRODUCT(($AL1366:$AO1366&lt;&gt;"")*(COUNTIF($AP1366:$AX1366,$AL1366:$AO1366)&gt;0)))</f>
        <v/>
      </c>
      <c r="BA1366" s="5" t="str">
        <f aca="false">IF($B1366="","",IF(AZ1366&gt;0,1,0))</f>
        <v/>
      </c>
      <c r="BB1366" s="5" t="str">
        <f aca="false">IF($AP1366="","",IF((($AP1366="Engineering and Technology")+($AP1366="Science and Mathematics")+($AP1366="Computer Science, IT and Allied Fields")+($AP1366="Life Sciences /Medicine and Healthcare")+($AP1366="Paramedical")+($AP1366="Architecture")+($AP1366="Environmental Service")+($AP1366="Agriculture, Food Industry and Forestry"))&gt;0,"Science",IF((($AP1366="Banking and Finance")+($AP1366="Management and Administration")+($AP1366="Marketing")+($AP1366="Sales")+($AP1366="Entrepreneurship")+($AP1366="Hospitality and Tourism"))&gt;0,"Commerce",IF((($AP1366="Social Sciences and Humanities")+($AP1366="Law Studies")+($AP1366="Education and Training")+($AP1366="Art, Design")+($AP1366="Entertainment and Mass Media")+($AP1366="Community and Social Service")+($AP1366="Personal Care and Services")+($AP1366="Government and Public Administration")+($AP1366="Defence/ Protective Service")+($AP1366="Sports"))&gt;0,"Arts / Humanities",""))))</f>
        <v/>
      </c>
      <c r="BC1366" s="5" t="str">
        <f aca="false">IF($AL1366="","",IF((($AL1366="Engineering and Technology")+($AL1366="Science and Mathematics")+($AL1366="Computer Science, IT and Allied Fields")+($AL1366="Life Sciences /Medicine and Healthcare")+($AL1366="Paramedical")+($AL1366="Architecture")+($AL1366="Environmental Service")+($AL1366="Agriculture, Food Industry and Forestry"))&gt;0,"Science",IF((($AL1366="Banking and Finance")+($AL1366="Management and Administration")+($AL1366="Marketing")+($AL1366="Sales")+($AL1366="Entrepreneurship")+($AL1366="Hospitality and Tourism"))&gt;0,"Commerce",IF((($AL1366="Social Sciences and Humanities")+($AL1366="Law Studies")+($AL1366="Education and Training")+($AL1366="Art, Design")+($AL1366="Entertainment and Mass Media")+($AL1366="Community and Social Service")+($AL1366="Personal Care and Services")+($AL1366="Government and Public Administration")+($AL1366="Defence/ Protective Service")+($AL1366="Sports"))&gt;0,"Arts / Humanities",""))))</f>
        <v/>
      </c>
      <c r="BD1366" s="5" t="str">
        <f aca="false">IF($B1366="","",--(F1366&gt;=10)+--(G1366&gt;=10)+--(H1366&gt;=10)+--(I1366&gt;=10)+--(J1366&gt;=10)+--(K1366&gt;=10)+--(L1366&gt;=10)+--(M1366&gt;=10)+--(N1366&gt;=10)+--(O1366&gt;=10))</f>
        <v/>
      </c>
      <c r="BE1366" s="5" t="str">
        <f aca="false">IF($B1366="","",--(AND(F1366&lt;&gt;"",F1366&lt;=8))+--(AND(G1366&lt;&gt;"",G1366&lt;=8))+--(AND(H1366&lt;&gt;"",H1366&lt;=8))+--(AND(I1366&lt;&gt;"",I1366&lt;=8))+--(AND(J1366&lt;&gt;"",J1366&lt;=8))+--(AND(K1366&lt;&gt;"",K1366&lt;=8))+--(AND(L1366&lt;&gt;"",L1366&lt;=8))+--(AND(M1366&lt;&gt;"",M1366&lt;=8))+--(AND(N1366&lt;&gt;"",N1366&lt;=8))+--(AND(O1366&lt;&gt;"",O1366&lt;=8)))</f>
        <v/>
      </c>
    </row>
    <row r="1367" customFormat="false" ht="15" hidden="false" customHeight="false" outlineLevel="0" collapsed="false">
      <c r="AZ1367" s="5" t="str">
        <f aca="false">IF($B1367="","",SUMPRODUCT(($AL1367:$AO1367&lt;&gt;"")*(COUNTIF($AP1367:$AX1367,$AL1367:$AO1367)&gt;0)))</f>
        <v/>
      </c>
      <c r="BA1367" s="5" t="str">
        <f aca="false">IF($B1367="","",IF(AZ1367&gt;0,1,0))</f>
        <v/>
      </c>
      <c r="BB1367" s="5" t="str">
        <f aca="false">IF($AP1367="","",IF((($AP1367="Engineering and Technology")+($AP1367="Science and Mathematics")+($AP1367="Computer Science, IT and Allied Fields")+($AP1367="Life Sciences /Medicine and Healthcare")+($AP1367="Paramedical")+($AP1367="Architecture")+($AP1367="Environmental Service")+($AP1367="Agriculture, Food Industry and Forestry"))&gt;0,"Science",IF((($AP1367="Banking and Finance")+($AP1367="Management and Administration")+($AP1367="Marketing")+($AP1367="Sales")+($AP1367="Entrepreneurship")+($AP1367="Hospitality and Tourism"))&gt;0,"Commerce",IF((($AP1367="Social Sciences and Humanities")+($AP1367="Law Studies")+($AP1367="Education and Training")+($AP1367="Art, Design")+($AP1367="Entertainment and Mass Media")+($AP1367="Community and Social Service")+($AP1367="Personal Care and Services")+($AP1367="Government and Public Administration")+($AP1367="Defence/ Protective Service")+($AP1367="Sports"))&gt;0,"Arts / Humanities",""))))</f>
        <v/>
      </c>
      <c r="BC1367" s="5" t="str">
        <f aca="false">IF($AL1367="","",IF((($AL1367="Engineering and Technology")+($AL1367="Science and Mathematics")+($AL1367="Computer Science, IT and Allied Fields")+($AL1367="Life Sciences /Medicine and Healthcare")+($AL1367="Paramedical")+($AL1367="Architecture")+($AL1367="Environmental Service")+($AL1367="Agriculture, Food Industry and Forestry"))&gt;0,"Science",IF((($AL1367="Banking and Finance")+($AL1367="Management and Administration")+($AL1367="Marketing")+($AL1367="Sales")+($AL1367="Entrepreneurship")+($AL1367="Hospitality and Tourism"))&gt;0,"Commerce",IF((($AL1367="Social Sciences and Humanities")+($AL1367="Law Studies")+($AL1367="Education and Training")+($AL1367="Art, Design")+($AL1367="Entertainment and Mass Media")+($AL1367="Community and Social Service")+($AL1367="Personal Care and Services")+($AL1367="Government and Public Administration")+($AL1367="Defence/ Protective Service")+($AL1367="Sports"))&gt;0,"Arts / Humanities",""))))</f>
        <v/>
      </c>
      <c r="BD1367" s="5" t="str">
        <f aca="false">IF($B1367="","",--(F1367&gt;=10)+--(G1367&gt;=10)+--(H1367&gt;=10)+--(I1367&gt;=10)+--(J1367&gt;=10)+--(K1367&gt;=10)+--(L1367&gt;=10)+--(M1367&gt;=10)+--(N1367&gt;=10)+--(O1367&gt;=10))</f>
        <v/>
      </c>
      <c r="BE1367" s="5" t="str">
        <f aca="false">IF($B1367="","",--(AND(F1367&lt;&gt;"",F1367&lt;=8))+--(AND(G1367&lt;&gt;"",G1367&lt;=8))+--(AND(H1367&lt;&gt;"",H1367&lt;=8))+--(AND(I1367&lt;&gt;"",I1367&lt;=8))+--(AND(J1367&lt;&gt;"",J1367&lt;=8))+--(AND(K1367&lt;&gt;"",K1367&lt;=8))+--(AND(L1367&lt;&gt;"",L1367&lt;=8))+--(AND(M1367&lt;&gt;"",M1367&lt;=8))+--(AND(N1367&lt;&gt;"",N1367&lt;=8))+--(AND(O1367&lt;&gt;"",O1367&lt;=8)))</f>
        <v/>
      </c>
    </row>
    <row r="1368" customFormat="false" ht="15" hidden="false" customHeight="false" outlineLevel="0" collapsed="false">
      <c r="AZ1368" s="5" t="str">
        <f aca="false">IF($B1368="","",SUMPRODUCT(($AL1368:$AO1368&lt;&gt;"")*(COUNTIF($AP1368:$AX1368,$AL1368:$AO1368)&gt;0)))</f>
        <v/>
      </c>
      <c r="BA1368" s="5" t="str">
        <f aca="false">IF($B1368="","",IF(AZ1368&gt;0,1,0))</f>
        <v/>
      </c>
      <c r="BB1368" s="5" t="str">
        <f aca="false">IF($AP1368="","",IF((($AP1368="Engineering and Technology")+($AP1368="Science and Mathematics")+($AP1368="Computer Science, IT and Allied Fields")+($AP1368="Life Sciences /Medicine and Healthcare")+($AP1368="Paramedical")+($AP1368="Architecture")+($AP1368="Environmental Service")+($AP1368="Agriculture, Food Industry and Forestry"))&gt;0,"Science",IF((($AP1368="Banking and Finance")+($AP1368="Management and Administration")+($AP1368="Marketing")+($AP1368="Sales")+($AP1368="Entrepreneurship")+($AP1368="Hospitality and Tourism"))&gt;0,"Commerce",IF((($AP1368="Social Sciences and Humanities")+($AP1368="Law Studies")+($AP1368="Education and Training")+($AP1368="Art, Design")+($AP1368="Entertainment and Mass Media")+($AP1368="Community and Social Service")+($AP1368="Personal Care and Services")+($AP1368="Government and Public Administration")+($AP1368="Defence/ Protective Service")+($AP1368="Sports"))&gt;0,"Arts / Humanities",""))))</f>
        <v/>
      </c>
      <c r="BC1368" s="5" t="str">
        <f aca="false">IF($AL1368="","",IF((($AL1368="Engineering and Technology")+($AL1368="Science and Mathematics")+($AL1368="Computer Science, IT and Allied Fields")+($AL1368="Life Sciences /Medicine and Healthcare")+($AL1368="Paramedical")+($AL1368="Architecture")+($AL1368="Environmental Service")+($AL1368="Agriculture, Food Industry and Forestry"))&gt;0,"Science",IF((($AL1368="Banking and Finance")+($AL1368="Management and Administration")+($AL1368="Marketing")+($AL1368="Sales")+($AL1368="Entrepreneurship")+($AL1368="Hospitality and Tourism"))&gt;0,"Commerce",IF((($AL1368="Social Sciences and Humanities")+($AL1368="Law Studies")+($AL1368="Education and Training")+($AL1368="Art, Design")+($AL1368="Entertainment and Mass Media")+($AL1368="Community and Social Service")+($AL1368="Personal Care and Services")+($AL1368="Government and Public Administration")+($AL1368="Defence/ Protective Service")+($AL1368="Sports"))&gt;0,"Arts / Humanities",""))))</f>
        <v/>
      </c>
      <c r="BD1368" s="5" t="str">
        <f aca="false">IF($B1368="","",--(F1368&gt;=10)+--(G1368&gt;=10)+--(H1368&gt;=10)+--(I1368&gt;=10)+--(J1368&gt;=10)+--(K1368&gt;=10)+--(L1368&gt;=10)+--(M1368&gt;=10)+--(N1368&gt;=10)+--(O1368&gt;=10))</f>
        <v/>
      </c>
      <c r="BE1368" s="5" t="str">
        <f aca="false">IF($B1368="","",--(AND(F1368&lt;&gt;"",F1368&lt;=8))+--(AND(G1368&lt;&gt;"",G1368&lt;=8))+--(AND(H1368&lt;&gt;"",H1368&lt;=8))+--(AND(I1368&lt;&gt;"",I1368&lt;=8))+--(AND(J1368&lt;&gt;"",J1368&lt;=8))+--(AND(K1368&lt;&gt;"",K1368&lt;=8))+--(AND(L1368&lt;&gt;"",L1368&lt;=8))+--(AND(M1368&lt;&gt;"",M1368&lt;=8))+--(AND(N1368&lt;&gt;"",N1368&lt;=8))+--(AND(O1368&lt;&gt;"",O1368&lt;=8)))</f>
        <v/>
      </c>
    </row>
    <row r="1369" customFormat="false" ht="15" hidden="false" customHeight="false" outlineLevel="0" collapsed="false">
      <c r="AZ1369" s="5" t="str">
        <f aca="false">IF($B1369="","",SUMPRODUCT(($AL1369:$AO1369&lt;&gt;"")*(COUNTIF($AP1369:$AX1369,$AL1369:$AO1369)&gt;0)))</f>
        <v/>
      </c>
      <c r="BA1369" s="5" t="str">
        <f aca="false">IF($B1369="","",IF(AZ1369&gt;0,1,0))</f>
        <v/>
      </c>
      <c r="BB1369" s="5" t="str">
        <f aca="false">IF($AP1369="","",IF((($AP1369="Engineering and Technology")+($AP1369="Science and Mathematics")+($AP1369="Computer Science, IT and Allied Fields")+($AP1369="Life Sciences /Medicine and Healthcare")+($AP1369="Paramedical")+($AP1369="Architecture")+($AP1369="Environmental Service")+($AP1369="Agriculture, Food Industry and Forestry"))&gt;0,"Science",IF((($AP1369="Banking and Finance")+($AP1369="Management and Administration")+($AP1369="Marketing")+($AP1369="Sales")+($AP1369="Entrepreneurship")+($AP1369="Hospitality and Tourism"))&gt;0,"Commerce",IF((($AP1369="Social Sciences and Humanities")+($AP1369="Law Studies")+($AP1369="Education and Training")+($AP1369="Art, Design")+($AP1369="Entertainment and Mass Media")+($AP1369="Community and Social Service")+($AP1369="Personal Care and Services")+($AP1369="Government and Public Administration")+($AP1369="Defence/ Protective Service")+($AP1369="Sports"))&gt;0,"Arts / Humanities",""))))</f>
        <v/>
      </c>
      <c r="BC1369" s="5" t="str">
        <f aca="false">IF($AL1369="","",IF((($AL1369="Engineering and Technology")+($AL1369="Science and Mathematics")+($AL1369="Computer Science, IT and Allied Fields")+($AL1369="Life Sciences /Medicine and Healthcare")+($AL1369="Paramedical")+($AL1369="Architecture")+($AL1369="Environmental Service")+($AL1369="Agriculture, Food Industry and Forestry"))&gt;0,"Science",IF((($AL1369="Banking and Finance")+($AL1369="Management and Administration")+($AL1369="Marketing")+($AL1369="Sales")+($AL1369="Entrepreneurship")+($AL1369="Hospitality and Tourism"))&gt;0,"Commerce",IF((($AL1369="Social Sciences and Humanities")+($AL1369="Law Studies")+($AL1369="Education and Training")+($AL1369="Art, Design")+($AL1369="Entertainment and Mass Media")+($AL1369="Community and Social Service")+($AL1369="Personal Care and Services")+($AL1369="Government and Public Administration")+($AL1369="Defence/ Protective Service")+($AL1369="Sports"))&gt;0,"Arts / Humanities",""))))</f>
        <v/>
      </c>
      <c r="BD1369" s="5" t="str">
        <f aca="false">IF($B1369="","",--(F1369&gt;=10)+--(G1369&gt;=10)+--(H1369&gt;=10)+--(I1369&gt;=10)+--(J1369&gt;=10)+--(K1369&gt;=10)+--(L1369&gt;=10)+--(M1369&gt;=10)+--(N1369&gt;=10)+--(O1369&gt;=10))</f>
        <v/>
      </c>
      <c r="BE1369" s="5" t="str">
        <f aca="false">IF($B1369="","",--(AND(F1369&lt;&gt;"",F1369&lt;=8))+--(AND(G1369&lt;&gt;"",G1369&lt;=8))+--(AND(H1369&lt;&gt;"",H1369&lt;=8))+--(AND(I1369&lt;&gt;"",I1369&lt;=8))+--(AND(J1369&lt;&gt;"",J1369&lt;=8))+--(AND(K1369&lt;&gt;"",K1369&lt;=8))+--(AND(L1369&lt;&gt;"",L1369&lt;=8))+--(AND(M1369&lt;&gt;"",M1369&lt;=8))+--(AND(N1369&lt;&gt;"",N1369&lt;=8))+--(AND(O1369&lt;&gt;"",O1369&lt;=8)))</f>
        <v/>
      </c>
    </row>
    <row r="1370" customFormat="false" ht="15" hidden="false" customHeight="false" outlineLevel="0" collapsed="false">
      <c r="AZ1370" s="5" t="str">
        <f aca="false">IF($B1370="","",SUMPRODUCT(($AL1370:$AO1370&lt;&gt;"")*(COUNTIF($AP1370:$AX1370,$AL1370:$AO1370)&gt;0)))</f>
        <v/>
      </c>
      <c r="BA1370" s="5" t="str">
        <f aca="false">IF($B1370="","",IF(AZ1370&gt;0,1,0))</f>
        <v/>
      </c>
      <c r="BB1370" s="5" t="str">
        <f aca="false">IF($AP1370="","",IF((($AP1370="Engineering and Technology")+($AP1370="Science and Mathematics")+($AP1370="Computer Science, IT and Allied Fields")+($AP1370="Life Sciences /Medicine and Healthcare")+($AP1370="Paramedical")+($AP1370="Architecture")+($AP1370="Environmental Service")+($AP1370="Agriculture, Food Industry and Forestry"))&gt;0,"Science",IF((($AP1370="Banking and Finance")+($AP1370="Management and Administration")+($AP1370="Marketing")+($AP1370="Sales")+($AP1370="Entrepreneurship")+($AP1370="Hospitality and Tourism"))&gt;0,"Commerce",IF((($AP1370="Social Sciences and Humanities")+($AP1370="Law Studies")+($AP1370="Education and Training")+($AP1370="Art, Design")+($AP1370="Entertainment and Mass Media")+($AP1370="Community and Social Service")+($AP1370="Personal Care and Services")+($AP1370="Government and Public Administration")+($AP1370="Defence/ Protective Service")+($AP1370="Sports"))&gt;0,"Arts / Humanities",""))))</f>
        <v/>
      </c>
      <c r="BC1370" s="5" t="str">
        <f aca="false">IF($AL1370="","",IF((($AL1370="Engineering and Technology")+($AL1370="Science and Mathematics")+($AL1370="Computer Science, IT and Allied Fields")+($AL1370="Life Sciences /Medicine and Healthcare")+($AL1370="Paramedical")+($AL1370="Architecture")+($AL1370="Environmental Service")+($AL1370="Agriculture, Food Industry and Forestry"))&gt;0,"Science",IF((($AL1370="Banking and Finance")+($AL1370="Management and Administration")+($AL1370="Marketing")+($AL1370="Sales")+($AL1370="Entrepreneurship")+($AL1370="Hospitality and Tourism"))&gt;0,"Commerce",IF((($AL1370="Social Sciences and Humanities")+($AL1370="Law Studies")+($AL1370="Education and Training")+($AL1370="Art, Design")+($AL1370="Entertainment and Mass Media")+($AL1370="Community and Social Service")+($AL1370="Personal Care and Services")+($AL1370="Government and Public Administration")+($AL1370="Defence/ Protective Service")+($AL1370="Sports"))&gt;0,"Arts / Humanities",""))))</f>
        <v/>
      </c>
      <c r="BD1370" s="5" t="str">
        <f aca="false">IF($B1370="","",--(F1370&gt;=10)+--(G1370&gt;=10)+--(H1370&gt;=10)+--(I1370&gt;=10)+--(J1370&gt;=10)+--(K1370&gt;=10)+--(L1370&gt;=10)+--(M1370&gt;=10)+--(N1370&gt;=10)+--(O1370&gt;=10))</f>
        <v/>
      </c>
      <c r="BE1370" s="5" t="str">
        <f aca="false">IF($B1370="","",--(AND(F1370&lt;&gt;"",F1370&lt;=8))+--(AND(G1370&lt;&gt;"",G1370&lt;=8))+--(AND(H1370&lt;&gt;"",H1370&lt;=8))+--(AND(I1370&lt;&gt;"",I1370&lt;=8))+--(AND(J1370&lt;&gt;"",J1370&lt;=8))+--(AND(K1370&lt;&gt;"",K1370&lt;=8))+--(AND(L1370&lt;&gt;"",L1370&lt;=8))+--(AND(M1370&lt;&gt;"",M1370&lt;=8))+--(AND(N1370&lt;&gt;"",N1370&lt;=8))+--(AND(O1370&lt;&gt;"",O1370&lt;=8)))</f>
        <v/>
      </c>
    </row>
    <row r="1371" customFormat="false" ht="15" hidden="false" customHeight="false" outlineLevel="0" collapsed="false">
      <c r="AZ1371" s="5" t="str">
        <f aca="false">IF($B1371="","",SUMPRODUCT(($AL1371:$AO1371&lt;&gt;"")*(COUNTIF($AP1371:$AX1371,$AL1371:$AO1371)&gt;0)))</f>
        <v/>
      </c>
      <c r="BA1371" s="5" t="str">
        <f aca="false">IF($B1371="","",IF(AZ1371&gt;0,1,0))</f>
        <v/>
      </c>
      <c r="BB1371" s="5" t="str">
        <f aca="false">IF($AP1371="","",IF((($AP1371="Engineering and Technology")+($AP1371="Science and Mathematics")+($AP1371="Computer Science, IT and Allied Fields")+($AP1371="Life Sciences /Medicine and Healthcare")+($AP1371="Paramedical")+($AP1371="Architecture")+($AP1371="Environmental Service")+($AP1371="Agriculture, Food Industry and Forestry"))&gt;0,"Science",IF((($AP1371="Banking and Finance")+($AP1371="Management and Administration")+($AP1371="Marketing")+($AP1371="Sales")+($AP1371="Entrepreneurship")+($AP1371="Hospitality and Tourism"))&gt;0,"Commerce",IF((($AP1371="Social Sciences and Humanities")+($AP1371="Law Studies")+($AP1371="Education and Training")+($AP1371="Art, Design")+($AP1371="Entertainment and Mass Media")+($AP1371="Community and Social Service")+($AP1371="Personal Care and Services")+($AP1371="Government and Public Administration")+($AP1371="Defence/ Protective Service")+($AP1371="Sports"))&gt;0,"Arts / Humanities",""))))</f>
        <v/>
      </c>
      <c r="BC1371" s="5" t="str">
        <f aca="false">IF($AL1371="","",IF((($AL1371="Engineering and Technology")+($AL1371="Science and Mathematics")+($AL1371="Computer Science, IT and Allied Fields")+($AL1371="Life Sciences /Medicine and Healthcare")+($AL1371="Paramedical")+($AL1371="Architecture")+($AL1371="Environmental Service")+($AL1371="Agriculture, Food Industry and Forestry"))&gt;0,"Science",IF((($AL1371="Banking and Finance")+($AL1371="Management and Administration")+($AL1371="Marketing")+($AL1371="Sales")+($AL1371="Entrepreneurship")+($AL1371="Hospitality and Tourism"))&gt;0,"Commerce",IF((($AL1371="Social Sciences and Humanities")+($AL1371="Law Studies")+($AL1371="Education and Training")+($AL1371="Art, Design")+($AL1371="Entertainment and Mass Media")+($AL1371="Community and Social Service")+($AL1371="Personal Care and Services")+($AL1371="Government and Public Administration")+($AL1371="Defence/ Protective Service")+($AL1371="Sports"))&gt;0,"Arts / Humanities",""))))</f>
        <v/>
      </c>
      <c r="BD1371" s="5" t="str">
        <f aca="false">IF($B1371="","",--(F1371&gt;=10)+--(G1371&gt;=10)+--(H1371&gt;=10)+--(I1371&gt;=10)+--(J1371&gt;=10)+--(K1371&gt;=10)+--(L1371&gt;=10)+--(M1371&gt;=10)+--(N1371&gt;=10)+--(O1371&gt;=10))</f>
        <v/>
      </c>
      <c r="BE1371" s="5" t="str">
        <f aca="false">IF($B1371="","",--(AND(F1371&lt;&gt;"",F1371&lt;=8))+--(AND(G1371&lt;&gt;"",G1371&lt;=8))+--(AND(H1371&lt;&gt;"",H1371&lt;=8))+--(AND(I1371&lt;&gt;"",I1371&lt;=8))+--(AND(J1371&lt;&gt;"",J1371&lt;=8))+--(AND(K1371&lt;&gt;"",K1371&lt;=8))+--(AND(L1371&lt;&gt;"",L1371&lt;=8))+--(AND(M1371&lt;&gt;"",M1371&lt;=8))+--(AND(N1371&lt;&gt;"",N1371&lt;=8))+--(AND(O1371&lt;&gt;"",O1371&lt;=8)))</f>
        <v/>
      </c>
    </row>
    <row r="1372" customFormat="false" ht="15" hidden="false" customHeight="false" outlineLevel="0" collapsed="false">
      <c r="AZ1372" s="5" t="str">
        <f aca="false">IF($B1372="","",SUMPRODUCT(($AL1372:$AO1372&lt;&gt;"")*(COUNTIF($AP1372:$AX1372,$AL1372:$AO1372)&gt;0)))</f>
        <v/>
      </c>
      <c r="BA1372" s="5" t="str">
        <f aca="false">IF($B1372="","",IF(AZ1372&gt;0,1,0))</f>
        <v/>
      </c>
      <c r="BB1372" s="5" t="str">
        <f aca="false">IF($AP1372="","",IF((($AP1372="Engineering and Technology")+($AP1372="Science and Mathematics")+($AP1372="Computer Science, IT and Allied Fields")+($AP1372="Life Sciences /Medicine and Healthcare")+($AP1372="Paramedical")+($AP1372="Architecture")+($AP1372="Environmental Service")+($AP1372="Agriculture, Food Industry and Forestry"))&gt;0,"Science",IF((($AP1372="Banking and Finance")+($AP1372="Management and Administration")+($AP1372="Marketing")+($AP1372="Sales")+($AP1372="Entrepreneurship")+($AP1372="Hospitality and Tourism"))&gt;0,"Commerce",IF((($AP1372="Social Sciences and Humanities")+($AP1372="Law Studies")+($AP1372="Education and Training")+($AP1372="Art, Design")+($AP1372="Entertainment and Mass Media")+($AP1372="Community and Social Service")+($AP1372="Personal Care and Services")+($AP1372="Government and Public Administration")+($AP1372="Defence/ Protective Service")+($AP1372="Sports"))&gt;0,"Arts / Humanities",""))))</f>
        <v/>
      </c>
      <c r="BC1372" s="5" t="str">
        <f aca="false">IF($AL1372="","",IF((($AL1372="Engineering and Technology")+($AL1372="Science and Mathematics")+($AL1372="Computer Science, IT and Allied Fields")+($AL1372="Life Sciences /Medicine and Healthcare")+($AL1372="Paramedical")+($AL1372="Architecture")+($AL1372="Environmental Service")+($AL1372="Agriculture, Food Industry and Forestry"))&gt;0,"Science",IF((($AL1372="Banking and Finance")+($AL1372="Management and Administration")+($AL1372="Marketing")+($AL1372="Sales")+($AL1372="Entrepreneurship")+($AL1372="Hospitality and Tourism"))&gt;0,"Commerce",IF((($AL1372="Social Sciences and Humanities")+($AL1372="Law Studies")+($AL1372="Education and Training")+($AL1372="Art, Design")+($AL1372="Entertainment and Mass Media")+($AL1372="Community and Social Service")+($AL1372="Personal Care and Services")+($AL1372="Government and Public Administration")+($AL1372="Defence/ Protective Service")+($AL1372="Sports"))&gt;0,"Arts / Humanities",""))))</f>
        <v/>
      </c>
      <c r="BD1372" s="5" t="str">
        <f aca="false">IF($B1372="","",--(F1372&gt;=10)+--(G1372&gt;=10)+--(H1372&gt;=10)+--(I1372&gt;=10)+--(J1372&gt;=10)+--(K1372&gt;=10)+--(L1372&gt;=10)+--(M1372&gt;=10)+--(N1372&gt;=10)+--(O1372&gt;=10))</f>
        <v/>
      </c>
      <c r="BE1372" s="5" t="str">
        <f aca="false">IF($B1372="","",--(AND(F1372&lt;&gt;"",F1372&lt;=8))+--(AND(G1372&lt;&gt;"",G1372&lt;=8))+--(AND(H1372&lt;&gt;"",H1372&lt;=8))+--(AND(I1372&lt;&gt;"",I1372&lt;=8))+--(AND(J1372&lt;&gt;"",J1372&lt;=8))+--(AND(K1372&lt;&gt;"",K1372&lt;=8))+--(AND(L1372&lt;&gt;"",L1372&lt;=8))+--(AND(M1372&lt;&gt;"",M1372&lt;=8))+--(AND(N1372&lt;&gt;"",N1372&lt;=8))+--(AND(O1372&lt;&gt;"",O1372&lt;=8)))</f>
        <v/>
      </c>
    </row>
    <row r="1373" customFormat="false" ht="15" hidden="false" customHeight="false" outlineLevel="0" collapsed="false">
      <c r="AZ1373" s="5" t="str">
        <f aca="false">IF($B1373="","",SUMPRODUCT(($AL1373:$AO1373&lt;&gt;"")*(COUNTIF($AP1373:$AX1373,$AL1373:$AO1373)&gt;0)))</f>
        <v/>
      </c>
      <c r="BA1373" s="5" t="str">
        <f aca="false">IF($B1373="","",IF(AZ1373&gt;0,1,0))</f>
        <v/>
      </c>
      <c r="BB1373" s="5" t="str">
        <f aca="false">IF($AP1373="","",IF((($AP1373="Engineering and Technology")+($AP1373="Science and Mathematics")+($AP1373="Computer Science, IT and Allied Fields")+($AP1373="Life Sciences /Medicine and Healthcare")+($AP1373="Paramedical")+($AP1373="Architecture")+($AP1373="Environmental Service")+($AP1373="Agriculture, Food Industry and Forestry"))&gt;0,"Science",IF((($AP1373="Banking and Finance")+($AP1373="Management and Administration")+($AP1373="Marketing")+($AP1373="Sales")+($AP1373="Entrepreneurship")+($AP1373="Hospitality and Tourism"))&gt;0,"Commerce",IF((($AP1373="Social Sciences and Humanities")+($AP1373="Law Studies")+($AP1373="Education and Training")+($AP1373="Art, Design")+($AP1373="Entertainment and Mass Media")+($AP1373="Community and Social Service")+($AP1373="Personal Care and Services")+($AP1373="Government and Public Administration")+($AP1373="Defence/ Protective Service")+($AP1373="Sports"))&gt;0,"Arts / Humanities",""))))</f>
        <v/>
      </c>
      <c r="BC1373" s="5" t="str">
        <f aca="false">IF($AL1373="","",IF((($AL1373="Engineering and Technology")+($AL1373="Science and Mathematics")+($AL1373="Computer Science, IT and Allied Fields")+($AL1373="Life Sciences /Medicine and Healthcare")+($AL1373="Paramedical")+($AL1373="Architecture")+($AL1373="Environmental Service")+($AL1373="Agriculture, Food Industry and Forestry"))&gt;0,"Science",IF((($AL1373="Banking and Finance")+($AL1373="Management and Administration")+($AL1373="Marketing")+($AL1373="Sales")+($AL1373="Entrepreneurship")+($AL1373="Hospitality and Tourism"))&gt;0,"Commerce",IF((($AL1373="Social Sciences and Humanities")+($AL1373="Law Studies")+($AL1373="Education and Training")+($AL1373="Art, Design")+($AL1373="Entertainment and Mass Media")+($AL1373="Community and Social Service")+($AL1373="Personal Care and Services")+($AL1373="Government and Public Administration")+($AL1373="Defence/ Protective Service")+($AL1373="Sports"))&gt;0,"Arts / Humanities",""))))</f>
        <v/>
      </c>
      <c r="BD1373" s="5" t="str">
        <f aca="false">IF($B1373="","",--(F1373&gt;=10)+--(G1373&gt;=10)+--(H1373&gt;=10)+--(I1373&gt;=10)+--(J1373&gt;=10)+--(K1373&gt;=10)+--(L1373&gt;=10)+--(M1373&gt;=10)+--(N1373&gt;=10)+--(O1373&gt;=10))</f>
        <v/>
      </c>
      <c r="BE1373" s="5" t="str">
        <f aca="false">IF($B1373="","",--(AND(F1373&lt;&gt;"",F1373&lt;=8))+--(AND(G1373&lt;&gt;"",G1373&lt;=8))+--(AND(H1373&lt;&gt;"",H1373&lt;=8))+--(AND(I1373&lt;&gt;"",I1373&lt;=8))+--(AND(J1373&lt;&gt;"",J1373&lt;=8))+--(AND(K1373&lt;&gt;"",K1373&lt;=8))+--(AND(L1373&lt;&gt;"",L1373&lt;=8))+--(AND(M1373&lt;&gt;"",M1373&lt;=8))+--(AND(N1373&lt;&gt;"",N1373&lt;=8))+--(AND(O1373&lt;&gt;"",O1373&lt;=8)))</f>
        <v/>
      </c>
    </row>
    <row r="1374" customFormat="false" ht="15" hidden="false" customHeight="false" outlineLevel="0" collapsed="false">
      <c r="AZ1374" s="5" t="str">
        <f aca="false">IF($B1374="","",SUMPRODUCT(($AL1374:$AO1374&lt;&gt;"")*(COUNTIF($AP1374:$AX1374,$AL1374:$AO1374)&gt;0)))</f>
        <v/>
      </c>
      <c r="BA1374" s="5" t="str">
        <f aca="false">IF($B1374="","",IF(AZ1374&gt;0,1,0))</f>
        <v/>
      </c>
      <c r="BB1374" s="5" t="str">
        <f aca="false">IF($AP1374="","",IF((($AP1374="Engineering and Technology")+($AP1374="Science and Mathematics")+($AP1374="Computer Science, IT and Allied Fields")+($AP1374="Life Sciences /Medicine and Healthcare")+($AP1374="Paramedical")+($AP1374="Architecture")+($AP1374="Environmental Service")+($AP1374="Agriculture, Food Industry and Forestry"))&gt;0,"Science",IF((($AP1374="Banking and Finance")+($AP1374="Management and Administration")+($AP1374="Marketing")+($AP1374="Sales")+($AP1374="Entrepreneurship")+($AP1374="Hospitality and Tourism"))&gt;0,"Commerce",IF((($AP1374="Social Sciences and Humanities")+($AP1374="Law Studies")+($AP1374="Education and Training")+($AP1374="Art, Design")+($AP1374="Entertainment and Mass Media")+($AP1374="Community and Social Service")+($AP1374="Personal Care and Services")+($AP1374="Government and Public Administration")+($AP1374="Defence/ Protective Service")+($AP1374="Sports"))&gt;0,"Arts / Humanities",""))))</f>
        <v/>
      </c>
      <c r="BC1374" s="5" t="str">
        <f aca="false">IF($AL1374="","",IF((($AL1374="Engineering and Technology")+($AL1374="Science and Mathematics")+($AL1374="Computer Science, IT and Allied Fields")+($AL1374="Life Sciences /Medicine and Healthcare")+($AL1374="Paramedical")+($AL1374="Architecture")+($AL1374="Environmental Service")+($AL1374="Agriculture, Food Industry and Forestry"))&gt;0,"Science",IF((($AL1374="Banking and Finance")+($AL1374="Management and Administration")+($AL1374="Marketing")+($AL1374="Sales")+($AL1374="Entrepreneurship")+($AL1374="Hospitality and Tourism"))&gt;0,"Commerce",IF((($AL1374="Social Sciences and Humanities")+($AL1374="Law Studies")+($AL1374="Education and Training")+($AL1374="Art, Design")+($AL1374="Entertainment and Mass Media")+($AL1374="Community and Social Service")+($AL1374="Personal Care and Services")+($AL1374="Government and Public Administration")+($AL1374="Defence/ Protective Service")+($AL1374="Sports"))&gt;0,"Arts / Humanities",""))))</f>
        <v/>
      </c>
      <c r="BD1374" s="5" t="str">
        <f aca="false">IF($B1374="","",--(F1374&gt;=10)+--(G1374&gt;=10)+--(H1374&gt;=10)+--(I1374&gt;=10)+--(J1374&gt;=10)+--(K1374&gt;=10)+--(L1374&gt;=10)+--(M1374&gt;=10)+--(N1374&gt;=10)+--(O1374&gt;=10))</f>
        <v/>
      </c>
      <c r="BE1374" s="5" t="str">
        <f aca="false">IF($B1374="","",--(AND(F1374&lt;&gt;"",F1374&lt;=8))+--(AND(G1374&lt;&gt;"",G1374&lt;=8))+--(AND(H1374&lt;&gt;"",H1374&lt;=8))+--(AND(I1374&lt;&gt;"",I1374&lt;=8))+--(AND(J1374&lt;&gt;"",J1374&lt;=8))+--(AND(K1374&lt;&gt;"",K1374&lt;=8))+--(AND(L1374&lt;&gt;"",L1374&lt;=8))+--(AND(M1374&lt;&gt;"",M1374&lt;=8))+--(AND(N1374&lt;&gt;"",N1374&lt;=8))+--(AND(O1374&lt;&gt;"",O1374&lt;=8)))</f>
        <v/>
      </c>
    </row>
    <row r="1375" customFormat="false" ht="15" hidden="false" customHeight="false" outlineLevel="0" collapsed="false">
      <c r="AZ1375" s="5" t="str">
        <f aca="false">IF($B1375="","",SUMPRODUCT(($AL1375:$AO1375&lt;&gt;"")*(COUNTIF($AP1375:$AX1375,$AL1375:$AO1375)&gt;0)))</f>
        <v/>
      </c>
      <c r="BA1375" s="5" t="str">
        <f aca="false">IF($B1375="","",IF(AZ1375&gt;0,1,0))</f>
        <v/>
      </c>
      <c r="BB1375" s="5" t="str">
        <f aca="false">IF($AP1375="","",IF((($AP1375="Engineering and Technology")+($AP1375="Science and Mathematics")+($AP1375="Computer Science, IT and Allied Fields")+($AP1375="Life Sciences /Medicine and Healthcare")+($AP1375="Paramedical")+($AP1375="Architecture")+($AP1375="Environmental Service")+($AP1375="Agriculture, Food Industry and Forestry"))&gt;0,"Science",IF((($AP1375="Banking and Finance")+($AP1375="Management and Administration")+($AP1375="Marketing")+($AP1375="Sales")+($AP1375="Entrepreneurship")+($AP1375="Hospitality and Tourism"))&gt;0,"Commerce",IF((($AP1375="Social Sciences and Humanities")+($AP1375="Law Studies")+($AP1375="Education and Training")+($AP1375="Art, Design")+($AP1375="Entertainment and Mass Media")+($AP1375="Community and Social Service")+($AP1375="Personal Care and Services")+($AP1375="Government and Public Administration")+($AP1375="Defence/ Protective Service")+($AP1375="Sports"))&gt;0,"Arts / Humanities",""))))</f>
        <v/>
      </c>
      <c r="BC1375" s="5" t="str">
        <f aca="false">IF($AL1375="","",IF((($AL1375="Engineering and Technology")+($AL1375="Science and Mathematics")+($AL1375="Computer Science, IT and Allied Fields")+($AL1375="Life Sciences /Medicine and Healthcare")+($AL1375="Paramedical")+($AL1375="Architecture")+($AL1375="Environmental Service")+($AL1375="Agriculture, Food Industry and Forestry"))&gt;0,"Science",IF((($AL1375="Banking and Finance")+($AL1375="Management and Administration")+($AL1375="Marketing")+($AL1375="Sales")+($AL1375="Entrepreneurship")+($AL1375="Hospitality and Tourism"))&gt;0,"Commerce",IF((($AL1375="Social Sciences and Humanities")+($AL1375="Law Studies")+($AL1375="Education and Training")+($AL1375="Art, Design")+($AL1375="Entertainment and Mass Media")+($AL1375="Community and Social Service")+($AL1375="Personal Care and Services")+($AL1375="Government and Public Administration")+($AL1375="Defence/ Protective Service")+($AL1375="Sports"))&gt;0,"Arts / Humanities",""))))</f>
        <v/>
      </c>
      <c r="BD1375" s="5" t="str">
        <f aca="false">IF($B1375="","",--(F1375&gt;=10)+--(G1375&gt;=10)+--(H1375&gt;=10)+--(I1375&gt;=10)+--(J1375&gt;=10)+--(K1375&gt;=10)+--(L1375&gt;=10)+--(M1375&gt;=10)+--(N1375&gt;=10)+--(O1375&gt;=10))</f>
        <v/>
      </c>
      <c r="BE1375" s="5" t="str">
        <f aca="false">IF($B1375="","",--(AND(F1375&lt;&gt;"",F1375&lt;=8))+--(AND(G1375&lt;&gt;"",G1375&lt;=8))+--(AND(H1375&lt;&gt;"",H1375&lt;=8))+--(AND(I1375&lt;&gt;"",I1375&lt;=8))+--(AND(J1375&lt;&gt;"",J1375&lt;=8))+--(AND(K1375&lt;&gt;"",K1375&lt;=8))+--(AND(L1375&lt;&gt;"",L1375&lt;=8))+--(AND(M1375&lt;&gt;"",M1375&lt;=8))+--(AND(N1375&lt;&gt;"",N1375&lt;=8))+--(AND(O1375&lt;&gt;"",O1375&lt;=8)))</f>
        <v/>
      </c>
    </row>
    <row r="1376" customFormat="false" ht="15" hidden="false" customHeight="false" outlineLevel="0" collapsed="false">
      <c r="AZ1376" s="5" t="str">
        <f aca="false">IF($B1376="","",SUMPRODUCT(($AL1376:$AO1376&lt;&gt;"")*(COUNTIF($AP1376:$AX1376,$AL1376:$AO1376)&gt;0)))</f>
        <v/>
      </c>
      <c r="BA1376" s="5" t="str">
        <f aca="false">IF($B1376="","",IF(AZ1376&gt;0,1,0))</f>
        <v/>
      </c>
      <c r="BB1376" s="5" t="str">
        <f aca="false">IF($AP1376="","",IF((($AP1376="Engineering and Technology")+($AP1376="Science and Mathematics")+($AP1376="Computer Science, IT and Allied Fields")+($AP1376="Life Sciences /Medicine and Healthcare")+($AP1376="Paramedical")+($AP1376="Architecture")+($AP1376="Environmental Service")+($AP1376="Agriculture, Food Industry and Forestry"))&gt;0,"Science",IF((($AP1376="Banking and Finance")+($AP1376="Management and Administration")+($AP1376="Marketing")+($AP1376="Sales")+($AP1376="Entrepreneurship")+($AP1376="Hospitality and Tourism"))&gt;0,"Commerce",IF((($AP1376="Social Sciences and Humanities")+($AP1376="Law Studies")+($AP1376="Education and Training")+($AP1376="Art, Design")+($AP1376="Entertainment and Mass Media")+($AP1376="Community and Social Service")+($AP1376="Personal Care and Services")+($AP1376="Government and Public Administration")+($AP1376="Defence/ Protective Service")+($AP1376="Sports"))&gt;0,"Arts / Humanities",""))))</f>
        <v/>
      </c>
      <c r="BC1376" s="5" t="str">
        <f aca="false">IF($AL1376="","",IF((($AL1376="Engineering and Technology")+($AL1376="Science and Mathematics")+($AL1376="Computer Science, IT and Allied Fields")+($AL1376="Life Sciences /Medicine and Healthcare")+($AL1376="Paramedical")+($AL1376="Architecture")+($AL1376="Environmental Service")+($AL1376="Agriculture, Food Industry and Forestry"))&gt;0,"Science",IF((($AL1376="Banking and Finance")+($AL1376="Management and Administration")+($AL1376="Marketing")+($AL1376="Sales")+($AL1376="Entrepreneurship")+($AL1376="Hospitality and Tourism"))&gt;0,"Commerce",IF((($AL1376="Social Sciences and Humanities")+($AL1376="Law Studies")+($AL1376="Education and Training")+($AL1376="Art, Design")+($AL1376="Entertainment and Mass Media")+($AL1376="Community and Social Service")+($AL1376="Personal Care and Services")+($AL1376="Government and Public Administration")+($AL1376="Defence/ Protective Service")+($AL1376="Sports"))&gt;0,"Arts / Humanities",""))))</f>
        <v/>
      </c>
      <c r="BD1376" s="5" t="str">
        <f aca="false">IF($B1376="","",--(F1376&gt;=10)+--(G1376&gt;=10)+--(H1376&gt;=10)+--(I1376&gt;=10)+--(J1376&gt;=10)+--(K1376&gt;=10)+--(L1376&gt;=10)+--(M1376&gt;=10)+--(N1376&gt;=10)+--(O1376&gt;=10))</f>
        <v/>
      </c>
      <c r="BE1376" s="5" t="str">
        <f aca="false">IF($B1376="","",--(AND(F1376&lt;&gt;"",F1376&lt;=8))+--(AND(G1376&lt;&gt;"",G1376&lt;=8))+--(AND(H1376&lt;&gt;"",H1376&lt;=8))+--(AND(I1376&lt;&gt;"",I1376&lt;=8))+--(AND(J1376&lt;&gt;"",J1376&lt;=8))+--(AND(K1376&lt;&gt;"",K1376&lt;=8))+--(AND(L1376&lt;&gt;"",L1376&lt;=8))+--(AND(M1376&lt;&gt;"",M1376&lt;=8))+--(AND(N1376&lt;&gt;"",N1376&lt;=8))+--(AND(O1376&lt;&gt;"",O1376&lt;=8)))</f>
        <v/>
      </c>
    </row>
    <row r="1377" customFormat="false" ht="15" hidden="false" customHeight="false" outlineLevel="0" collapsed="false">
      <c r="AZ1377" s="5" t="str">
        <f aca="false">IF($B1377="","",SUMPRODUCT(($AL1377:$AO1377&lt;&gt;"")*(COUNTIF($AP1377:$AX1377,$AL1377:$AO1377)&gt;0)))</f>
        <v/>
      </c>
      <c r="BA1377" s="5" t="str">
        <f aca="false">IF($B1377="","",IF(AZ1377&gt;0,1,0))</f>
        <v/>
      </c>
      <c r="BB1377" s="5" t="str">
        <f aca="false">IF($AP1377="","",IF((($AP1377="Engineering and Technology")+($AP1377="Science and Mathematics")+($AP1377="Computer Science, IT and Allied Fields")+($AP1377="Life Sciences /Medicine and Healthcare")+($AP1377="Paramedical")+($AP1377="Architecture")+($AP1377="Environmental Service")+($AP1377="Agriculture, Food Industry and Forestry"))&gt;0,"Science",IF((($AP1377="Banking and Finance")+($AP1377="Management and Administration")+($AP1377="Marketing")+($AP1377="Sales")+($AP1377="Entrepreneurship")+($AP1377="Hospitality and Tourism"))&gt;0,"Commerce",IF((($AP1377="Social Sciences and Humanities")+($AP1377="Law Studies")+($AP1377="Education and Training")+($AP1377="Art, Design")+($AP1377="Entertainment and Mass Media")+($AP1377="Community and Social Service")+($AP1377="Personal Care and Services")+($AP1377="Government and Public Administration")+($AP1377="Defence/ Protective Service")+($AP1377="Sports"))&gt;0,"Arts / Humanities",""))))</f>
        <v/>
      </c>
      <c r="BC1377" s="5" t="str">
        <f aca="false">IF($AL1377="","",IF((($AL1377="Engineering and Technology")+($AL1377="Science and Mathematics")+($AL1377="Computer Science, IT and Allied Fields")+($AL1377="Life Sciences /Medicine and Healthcare")+($AL1377="Paramedical")+($AL1377="Architecture")+($AL1377="Environmental Service")+($AL1377="Agriculture, Food Industry and Forestry"))&gt;0,"Science",IF((($AL1377="Banking and Finance")+($AL1377="Management and Administration")+($AL1377="Marketing")+($AL1377="Sales")+($AL1377="Entrepreneurship")+($AL1377="Hospitality and Tourism"))&gt;0,"Commerce",IF((($AL1377="Social Sciences and Humanities")+($AL1377="Law Studies")+($AL1377="Education and Training")+($AL1377="Art, Design")+($AL1377="Entertainment and Mass Media")+($AL1377="Community and Social Service")+($AL1377="Personal Care and Services")+($AL1377="Government and Public Administration")+($AL1377="Defence/ Protective Service")+($AL1377="Sports"))&gt;0,"Arts / Humanities",""))))</f>
        <v/>
      </c>
      <c r="BD1377" s="5" t="str">
        <f aca="false">IF($B1377="","",--(F1377&gt;=10)+--(G1377&gt;=10)+--(H1377&gt;=10)+--(I1377&gt;=10)+--(J1377&gt;=10)+--(K1377&gt;=10)+--(L1377&gt;=10)+--(M1377&gt;=10)+--(N1377&gt;=10)+--(O1377&gt;=10))</f>
        <v/>
      </c>
      <c r="BE1377" s="5" t="str">
        <f aca="false">IF($B1377="","",--(AND(F1377&lt;&gt;"",F1377&lt;=8))+--(AND(G1377&lt;&gt;"",G1377&lt;=8))+--(AND(H1377&lt;&gt;"",H1377&lt;=8))+--(AND(I1377&lt;&gt;"",I1377&lt;=8))+--(AND(J1377&lt;&gt;"",J1377&lt;=8))+--(AND(K1377&lt;&gt;"",K1377&lt;=8))+--(AND(L1377&lt;&gt;"",L1377&lt;=8))+--(AND(M1377&lt;&gt;"",M1377&lt;=8))+--(AND(N1377&lt;&gt;"",N1377&lt;=8))+--(AND(O1377&lt;&gt;"",O1377&lt;=8)))</f>
        <v/>
      </c>
    </row>
    <row r="1378" customFormat="false" ht="15" hidden="false" customHeight="false" outlineLevel="0" collapsed="false">
      <c r="AZ1378" s="5" t="str">
        <f aca="false">IF($B1378="","",SUMPRODUCT(($AL1378:$AO1378&lt;&gt;"")*(COUNTIF($AP1378:$AX1378,$AL1378:$AO1378)&gt;0)))</f>
        <v/>
      </c>
      <c r="BA1378" s="5" t="str">
        <f aca="false">IF($B1378="","",IF(AZ1378&gt;0,1,0))</f>
        <v/>
      </c>
      <c r="BB1378" s="5" t="str">
        <f aca="false">IF($AP1378="","",IF((($AP1378="Engineering and Technology")+($AP1378="Science and Mathematics")+($AP1378="Computer Science, IT and Allied Fields")+($AP1378="Life Sciences /Medicine and Healthcare")+($AP1378="Paramedical")+($AP1378="Architecture")+($AP1378="Environmental Service")+($AP1378="Agriculture, Food Industry and Forestry"))&gt;0,"Science",IF((($AP1378="Banking and Finance")+($AP1378="Management and Administration")+($AP1378="Marketing")+($AP1378="Sales")+($AP1378="Entrepreneurship")+($AP1378="Hospitality and Tourism"))&gt;0,"Commerce",IF((($AP1378="Social Sciences and Humanities")+($AP1378="Law Studies")+($AP1378="Education and Training")+($AP1378="Art, Design")+($AP1378="Entertainment and Mass Media")+($AP1378="Community and Social Service")+($AP1378="Personal Care and Services")+($AP1378="Government and Public Administration")+($AP1378="Defence/ Protective Service")+($AP1378="Sports"))&gt;0,"Arts / Humanities",""))))</f>
        <v/>
      </c>
      <c r="BC1378" s="5" t="str">
        <f aca="false">IF($AL1378="","",IF((($AL1378="Engineering and Technology")+($AL1378="Science and Mathematics")+($AL1378="Computer Science, IT and Allied Fields")+($AL1378="Life Sciences /Medicine and Healthcare")+($AL1378="Paramedical")+($AL1378="Architecture")+($AL1378="Environmental Service")+($AL1378="Agriculture, Food Industry and Forestry"))&gt;0,"Science",IF((($AL1378="Banking and Finance")+($AL1378="Management and Administration")+($AL1378="Marketing")+($AL1378="Sales")+($AL1378="Entrepreneurship")+($AL1378="Hospitality and Tourism"))&gt;0,"Commerce",IF((($AL1378="Social Sciences and Humanities")+($AL1378="Law Studies")+($AL1378="Education and Training")+($AL1378="Art, Design")+($AL1378="Entertainment and Mass Media")+($AL1378="Community and Social Service")+($AL1378="Personal Care and Services")+($AL1378="Government and Public Administration")+($AL1378="Defence/ Protective Service")+($AL1378="Sports"))&gt;0,"Arts / Humanities",""))))</f>
        <v/>
      </c>
      <c r="BD1378" s="5" t="str">
        <f aca="false">IF($B1378="","",--(F1378&gt;=10)+--(G1378&gt;=10)+--(H1378&gt;=10)+--(I1378&gt;=10)+--(J1378&gt;=10)+--(K1378&gt;=10)+--(L1378&gt;=10)+--(M1378&gt;=10)+--(N1378&gt;=10)+--(O1378&gt;=10))</f>
        <v/>
      </c>
      <c r="BE1378" s="5" t="str">
        <f aca="false">IF($B1378="","",--(AND(F1378&lt;&gt;"",F1378&lt;=8))+--(AND(G1378&lt;&gt;"",G1378&lt;=8))+--(AND(H1378&lt;&gt;"",H1378&lt;=8))+--(AND(I1378&lt;&gt;"",I1378&lt;=8))+--(AND(J1378&lt;&gt;"",J1378&lt;=8))+--(AND(K1378&lt;&gt;"",K1378&lt;=8))+--(AND(L1378&lt;&gt;"",L1378&lt;=8))+--(AND(M1378&lt;&gt;"",M1378&lt;=8))+--(AND(N1378&lt;&gt;"",N1378&lt;=8))+--(AND(O1378&lt;&gt;"",O1378&lt;=8)))</f>
        <v/>
      </c>
    </row>
    <row r="1379" customFormat="false" ht="15" hidden="false" customHeight="false" outlineLevel="0" collapsed="false">
      <c r="AZ1379" s="5" t="str">
        <f aca="false">IF($B1379="","",SUMPRODUCT(($AL1379:$AO1379&lt;&gt;"")*(COUNTIF($AP1379:$AX1379,$AL1379:$AO1379)&gt;0)))</f>
        <v/>
      </c>
      <c r="BA1379" s="5" t="str">
        <f aca="false">IF($B1379="","",IF(AZ1379&gt;0,1,0))</f>
        <v/>
      </c>
      <c r="BB1379" s="5" t="str">
        <f aca="false">IF($AP1379="","",IF((($AP1379="Engineering and Technology")+($AP1379="Science and Mathematics")+($AP1379="Computer Science, IT and Allied Fields")+($AP1379="Life Sciences /Medicine and Healthcare")+($AP1379="Paramedical")+($AP1379="Architecture")+($AP1379="Environmental Service")+($AP1379="Agriculture, Food Industry and Forestry"))&gt;0,"Science",IF((($AP1379="Banking and Finance")+($AP1379="Management and Administration")+($AP1379="Marketing")+($AP1379="Sales")+($AP1379="Entrepreneurship")+($AP1379="Hospitality and Tourism"))&gt;0,"Commerce",IF((($AP1379="Social Sciences and Humanities")+($AP1379="Law Studies")+($AP1379="Education and Training")+($AP1379="Art, Design")+($AP1379="Entertainment and Mass Media")+($AP1379="Community and Social Service")+($AP1379="Personal Care and Services")+($AP1379="Government and Public Administration")+($AP1379="Defence/ Protective Service")+($AP1379="Sports"))&gt;0,"Arts / Humanities",""))))</f>
        <v/>
      </c>
      <c r="BC1379" s="5" t="str">
        <f aca="false">IF($AL1379="","",IF((($AL1379="Engineering and Technology")+($AL1379="Science and Mathematics")+($AL1379="Computer Science, IT and Allied Fields")+($AL1379="Life Sciences /Medicine and Healthcare")+($AL1379="Paramedical")+($AL1379="Architecture")+($AL1379="Environmental Service")+($AL1379="Agriculture, Food Industry and Forestry"))&gt;0,"Science",IF((($AL1379="Banking and Finance")+($AL1379="Management and Administration")+($AL1379="Marketing")+($AL1379="Sales")+($AL1379="Entrepreneurship")+($AL1379="Hospitality and Tourism"))&gt;0,"Commerce",IF((($AL1379="Social Sciences and Humanities")+($AL1379="Law Studies")+($AL1379="Education and Training")+($AL1379="Art, Design")+($AL1379="Entertainment and Mass Media")+($AL1379="Community and Social Service")+($AL1379="Personal Care and Services")+($AL1379="Government and Public Administration")+($AL1379="Defence/ Protective Service")+($AL1379="Sports"))&gt;0,"Arts / Humanities",""))))</f>
        <v/>
      </c>
      <c r="BD1379" s="5" t="str">
        <f aca="false">IF($B1379="","",--(F1379&gt;=10)+--(G1379&gt;=10)+--(H1379&gt;=10)+--(I1379&gt;=10)+--(J1379&gt;=10)+--(K1379&gt;=10)+--(L1379&gt;=10)+--(M1379&gt;=10)+--(N1379&gt;=10)+--(O1379&gt;=10))</f>
        <v/>
      </c>
      <c r="BE1379" s="5" t="str">
        <f aca="false">IF($B1379="","",--(AND(F1379&lt;&gt;"",F1379&lt;=8))+--(AND(G1379&lt;&gt;"",G1379&lt;=8))+--(AND(H1379&lt;&gt;"",H1379&lt;=8))+--(AND(I1379&lt;&gt;"",I1379&lt;=8))+--(AND(J1379&lt;&gt;"",J1379&lt;=8))+--(AND(K1379&lt;&gt;"",K1379&lt;=8))+--(AND(L1379&lt;&gt;"",L1379&lt;=8))+--(AND(M1379&lt;&gt;"",M1379&lt;=8))+--(AND(N1379&lt;&gt;"",N1379&lt;=8))+--(AND(O1379&lt;&gt;"",O1379&lt;=8)))</f>
        <v/>
      </c>
    </row>
    <row r="1380" customFormat="false" ht="15" hidden="false" customHeight="false" outlineLevel="0" collapsed="false">
      <c r="AZ1380" s="5" t="str">
        <f aca="false">IF($B1380="","",SUMPRODUCT(($AL1380:$AO1380&lt;&gt;"")*(COUNTIF($AP1380:$AX1380,$AL1380:$AO1380)&gt;0)))</f>
        <v/>
      </c>
      <c r="BA1380" s="5" t="str">
        <f aca="false">IF($B1380="","",IF(AZ1380&gt;0,1,0))</f>
        <v/>
      </c>
      <c r="BB1380" s="5" t="str">
        <f aca="false">IF($AP1380="","",IF((($AP1380="Engineering and Technology")+($AP1380="Science and Mathematics")+($AP1380="Computer Science, IT and Allied Fields")+($AP1380="Life Sciences /Medicine and Healthcare")+($AP1380="Paramedical")+($AP1380="Architecture")+($AP1380="Environmental Service")+($AP1380="Agriculture, Food Industry and Forestry"))&gt;0,"Science",IF((($AP1380="Banking and Finance")+($AP1380="Management and Administration")+($AP1380="Marketing")+($AP1380="Sales")+($AP1380="Entrepreneurship")+($AP1380="Hospitality and Tourism"))&gt;0,"Commerce",IF((($AP1380="Social Sciences and Humanities")+($AP1380="Law Studies")+($AP1380="Education and Training")+($AP1380="Art, Design")+($AP1380="Entertainment and Mass Media")+($AP1380="Community and Social Service")+($AP1380="Personal Care and Services")+($AP1380="Government and Public Administration")+($AP1380="Defence/ Protective Service")+($AP1380="Sports"))&gt;0,"Arts / Humanities",""))))</f>
        <v/>
      </c>
      <c r="BC1380" s="5" t="str">
        <f aca="false">IF($AL1380="","",IF((($AL1380="Engineering and Technology")+($AL1380="Science and Mathematics")+($AL1380="Computer Science, IT and Allied Fields")+($AL1380="Life Sciences /Medicine and Healthcare")+($AL1380="Paramedical")+($AL1380="Architecture")+($AL1380="Environmental Service")+($AL1380="Agriculture, Food Industry and Forestry"))&gt;0,"Science",IF((($AL1380="Banking and Finance")+($AL1380="Management and Administration")+($AL1380="Marketing")+($AL1380="Sales")+($AL1380="Entrepreneurship")+($AL1380="Hospitality and Tourism"))&gt;0,"Commerce",IF((($AL1380="Social Sciences and Humanities")+($AL1380="Law Studies")+($AL1380="Education and Training")+($AL1380="Art, Design")+($AL1380="Entertainment and Mass Media")+($AL1380="Community and Social Service")+($AL1380="Personal Care and Services")+($AL1380="Government and Public Administration")+($AL1380="Defence/ Protective Service")+($AL1380="Sports"))&gt;0,"Arts / Humanities",""))))</f>
        <v/>
      </c>
      <c r="BD1380" s="5" t="str">
        <f aca="false">IF($B1380="","",--(F1380&gt;=10)+--(G1380&gt;=10)+--(H1380&gt;=10)+--(I1380&gt;=10)+--(J1380&gt;=10)+--(K1380&gt;=10)+--(L1380&gt;=10)+--(M1380&gt;=10)+--(N1380&gt;=10)+--(O1380&gt;=10))</f>
        <v/>
      </c>
      <c r="BE1380" s="5" t="str">
        <f aca="false">IF($B1380="","",--(AND(F1380&lt;&gt;"",F1380&lt;=8))+--(AND(G1380&lt;&gt;"",G1380&lt;=8))+--(AND(H1380&lt;&gt;"",H1380&lt;=8))+--(AND(I1380&lt;&gt;"",I1380&lt;=8))+--(AND(J1380&lt;&gt;"",J1380&lt;=8))+--(AND(K1380&lt;&gt;"",K1380&lt;=8))+--(AND(L1380&lt;&gt;"",L1380&lt;=8))+--(AND(M1380&lt;&gt;"",M1380&lt;=8))+--(AND(N1380&lt;&gt;"",N1380&lt;=8))+--(AND(O1380&lt;&gt;"",O1380&lt;=8)))</f>
        <v/>
      </c>
    </row>
    <row r="1381" customFormat="false" ht="15" hidden="false" customHeight="false" outlineLevel="0" collapsed="false">
      <c r="AZ1381" s="5" t="str">
        <f aca="false">IF($B1381="","",SUMPRODUCT(($AL1381:$AO1381&lt;&gt;"")*(COUNTIF($AP1381:$AX1381,$AL1381:$AO1381)&gt;0)))</f>
        <v/>
      </c>
      <c r="BA1381" s="5" t="str">
        <f aca="false">IF($B1381="","",IF(AZ1381&gt;0,1,0))</f>
        <v/>
      </c>
      <c r="BB1381" s="5" t="str">
        <f aca="false">IF($AP1381="","",IF((($AP1381="Engineering and Technology")+($AP1381="Science and Mathematics")+($AP1381="Computer Science, IT and Allied Fields")+($AP1381="Life Sciences /Medicine and Healthcare")+($AP1381="Paramedical")+($AP1381="Architecture")+($AP1381="Environmental Service")+($AP1381="Agriculture, Food Industry and Forestry"))&gt;0,"Science",IF((($AP1381="Banking and Finance")+($AP1381="Management and Administration")+($AP1381="Marketing")+($AP1381="Sales")+($AP1381="Entrepreneurship")+($AP1381="Hospitality and Tourism"))&gt;0,"Commerce",IF((($AP1381="Social Sciences and Humanities")+($AP1381="Law Studies")+($AP1381="Education and Training")+($AP1381="Art, Design")+($AP1381="Entertainment and Mass Media")+($AP1381="Community and Social Service")+($AP1381="Personal Care and Services")+($AP1381="Government and Public Administration")+($AP1381="Defence/ Protective Service")+($AP1381="Sports"))&gt;0,"Arts / Humanities",""))))</f>
        <v/>
      </c>
      <c r="BC1381" s="5" t="str">
        <f aca="false">IF($AL1381="","",IF((($AL1381="Engineering and Technology")+($AL1381="Science and Mathematics")+($AL1381="Computer Science, IT and Allied Fields")+($AL1381="Life Sciences /Medicine and Healthcare")+($AL1381="Paramedical")+($AL1381="Architecture")+($AL1381="Environmental Service")+($AL1381="Agriculture, Food Industry and Forestry"))&gt;0,"Science",IF((($AL1381="Banking and Finance")+($AL1381="Management and Administration")+($AL1381="Marketing")+($AL1381="Sales")+($AL1381="Entrepreneurship")+($AL1381="Hospitality and Tourism"))&gt;0,"Commerce",IF((($AL1381="Social Sciences and Humanities")+($AL1381="Law Studies")+($AL1381="Education and Training")+($AL1381="Art, Design")+($AL1381="Entertainment and Mass Media")+($AL1381="Community and Social Service")+($AL1381="Personal Care and Services")+($AL1381="Government and Public Administration")+($AL1381="Defence/ Protective Service")+($AL1381="Sports"))&gt;0,"Arts / Humanities",""))))</f>
        <v/>
      </c>
      <c r="BD1381" s="5" t="str">
        <f aca="false">IF($B1381="","",--(F1381&gt;=10)+--(G1381&gt;=10)+--(H1381&gt;=10)+--(I1381&gt;=10)+--(J1381&gt;=10)+--(K1381&gt;=10)+--(L1381&gt;=10)+--(M1381&gt;=10)+--(N1381&gt;=10)+--(O1381&gt;=10))</f>
        <v/>
      </c>
      <c r="BE1381" s="5" t="str">
        <f aca="false">IF($B1381="","",--(AND(F1381&lt;&gt;"",F1381&lt;=8))+--(AND(G1381&lt;&gt;"",G1381&lt;=8))+--(AND(H1381&lt;&gt;"",H1381&lt;=8))+--(AND(I1381&lt;&gt;"",I1381&lt;=8))+--(AND(J1381&lt;&gt;"",J1381&lt;=8))+--(AND(K1381&lt;&gt;"",K1381&lt;=8))+--(AND(L1381&lt;&gt;"",L1381&lt;=8))+--(AND(M1381&lt;&gt;"",M1381&lt;=8))+--(AND(N1381&lt;&gt;"",N1381&lt;=8))+--(AND(O1381&lt;&gt;"",O1381&lt;=8)))</f>
        <v/>
      </c>
    </row>
    <row r="1382" customFormat="false" ht="15" hidden="false" customHeight="false" outlineLevel="0" collapsed="false">
      <c r="AZ1382" s="5" t="str">
        <f aca="false">IF($B1382="","",SUMPRODUCT(($AL1382:$AO1382&lt;&gt;"")*(COUNTIF($AP1382:$AX1382,$AL1382:$AO1382)&gt;0)))</f>
        <v/>
      </c>
      <c r="BA1382" s="5" t="str">
        <f aca="false">IF($B1382="","",IF(AZ1382&gt;0,1,0))</f>
        <v/>
      </c>
      <c r="BB1382" s="5" t="str">
        <f aca="false">IF($AP1382="","",IF((($AP1382="Engineering and Technology")+($AP1382="Science and Mathematics")+($AP1382="Computer Science, IT and Allied Fields")+($AP1382="Life Sciences /Medicine and Healthcare")+($AP1382="Paramedical")+($AP1382="Architecture")+($AP1382="Environmental Service")+($AP1382="Agriculture, Food Industry and Forestry"))&gt;0,"Science",IF((($AP1382="Banking and Finance")+($AP1382="Management and Administration")+($AP1382="Marketing")+($AP1382="Sales")+($AP1382="Entrepreneurship")+($AP1382="Hospitality and Tourism"))&gt;0,"Commerce",IF((($AP1382="Social Sciences and Humanities")+($AP1382="Law Studies")+($AP1382="Education and Training")+($AP1382="Art, Design")+($AP1382="Entertainment and Mass Media")+($AP1382="Community and Social Service")+($AP1382="Personal Care and Services")+($AP1382="Government and Public Administration")+($AP1382="Defence/ Protective Service")+($AP1382="Sports"))&gt;0,"Arts / Humanities",""))))</f>
        <v/>
      </c>
      <c r="BC1382" s="5" t="str">
        <f aca="false">IF($AL1382="","",IF((($AL1382="Engineering and Technology")+($AL1382="Science and Mathematics")+($AL1382="Computer Science, IT and Allied Fields")+($AL1382="Life Sciences /Medicine and Healthcare")+($AL1382="Paramedical")+($AL1382="Architecture")+($AL1382="Environmental Service")+($AL1382="Agriculture, Food Industry and Forestry"))&gt;0,"Science",IF((($AL1382="Banking and Finance")+($AL1382="Management and Administration")+($AL1382="Marketing")+($AL1382="Sales")+($AL1382="Entrepreneurship")+($AL1382="Hospitality and Tourism"))&gt;0,"Commerce",IF((($AL1382="Social Sciences and Humanities")+($AL1382="Law Studies")+($AL1382="Education and Training")+($AL1382="Art, Design")+($AL1382="Entertainment and Mass Media")+($AL1382="Community and Social Service")+($AL1382="Personal Care and Services")+($AL1382="Government and Public Administration")+($AL1382="Defence/ Protective Service")+($AL1382="Sports"))&gt;0,"Arts / Humanities",""))))</f>
        <v/>
      </c>
      <c r="BD1382" s="5" t="str">
        <f aca="false">IF($B1382="","",--(F1382&gt;=10)+--(G1382&gt;=10)+--(H1382&gt;=10)+--(I1382&gt;=10)+--(J1382&gt;=10)+--(K1382&gt;=10)+--(L1382&gt;=10)+--(M1382&gt;=10)+--(N1382&gt;=10)+--(O1382&gt;=10))</f>
        <v/>
      </c>
      <c r="BE1382" s="5" t="str">
        <f aca="false">IF($B1382="","",--(AND(F1382&lt;&gt;"",F1382&lt;=8))+--(AND(G1382&lt;&gt;"",G1382&lt;=8))+--(AND(H1382&lt;&gt;"",H1382&lt;=8))+--(AND(I1382&lt;&gt;"",I1382&lt;=8))+--(AND(J1382&lt;&gt;"",J1382&lt;=8))+--(AND(K1382&lt;&gt;"",K1382&lt;=8))+--(AND(L1382&lt;&gt;"",L1382&lt;=8))+--(AND(M1382&lt;&gt;"",M1382&lt;=8))+--(AND(N1382&lt;&gt;"",N1382&lt;=8))+--(AND(O1382&lt;&gt;"",O1382&lt;=8)))</f>
        <v/>
      </c>
    </row>
    <row r="1383" customFormat="false" ht="15" hidden="false" customHeight="false" outlineLevel="0" collapsed="false">
      <c r="AZ1383" s="5" t="str">
        <f aca="false">IF($B1383="","",SUMPRODUCT(($AL1383:$AO1383&lt;&gt;"")*(COUNTIF($AP1383:$AX1383,$AL1383:$AO1383)&gt;0)))</f>
        <v/>
      </c>
      <c r="BA1383" s="5" t="str">
        <f aca="false">IF($B1383="","",IF(AZ1383&gt;0,1,0))</f>
        <v/>
      </c>
      <c r="BB1383" s="5" t="str">
        <f aca="false">IF($AP1383="","",IF((($AP1383="Engineering and Technology")+($AP1383="Science and Mathematics")+($AP1383="Computer Science, IT and Allied Fields")+($AP1383="Life Sciences /Medicine and Healthcare")+($AP1383="Paramedical")+($AP1383="Architecture")+($AP1383="Environmental Service")+($AP1383="Agriculture, Food Industry and Forestry"))&gt;0,"Science",IF((($AP1383="Banking and Finance")+($AP1383="Management and Administration")+($AP1383="Marketing")+($AP1383="Sales")+($AP1383="Entrepreneurship")+($AP1383="Hospitality and Tourism"))&gt;0,"Commerce",IF((($AP1383="Social Sciences and Humanities")+($AP1383="Law Studies")+($AP1383="Education and Training")+($AP1383="Art, Design")+($AP1383="Entertainment and Mass Media")+($AP1383="Community and Social Service")+($AP1383="Personal Care and Services")+($AP1383="Government and Public Administration")+($AP1383="Defence/ Protective Service")+($AP1383="Sports"))&gt;0,"Arts / Humanities",""))))</f>
        <v/>
      </c>
      <c r="BC1383" s="5" t="str">
        <f aca="false">IF($AL1383="","",IF((($AL1383="Engineering and Technology")+($AL1383="Science and Mathematics")+($AL1383="Computer Science, IT and Allied Fields")+($AL1383="Life Sciences /Medicine and Healthcare")+($AL1383="Paramedical")+($AL1383="Architecture")+($AL1383="Environmental Service")+($AL1383="Agriculture, Food Industry and Forestry"))&gt;0,"Science",IF((($AL1383="Banking and Finance")+($AL1383="Management and Administration")+($AL1383="Marketing")+($AL1383="Sales")+($AL1383="Entrepreneurship")+($AL1383="Hospitality and Tourism"))&gt;0,"Commerce",IF((($AL1383="Social Sciences and Humanities")+($AL1383="Law Studies")+($AL1383="Education and Training")+($AL1383="Art, Design")+($AL1383="Entertainment and Mass Media")+($AL1383="Community and Social Service")+($AL1383="Personal Care and Services")+($AL1383="Government and Public Administration")+($AL1383="Defence/ Protective Service")+($AL1383="Sports"))&gt;0,"Arts / Humanities",""))))</f>
        <v/>
      </c>
      <c r="BD1383" s="5" t="str">
        <f aca="false">IF($B1383="","",--(F1383&gt;=10)+--(G1383&gt;=10)+--(H1383&gt;=10)+--(I1383&gt;=10)+--(J1383&gt;=10)+--(K1383&gt;=10)+--(L1383&gt;=10)+--(M1383&gt;=10)+--(N1383&gt;=10)+--(O1383&gt;=10))</f>
        <v/>
      </c>
      <c r="BE1383" s="5" t="str">
        <f aca="false">IF($B1383="","",--(AND(F1383&lt;&gt;"",F1383&lt;=8))+--(AND(G1383&lt;&gt;"",G1383&lt;=8))+--(AND(H1383&lt;&gt;"",H1383&lt;=8))+--(AND(I1383&lt;&gt;"",I1383&lt;=8))+--(AND(J1383&lt;&gt;"",J1383&lt;=8))+--(AND(K1383&lt;&gt;"",K1383&lt;=8))+--(AND(L1383&lt;&gt;"",L1383&lt;=8))+--(AND(M1383&lt;&gt;"",M1383&lt;=8))+--(AND(N1383&lt;&gt;"",N1383&lt;=8))+--(AND(O1383&lt;&gt;"",O1383&lt;=8)))</f>
        <v/>
      </c>
    </row>
    <row r="1384" customFormat="false" ht="15" hidden="false" customHeight="false" outlineLevel="0" collapsed="false">
      <c r="AZ1384" s="5" t="str">
        <f aca="false">IF($B1384="","",SUMPRODUCT(($AL1384:$AO1384&lt;&gt;"")*(COUNTIF($AP1384:$AX1384,$AL1384:$AO1384)&gt;0)))</f>
        <v/>
      </c>
      <c r="BA1384" s="5" t="str">
        <f aca="false">IF($B1384="","",IF(AZ1384&gt;0,1,0))</f>
        <v/>
      </c>
      <c r="BB1384" s="5" t="str">
        <f aca="false">IF($AP1384="","",IF((($AP1384="Engineering and Technology")+($AP1384="Science and Mathematics")+($AP1384="Computer Science, IT and Allied Fields")+($AP1384="Life Sciences /Medicine and Healthcare")+($AP1384="Paramedical")+($AP1384="Architecture")+($AP1384="Environmental Service")+($AP1384="Agriculture, Food Industry and Forestry"))&gt;0,"Science",IF((($AP1384="Banking and Finance")+($AP1384="Management and Administration")+($AP1384="Marketing")+($AP1384="Sales")+($AP1384="Entrepreneurship")+($AP1384="Hospitality and Tourism"))&gt;0,"Commerce",IF((($AP1384="Social Sciences and Humanities")+($AP1384="Law Studies")+($AP1384="Education and Training")+($AP1384="Art, Design")+($AP1384="Entertainment and Mass Media")+($AP1384="Community and Social Service")+($AP1384="Personal Care and Services")+($AP1384="Government and Public Administration")+($AP1384="Defence/ Protective Service")+($AP1384="Sports"))&gt;0,"Arts / Humanities",""))))</f>
        <v/>
      </c>
      <c r="BC1384" s="5" t="str">
        <f aca="false">IF($AL1384="","",IF((($AL1384="Engineering and Technology")+($AL1384="Science and Mathematics")+($AL1384="Computer Science, IT and Allied Fields")+($AL1384="Life Sciences /Medicine and Healthcare")+($AL1384="Paramedical")+($AL1384="Architecture")+($AL1384="Environmental Service")+($AL1384="Agriculture, Food Industry and Forestry"))&gt;0,"Science",IF((($AL1384="Banking and Finance")+($AL1384="Management and Administration")+($AL1384="Marketing")+($AL1384="Sales")+($AL1384="Entrepreneurship")+($AL1384="Hospitality and Tourism"))&gt;0,"Commerce",IF((($AL1384="Social Sciences and Humanities")+($AL1384="Law Studies")+($AL1384="Education and Training")+($AL1384="Art, Design")+($AL1384="Entertainment and Mass Media")+($AL1384="Community and Social Service")+($AL1384="Personal Care and Services")+($AL1384="Government and Public Administration")+($AL1384="Defence/ Protective Service")+($AL1384="Sports"))&gt;0,"Arts / Humanities",""))))</f>
        <v/>
      </c>
      <c r="BD1384" s="5" t="str">
        <f aca="false">IF($B1384="","",--(F1384&gt;=10)+--(G1384&gt;=10)+--(H1384&gt;=10)+--(I1384&gt;=10)+--(J1384&gt;=10)+--(K1384&gt;=10)+--(L1384&gt;=10)+--(M1384&gt;=10)+--(N1384&gt;=10)+--(O1384&gt;=10))</f>
        <v/>
      </c>
      <c r="BE1384" s="5" t="str">
        <f aca="false">IF($B1384="","",--(AND(F1384&lt;&gt;"",F1384&lt;=8))+--(AND(G1384&lt;&gt;"",G1384&lt;=8))+--(AND(H1384&lt;&gt;"",H1384&lt;=8))+--(AND(I1384&lt;&gt;"",I1384&lt;=8))+--(AND(J1384&lt;&gt;"",J1384&lt;=8))+--(AND(K1384&lt;&gt;"",K1384&lt;=8))+--(AND(L1384&lt;&gt;"",L1384&lt;=8))+--(AND(M1384&lt;&gt;"",M1384&lt;=8))+--(AND(N1384&lt;&gt;"",N1384&lt;=8))+--(AND(O1384&lt;&gt;"",O1384&lt;=8)))</f>
        <v/>
      </c>
    </row>
    <row r="1385" customFormat="false" ht="15" hidden="false" customHeight="false" outlineLevel="0" collapsed="false">
      <c r="AZ1385" s="5" t="str">
        <f aca="false">IF($B1385="","",SUMPRODUCT(($AL1385:$AO1385&lt;&gt;"")*(COUNTIF($AP1385:$AX1385,$AL1385:$AO1385)&gt;0)))</f>
        <v/>
      </c>
      <c r="BA1385" s="5" t="str">
        <f aca="false">IF($B1385="","",IF(AZ1385&gt;0,1,0))</f>
        <v/>
      </c>
      <c r="BB1385" s="5" t="str">
        <f aca="false">IF($AP1385="","",IF((($AP1385="Engineering and Technology")+($AP1385="Science and Mathematics")+($AP1385="Computer Science, IT and Allied Fields")+($AP1385="Life Sciences /Medicine and Healthcare")+($AP1385="Paramedical")+($AP1385="Architecture")+($AP1385="Environmental Service")+($AP1385="Agriculture, Food Industry and Forestry"))&gt;0,"Science",IF((($AP1385="Banking and Finance")+($AP1385="Management and Administration")+($AP1385="Marketing")+($AP1385="Sales")+($AP1385="Entrepreneurship")+($AP1385="Hospitality and Tourism"))&gt;0,"Commerce",IF((($AP1385="Social Sciences and Humanities")+($AP1385="Law Studies")+($AP1385="Education and Training")+($AP1385="Art, Design")+($AP1385="Entertainment and Mass Media")+($AP1385="Community and Social Service")+($AP1385="Personal Care and Services")+($AP1385="Government and Public Administration")+($AP1385="Defence/ Protective Service")+($AP1385="Sports"))&gt;0,"Arts / Humanities",""))))</f>
        <v/>
      </c>
      <c r="BC1385" s="5" t="str">
        <f aca="false">IF($AL1385="","",IF((($AL1385="Engineering and Technology")+($AL1385="Science and Mathematics")+($AL1385="Computer Science, IT and Allied Fields")+($AL1385="Life Sciences /Medicine and Healthcare")+($AL1385="Paramedical")+($AL1385="Architecture")+($AL1385="Environmental Service")+($AL1385="Agriculture, Food Industry and Forestry"))&gt;0,"Science",IF((($AL1385="Banking and Finance")+($AL1385="Management and Administration")+($AL1385="Marketing")+($AL1385="Sales")+($AL1385="Entrepreneurship")+($AL1385="Hospitality and Tourism"))&gt;0,"Commerce",IF((($AL1385="Social Sciences and Humanities")+($AL1385="Law Studies")+($AL1385="Education and Training")+($AL1385="Art, Design")+($AL1385="Entertainment and Mass Media")+($AL1385="Community and Social Service")+($AL1385="Personal Care and Services")+($AL1385="Government and Public Administration")+($AL1385="Defence/ Protective Service")+($AL1385="Sports"))&gt;0,"Arts / Humanities",""))))</f>
        <v/>
      </c>
      <c r="BD1385" s="5" t="str">
        <f aca="false">IF($B1385="","",--(F1385&gt;=10)+--(G1385&gt;=10)+--(H1385&gt;=10)+--(I1385&gt;=10)+--(J1385&gt;=10)+--(K1385&gt;=10)+--(L1385&gt;=10)+--(M1385&gt;=10)+--(N1385&gt;=10)+--(O1385&gt;=10))</f>
        <v/>
      </c>
      <c r="BE1385" s="5" t="str">
        <f aca="false">IF($B1385="","",--(AND(F1385&lt;&gt;"",F1385&lt;=8))+--(AND(G1385&lt;&gt;"",G1385&lt;=8))+--(AND(H1385&lt;&gt;"",H1385&lt;=8))+--(AND(I1385&lt;&gt;"",I1385&lt;=8))+--(AND(J1385&lt;&gt;"",J1385&lt;=8))+--(AND(K1385&lt;&gt;"",K1385&lt;=8))+--(AND(L1385&lt;&gt;"",L1385&lt;=8))+--(AND(M1385&lt;&gt;"",M1385&lt;=8))+--(AND(N1385&lt;&gt;"",N1385&lt;=8))+--(AND(O1385&lt;&gt;"",O1385&lt;=8)))</f>
        <v/>
      </c>
    </row>
    <row r="1386" customFormat="false" ht="15" hidden="false" customHeight="false" outlineLevel="0" collapsed="false">
      <c r="AZ1386" s="5" t="str">
        <f aca="false">IF($B1386="","",SUMPRODUCT(($AL1386:$AO1386&lt;&gt;"")*(COUNTIF($AP1386:$AX1386,$AL1386:$AO1386)&gt;0)))</f>
        <v/>
      </c>
      <c r="BA1386" s="5" t="str">
        <f aca="false">IF($B1386="","",IF(AZ1386&gt;0,1,0))</f>
        <v/>
      </c>
      <c r="BB1386" s="5" t="str">
        <f aca="false">IF($AP1386="","",IF((($AP1386="Engineering and Technology")+($AP1386="Science and Mathematics")+($AP1386="Computer Science, IT and Allied Fields")+($AP1386="Life Sciences /Medicine and Healthcare")+($AP1386="Paramedical")+($AP1386="Architecture")+($AP1386="Environmental Service")+($AP1386="Agriculture, Food Industry and Forestry"))&gt;0,"Science",IF((($AP1386="Banking and Finance")+($AP1386="Management and Administration")+($AP1386="Marketing")+($AP1386="Sales")+($AP1386="Entrepreneurship")+($AP1386="Hospitality and Tourism"))&gt;0,"Commerce",IF((($AP1386="Social Sciences and Humanities")+($AP1386="Law Studies")+($AP1386="Education and Training")+($AP1386="Art, Design")+($AP1386="Entertainment and Mass Media")+($AP1386="Community and Social Service")+($AP1386="Personal Care and Services")+($AP1386="Government and Public Administration")+($AP1386="Defence/ Protective Service")+($AP1386="Sports"))&gt;0,"Arts / Humanities",""))))</f>
        <v/>
      </c>
      <c r="BC1386" s="5" t="str">
        <f aca="false">IF($AL1386="","",IF((($AL1386="Engineering and Technology")+($AL1386="Science and Mathematics")+($AL1386="Computer Science, IT and Allied Fields")+($AL1386="Life Sciences /Medicine and Healthcare")+($AL1386="Paramedical")+($AL1386="Architecture")+($AL1386="Environmental Service")+($AL1386="Agriculture, Food Industry and Forestry"))&gt;0,"Science",IF((($AL1386="Banking and Finance")+($AL1386="Management and Administration")+($AL1386="Marketing")+($AL1386="Sales")+($AL1386="Entrepreneurship")+($AL1386="Hospitality and Tourism"))&gt;0,"Commerce",IF((($AL1386="Social Sciences and Humanities")+($AL1386="Law Studies")+($AL1386="Education and Training")+($AL1386="Art, Design")+($AL1386="Entertainment and Mass Media")+($AL1386="Community and Social Service")+($AL1386="Personal Care and Services")+($AL1386="Government and Public Administration")+($AL1386="Defence/ Protective Service")+($AL1386="Sports"))&gt;0,"Arts / Humanities",""))))</f>
        <v/>
      </c>
      <c r="BD1386" s="5" t="str">
        <f aca="false">IF($B1386="","",--(F1386&gt;=10)+--(G1386&gt;=10)+--(H1386&gt;=10)+--(I1386&gt;=10)+--(J1386&gt;=10)+--(K1386&gt;=10)+--(L1386&gt;=10)+--(M1386&gt;=10)+--(N1386&gt;=10)+--(O1386&gt;=10))</f>
        <v/>
      </c>
      <c r="BE1386" s="5" t="str">
        <f aca="false">IF($B1386="","",--(AND(F1386&lt;&gt;"",F1386&lt;=8))+--(AND(G1386&lt;&gt;"",G1386&lt;=8))+--(AND(H1386&lt;&gt;"",H1386&lt;=8))+--(AND(I1386&lt;&gt;"",I1386&lt;=8))+--(AND(J1386&lt;&gt;"",J1386&lt;=8))+--(AND(K1386&lt;&gt;"",K1386&lt;=8))+--(AND(L1386&lt;&gt;"",L1386&lt;=8))+--(AND(M1386&lt;&gt;"",M1386&lt;=8))+--(AND(N1386&lt;&gt;"",N1386&lt;=8))+--(AND(O1386&lt;&gt;"",O1386&lt;=8)))</f>
        <v/>
      </c>
    </row>
    <row r="1387" customFormat="false" ht="15" hidden="false" customHeight="false" outlineLevel="0" collapsed="false">
      <c r="AZ1387" s="5" t="str">
        <f aca="false">IF($B1387="","",SUMPRODUCT(($AL1387:$AO1387&lt;&gt;"")*(COUNTIF($AP1387:$AX1387,$AL1387:$AO1387)&gt;0)))</f>
        <v/>
      </c>
      <c r="BA1387" s="5" t="str">
        <f aca="false">IF($B1387="","",IF(AZ1387&gt;0,1,0))</f>
        <v/>
      </c>
      <c r="BB1387" s="5" t="str">
        <f aca="false">IF($AP1387="","",IF((($AP1387="Engineering and Technology")+($AP1387="Science and Mathematics")+($AP1387="Computer Science, IT and Allied Fields")+($AP1387="Life Sciences /Medicine and Healthcare")+($AP1387="Paramedical")+($AP1387="Architecture")+($AP1387="Environmental Service")+($AP1387="Agriculture, Food Industry and Forestry"))&gt;0,"Science",IF((($AP1387="Banking and Finance")+($AP1387="Management and Administration")+($AP1387="Marketing")+($AP1387="Sales")+($AP1387="Entrepreneurship")+($AP1387="Hospitality and Tourism"))&gt;0,"Commerce",IF((($AP1387="Social Sciences and Humanities")+($AP1387="Law Studies")+($AP1387="Education and Training")+($AP1387="Art, Design")+($AP1387="Entertainment and Mass Media")+($AP1387="Community and Social Service")+($AP1387="Personal Care and Services")+($AP1387="Government and Public Administration")+($AP1387="Defence/ Protective Service")+($AP1387="Sports"))&gt;0,"Arts / Humanities",""))))</f>
        <v/>
      </c>
      <c r="BC1387" s="5" t="str">
        <f aca="false">IF($AL1387="","",IF((($AL1387="Engineering and Technology")+($AL1387="Science and Mathematics")+($AL1387="Computer Science, IT and Allied Fields")+($AL1387="Life Sciences /Medicine and Healthcare")+($AL1387="Paramedical")+($AL1387="Architecture")+($AL1387="Environmental Service")+($AL1387="Agriculture, Food Industry and Forestry"))&gt;0,"Science",IF((($AL1387="Banking and Finance")+($AL1387="Management and Administration")+($AL1387="Marketing")+($AL1387="Sales")+($AL1387="Entrepreneurship")+($AL1387="Hospitality and Tourism"))&gt;0,"Commerce",IF((($AL1387="Social Sciences and Humanities")+($AL1387="Law Studies")+($AL1387="Education and Training")+($AL1387="Art, Design")+($AL1387="Entertainment and Mass Media")+($AL1387="Community and Social Service")+($AL1387="Personal Care and Services")+($AL1387="Government and Public Administration")+($AL1387="Defence/ Protective Service")+($AL1387="Sports"))&gt;0,"Arts / Humanities",""))))</f>
        <v/>
      </c>
      <c r="BD1387" s="5" t="str">
        <f aca="false">IF($B1387="","",--(F1387&gt;=10)+--(G1387&gt;=10)+--(H1387&gt;=10)+--(I1387&gt;=10)+--(J1387&gt;=10)+--(K1387&gt;=10)+--(L1387&gt;=10)+--(M1387&gt;=10)+--(N1387&gt;=10)+--(O1387&gt;=10))</f>
        <v/>
      </c>
      <c r="BE1387" s="5" t="str">
        <f aca="false">IF($B1387="","",--(AND(F1387&lt;&gt;"",F1387&lt;=8))+--(AND(G1387&lt;&gt;"",G1387&lt;=8))+--(AND(H1387&lt;&gt;"",H1387&lt;=8))+--(AND(I1387&lt;&gt;"",I1387&lt;=8))+--(AND(J1387&lt;&gt;"",J1387&lt;=8))+--(AND(K1387&lt;&gt;"",K1387&lt;=8))+--(AND(L1387&lt;&gt;"",L1387&lt;=8))+--(AND(M1387&lt;&gt;"",M1387&lt;=8))+--(AND(N1387&lt;&gt;"",N1387&lt;=8))+--(AND(O1387&lt;&gt;"",O1387&lt;=8)))</f>
        <v/>
      </c>
    </row>
    <row r="1388" customFormat="false" ht="15" hidden="false" customHeight="false" outlineLevel="0" collapsed="false">
      <c r="AZ1388" s="5" t="str">
        <f aca="false">IF($B1388="","",SUMPRODUCT(($AL1388:$AO1388&lt;&gt;"")*(COUNTIF($AP1388:$AX1388,$AL1388:$AO1388)&gt;0)))</f>
        <v/>
      </c>
      <c r="BA1388" s="5" t="str">
        <f aca="false">IF($B1388="","",IF(AZ1388&gt;0,1,0))</f>
        <v/>
      </c>
      <c r="BB1388" s="5" t="str">
        <f aca="false">IF($AP1388="","",IF((($AP1388="Engineering and Technology")+($AP1388="Science and Mathematics")+($AP1388="Computer Science, IT and Allied Fields")+($AP1388="Life Sciences /Medicine and Healthcare")+($AP1388="Paramedical")+($AP1388="Architecture")+($AP1388="Environmental Service")+($AP1388="Agriculture, Food Industry and Forestry"))&gt;0,"Science",IF((($AP1388="Banking and Finance")+($AP1388="Management and Administration")+($AP1388="Marketing")+($AP1388="Sales")+($AP1388="Entrepreneurship")+($AP1388="Hospitality and Tourism"))&gt;0,"Commerce",IF((($AP1388="Social Sciences and Humanities")+($AP1388="Law Studies")+($AP1388="Education and Training")+($AP1388="Art, Design")+($AP1388="Entertainment and Mass Media")+($AP1388="Community and Social Service")+($AP1388="Personal Care and Services")+($AP1388="Government and Public Administration")+($AP1388="Defence/ Protective Service")+($AP1388="Sports"))&gt;0,"Arts / Humanities",""))))</f>
        <v/>
      </c>
      <c r="BC1388" s="5" t="str">
        <f aca="false">IF($AL1388="","",IF((($AL1388="Engineering and Technology")+($AL1388="Science and Mathematics")+($AL1388="Computer Science, IT and Allied Fields")+($AL1388="Life Sciences /Medicine and Healthcare")+($AL1388="Paramedical")+($AL1388="Architecture")+($AL1388="Environmental Service")+($AL1388="Agriculture, Food Industry and Forestry"))&gt;0,"Science",IF((($AL1388="Banking and Finance")+($AL1388="Management and Administration")+($AL1388="Marketing")+($AL1388="Sales")+($AL1388="Entrepreneurship")+($AL1388="Hospitality and Tourism"))&gt;0,"Commerce",IF((($AL1388="Social Sciences and Humanities")+($AL1388="Law Studies")+($AL1388="Education and Training")+($AL1388="Art, Design")+($AL1388="Entertainment and Mass Media")+($AL1388="Community and Social Service")+($AL1388="Personal Care and Services")+($AL1388="Government and Public Administration")+($AL1388="Defence/ Protective Service")+($AL1388="Sports"))&gt;0,"Arts / Humanities",""))))</f>
        <v/>
      </c>
      <c r="BD1388" s="5" t="str">
        <f aca="false">IF($B1388="","",--(F1388&gt;=10)+--(G1388&gt;=10)+--(H1388&gt;=10)+--(I1388&gt;=10)+--(J1388&gt;=10)+--(K1388&gt;=10)+--(L1388&gt;=10)+--(M1388&gt;=10)+--(N1388&gt;=10)+--(O1388&gt;=10))</f>
        <v/>
      </c>
      <c r="BE1388" s="5" t="str">
        <f aca="false">IF($B1388="","",--(AND(F1388&lt;&gt;"",F1388&lt;=8))+--(AND(G1388&lt;&gt;"",G1388&lt;=8))+--(AND(H1388&lt;&gt;"",H1388&lt;=8))+--(AND(I1388&lt;&gt;"",I1388&lt;=8))+--(AND(J1388&lt;&gt;"",J1388&lt;=8))+--(AND(K1388&lt;&gt;"",K1388&lt;=8))+--(AND(L1388&lt;&gt;"",L1388&lt;=8))+--(AND(M1388&lt;&gt;"",M1388&lt;=8))+--(AND(N1388&lt;&gt;"",N1388&lt;=8))+--(AND(O1388&lt;&gt;"",O1388&lt;=8)))</f>
        <v/>
      </c>
    </row>
    <row r="1389" customFormat="false" ht="15" hidden="false" customHeight="false" outlineLevel="0" collapsed="false">
      <c r="AZ1389" s="5" t="str">
        <f aca="false">IF($B1389="","",SUMPRODUCT(($AL1389:$AO1389&lt;&gt;"")*(COUNTIF($AP1389:$AX1389,$AL1389:$AO1389)&gt;0)))</f>
        <v/>
      </c>
      <c r="BA1389" s="5" t="str">
        <f aca="false">IF($B1389="","",IF(AZ1389&gt;0,1,0))</f>
        <v/>
      </c>
      <c r="BB1389" s="5" t="str">
        <f aca="false">IF($AP1389="","",IF((($AP1389="Engineering and Technology")+($AP1389="Science and Mathematics")+($AP1389="Computer Science, IT and Allied Fields")+($AP1389="Life Sciences /Medicine and Healthcare")+($AP1389="Paramedical")+($AP1389="Architecture")+($AP1389="Environmental Service")+($AP1389="Agriculture, Food Industry and Forestry"))&gt;0,"Science",IF((($AP1389="Banking and Finance")+($AP1389="Management and Administration")+($AP1389="Marketing")+($AP1389="Sales")+($AP1389="Entrepreneurship")+($AP1389="Hospitality and Tourism"))&gt;0,"Commerce",IF((($AP1389="Social Sciences and Humanities")+($AP1389="Law Studies")+($AP1389="Education and Training")+($AP1389="Art, Design")+($AP1389="Entertainment and Mass Media")+($AP1389="Community and Social Service")+($AP1389="Personal Care and Services")+($AP1389="Government and Public Administration")+($AP1389="Defence/ Protective Service")+($AP1389="Sports"))&gt;0,"Arts / Humanities",""))))</f>
        <v/>
      </c>
      <c r="BC1389" s="5" t="str">
        <f aca="false">IF($AL1389="","",IF((($AL1389="Engineering and Technology")+($AL1389="Science and Mathematics")+($AL1389="Computer Science, IT and Allied Fields")+($AL1389="Life Sciences /Medicine and Healthcare")+($AL1389="Paramedical")+($AL1389="Architecture")+($AL1389="Environmental Service")+($AL1389="Agriculture, Food Industry and Forestry"))&gt;0,"Science",IF((($AL1389="Banking and Finance")+($AL1389="Management and Administration")+($AL1389="Marketing")+($AL1389="Sales")+($AL1389="Entrepreneurship")+($AL1389="Hospitality and Tourism"))&gt;0,"Commerce",IF((($AL1389="Social Sciences and Humanities")+($AL1389="Law Studies")+($AL1389="Education and Training")+($AL1389="Art, Design")+($AL1389="Entertainment and Mass Media")+($AL1389="Community and Social Service")+($AL1389="Personal Care and Services")+($AL1389="Government and Public Administration")+($AL1389="Defence/ Protective Service")+($AL1389="Sports"))&gt;0,"Arts / Humanities",""))))</f>
        <v/>
      </c>
      <c r="BD1389" s="5" t="str">
        <f aca="false">IF($B1389="","",--(F1389&gt;=10)+--(G1389&gt;=10)+--(H1389&gt;=10)+--(I1389&gt;=10)+--(J1389&gt;=10)+--(K1389&gt;=10)+--(L1389&gt;=10)+--(M1389&gt;=10)+--(N1389&gt;=10)+--(O1389&gt;=10))</f>
        <v/>
      </c>
      <c r="BE1389" s="5" t="str">
        <f aca="false">IF($B1389="","",--(AND(F1389&lt;&gt;"",F1389&lt;=8))+--(AND(G1389&lt;&gt;"",G1389&lt;=8))+--(AND(H1389&lt;&gt;"",H1389&lt;=8))+--(AND(I1389&lt;&gt;"",I1389&lt;=8))+--(AND(J1389&lt;&gt;"",J1389&lt;=8))+--(AND(K1389&lt;&gt;"",K1389&lt;=8))+--(AND(L1389&lt;&gt;"",L1389&lt;=8))+--(AND(M1389&lt;&gt;"",M1389&lt;=8))+--(AND(N1389&lt;&gt;"",N1389&lt;=8))+--(AND(O1389&lt;&gt;"",O1389&lt;=8)))</f>
        <v/>
      </c>
    </row>
    <row r="1390" customFormat="false" ht="15" hidden="false" customHeight="false" outlineLevel="0" collapsed="false">
      <c r="AZ1390" s="5" t="str">
        <f aca="false">IF($B1390="","",SUMPRODUCT(($AL1390:$AO1390&lt;&gt;"")*(COUNTIF($AP1390:$AX1390,$AL1390:$AO1390)&gt;0)))</f>
        <v/>
      </c>
      <c r="BA1390" s="5" t="str">
        <f aca="false">IF($B1390="","",IF(AZ1390&gt;0,1,0))</f>
        <v/>
      </c>
      <c r="BB1390" s="5" t="str">
        <f aca="false">IF($AP1390="","",IF((($AP1390="Engineering and Technology")+($AP1390="Science and Mathematics")+($AP1390="Computer Science, IT and Allied Fields")+($AP1390="Life Sciences /Medicine and Healthcare")+($AP1390="Paramedical")+($AP1390="Architecture")+($AP1390="Environmental Service")+($AP1390="Agriculture, Food Industry and Forestry"))&gt;0,"Science",IF((($AP1390="Banking and Finance")+($AP1390="Management and Administration")+($AP1390="Marketing")+($AP1390="Sales")+($AP1390="Entrepreneurship")+($AP1390="Hospitality and Tourism"))&gt;0,"Commerce",IF((($AP1390="Social Sciences and Humanities")+($AP1390="Law Studies")+($AP1390="Education and Training")+($AP1390="Art, Design")+($AP1390="Entertainment and Mass Media")+($AP1390="Community and Social Service")+($AP1390="Personal Care and Services")+($AP1390="Government and Public Administration")+($AP1390="Defence/ Protective Service")+($AP1390="Sports"))&gt;0,"Arts / Humanities",""))))</f>
        <v/>
      </c>
      <c r="BC1390" s="5" t="str">
        <f aca="false">IF($AL1390="","",IF((($AL1390="Engineering and Technology")+($AL1390="Science and Mathematics")+($AL1390="Computer Science, IT and Allied Fields")+($AL1390="Life Sciences /Medicine and Healthcare")+($AL1390="Paramedical")+($AL1390="Architecture")+($AL1390="Environmental Service")+($AL1390="Agriculture, Food Industry and Forestry"))&gt;0,"Science",IF((($AL1390="Banking and Finance")+($AL1390="Management and Administration")+($AL1390="Marketing")+($AL1390="Sales")+($AL1390="Entrepreneurship")+($AL1390="Hospitality and Tourism"))&gt;0,"Commerce",IF((($AL1390="Social Sciences and Humanities")+($AL1390="Law Studies")+($AL1390="Education and Training")+($AL1390="Art, Design")+($AL1390="Entertainment and Mass Media")+($AL1390="Community and Social Service")+($AL1390="Personal Care and Services")+($AL1390="Government and Public Administration")+($AL1390="Defence/ Protective Service")+($AL1390="Sports"))&gt;0,"Arts / Humanities",""))))</f>
        <v/>
      </c>
      <c r="BD1390" s="5" t="str">
        <f aca="false">IF($B1390="","",--(F1390&gt;=10)+--(G1390&gt;=10)+--(H1390&gt;=10)+--(I1390&gt;=10)+--(J1390&gt;=10)+--(K1390&gt;=10)+--(L1390&gt;=10)+--(M1390&gt;=10)+--(N1390&gt;=10)+--(O1390&gt;=10))</f>
        <v/>
      </c>
      <c r="BE1390" s="5" t="str">
        <f aca="false">IF($B1390="","",--(AND(F1390&lt;&gt;"",F1390&lt;=8))+--(AND(G1390&lt;&gt;"",G1390&lt;=8))+--(AND(H1390&lt;&gt;"",H1390&lt;=8))+--(AND(I1390&lt;&gt;"",I1390&lt;=8))+--(AND(J1390&lt;&gt;"",J1390&lt;=8))+--(AND(K1390&lt;&gt;"",K1390&lt;=8))+--(AND(L1390&lt;&gt;"",L1390&lt;=8))+--(AND(M1390&lt;&gt;"",M1390&lt;=8))+--(AND(N1390&lt;&gt;"",N1390&lt;=8))+--(AND(O1390&lt;&gt;"",O1390&lt;=8)))</f>
        <v/>
      </c>
    </row>
    <row r="1391" customFormat="false" ht="15" hidden="false" customHeight="false" outlineLevel="0" collapsed="false">
      <c r="AZ1391" s="5" t="str">
        <f aca="false">IF($B1391="","",SUMPRODUCT(($AL1391:$AO1391&lt;&gt;"")*(COUNTIF($AP1391:$AX1391,$AL1391:$AO1391)&gt;0)))</f>
        <v/>
      </c>
      <c r="BA1391" s="5" t="str">
        <f aca="false">IF($B1391="","",IF(AZ1391&gt;0,1,0))</f>
        <v/>
      </c>
      <c r="BB1391" s="5" t="str">
        <f aca="false">IF($AP1391="","",IF((($AP1391="Engineering and Technology")+($AP1391="Science and Mathematics")+($AP1391="Computer Science, IT and Allied Fields")+($AP1391="Life Sciences /Medicine and Healthcare")+($AP1391="Paramedical")+($AP1391="Architecture")+($AP1391="Environmental Service")+($AP1391="Agriculture, Food Industry and Forestry"))&gt;0,"Science",IF((($AP1391="Banking and Finance")+($AP1391="Management and Administration")+($AP1391="Marketing")+($AP1391="Sales")+($AP1391="Entrepreneurship")+($AP1391="Hospitality and Tourism"))&gt;0,"Commerce",IF((($AP1391="Social Sciences and Humanities")+($AP1391="Law Studies")+($AP1391="Education and Training")+($AP1391="Art, Design")+($AP1391="Entertainment and Mass Media")+($AP1391="Community and Social Service")+($AP1391="Personal Care and Services")+($AP1391="Government and Public Administration")+($AP1391="Defence/ Protective Service")+($AP1391="Sports"))&gt;0,"Arts / Humanities",""))))</f>
        <v/>
      </c>
      <c r="BC1391" s="5" t="str">
        <f aca="false">IF($AL1391="","",IF((($AL1391="Engineering and Technology")+($AL1391="Science and Mathematics")+($AL1391="Computer Science, IT and Allied Fields")+($AL1391="Life Sciences /Medicine and Healthcare")+($AL1391="Paramedical")+($AL1391="Architecture")+($AL1391="Environmental Service")+($AL1391="Agriculture, Food Industry and Forestry"))&gt;0,"Science",IF((($AL1391="Banking and Finance")+($AL1391="Management and Administration")+($AL1391="Marketing")+($AL1391="Sales")+($AL1391="Entrepreneurship")+($AL1391="Hospitality and Tourism"))&gt;0,"Commerce",IF((($AL1391="Social Sciences and Humanities")+($AL1391="Law Studies")+($AL1391="Education and Training")+($AL1391="Art, Design")+($AL1391="Entertainment and Mass Media")+($AL1391="Community and Social Service")+($AL1391="Personal Care and Services")+($AL1391="Government and Public Administration")+($AL1391="Defence/ Protective Service")+($AL1391="Sports"))&gt;0,"Arts / Humanities",""))))</f>
        <v/>
      </c>
      <c r="BD1391" s="5" t="str">
        <f aca="false">IF($B1391="","",--(F1391&gt;=10)+--(G1391&gt;=10)+--(H1391&gt;=10)+--(I1391&gt;=10)+--(J1391&gt;=10)+--(K1391&gt;=10)+--(L1391&gt;=10)+--(M1391&gt;=10)+--(N1391&gt;=10)+--(O1391&gt;=10))</f>
        <v/>
      </c>
      <c r="BE1391" s="5" t="str">
        <f aca="false">IF($B1391="","",--(AND(F1391&lt;&gt;"",F1391&lt;=8))+--(AND(G1391&lt;&gt;"",G1391&lt;=8))+--(AND(H1391&lt;&gt;"",H1391&lt;=8))+--(AND(I1391&lt;&gt;"",I1391&lt;=8))+--(AND(J1391&lt;&gt;"",J1391&lt;=8))+--(AND(K1391&lt;&gt;"",K1391&lt;=8))+--(AND(L1391&lt;&gt;"",L1391&lt;=8))+--(AND(M1391&lt;&gt;"",M1391&lt;=8))+--(AND(N1391&lt;&gt;"",N1391&lt;=8))+--(AND(O1391&lt;&gt;"",O1391&lt;=8)))</f>
        <v/>
      </c>
    </row>
    <row r="1392" customFormat="false" ht="15" hidden="false" customHeight="false" outlineLevel="0" collapsed="false">
      <c r="AZ1392" s="5" t="str">
        <f aca="false">IF($B1392="","",SUMPRODUCT(($AL1392:$AO1392&lt;&gt;"")*(COUNTIF($AP1392:$AX1392,$AL1392:$AO1392)&gt;0)))</f>
        <v/>
      </c>
      <c r="BA1392" s="5" t="str">
        <f aca="false">IF($B1392="","",IF(AZ1392&gt;0,1,0))</f>
        <v/>
      </c>
      <c r="BB1392" s="5" t="str">
        <f aca="false">IF($AP1392="","",IF((($AP1392="Engineering and Technology")+($AP1392="Science and Mathematics")+($AP1392="Computer Science, IT and Allied Fields")+($AP1392="Life Sciences /Medicine and Healthcare")+($AP1392="Paramedical")+($AP1392="Architecture")+($AP1392="Environmental Service")+($AP1392="Agriculture, Food Industry and Forestry"))&gt;0,"Science",IF((($AP1392="Banking and Finance")+($AP1392="Management and Administration")+($AP1392="Marketing")+($AP1392="Sales")+($AP1392="Entrepreneurship")+($AP1392="Hospitality and Tourism"))&gt;0,"Commerce",IF((($AP1392="Social Sciences and Humanities")+($AP1392="Law Studies")+($AP1392="Education and Training")+($AP1392="Art, Design")+($AP1392="Entertainment and Mass Media")+($AP1392="Community and Social Service")+($AP1392="Personal Care and Services")+($AP1392="Government and Public Administration")+($AP1392="Defence/ Protective Service")+($AP1392="Sports"))&gt;0,"Arts / Humanities",""))))</f>
        <v/>
      </c>
      <c r="BC1392" s="5" t="str">
        <f aca="false">IF($AL1392="","",IF((($AL1392="Engineering and Technology")+($AL1392="Science and Mathematics")+($AL1392="Computer Science, IT and Allied Fields")+($AL1392="Life Sciences /Medicine and Healthcare")+($AL1392="Paramedical")+($AL1392="Architecture")+($AL1392="Environmental Service")+($AL1392="Agriculture, Food Industry and Forestry"))&gt;0,"Science",IF((($AL1392="Banking and Finance")+($AL1392="Management and Administration")+($AL1392="Marketing")+($AL1392="Sales")+($AL1392="Entrepreneurship")+($AL1392="Hospitality and Tourism"))&gt;0,"Commerce",IF((($AL1392="Social Sciences and Humanities")+($AL1392="Law Studies")+($AL1392="Education and Training")+($AL1392="Art, Design")+($AL1392="Entertainment and Mass Media")+($AL1392="Community and Social Service")+($AL1392="Personal Care and Services")+($AL1392="Government and Public Administration")+($AL1392="Defence/ Protective Service")+($AL1392="Sports"))&gt;0,"Arts / Humanities",""))))</f>
        <v/>
      </c>
      <c r="BD1392" s="5" t="str">
        <f aca="false">IF($B1392="","",--(F1392&gt;=10)+--(G1392&gt;=10)+--(H1392&gt;=10)+--(I1392&gt;=10)+--(J1392&gt;=10)+--(K1392&gt;=10)+--(L1392&gt;=10)+--(M1392&gt;=10)+--(N1392&gt;=10)+--(O1392&gt;=10))</f>
        <v/>
      </c>
      <c r="BE1392" s="5" t="str">
        <f aca="false">IF($B1392="","",--(AND(F1392&lt;&gt;"",F1392&lt;=8))+--(AND(G1392&lt;&gt;"",G1392&lt;=8))+--(AND(H1392&lt;&gt;"",H1392&lt;=8))+--(AND(I1392&lt;&gt;"",I1392&lt;=8))+--(AND(J1392&lt;&gt;"",J1392&lt;=8))+--(AND(K1392&lt;&gt;"",K1392&lt;=8))+--(AND(L1392&lt;&gt;"",L1392&lt;=8))+--(AND(M1392&lt;&gt;"",M1392&lt;=8))+--(AND(N1392&lt;&gt;"",N1392&lt;=8))+--(AND(O1392&lt;&gt;"",O1392&lt;=8)))</f>
        <v/>
      </c>
    </row>
    <row r="1393" customFormat="false" ht="15" hidden="false" customHeight="false" outlineLevel="0" collapsed="false">
      <c r="AZ1393" s="5" t="str">
        <f aca="false">IF($B1393="","",SUMPRODUCT(($AL1393:$AO1393&lt;&gt;"")*(COUNTIF($AP1393:$AX1393,$AL1393:$AO1393)&gt;0)))</f>
        <v/>
      </c>
      <c r="BA1393" s="5" t="str">
        <f aca="false">IF($B1393="","",IF(AZ1393&gt;0,1,0))</f>
        <v/>
      </c>
      <c r="BB1393" s="5" t="str">
        <f aca="false">IF($AP1393="","",IF((($AP1393="Engineering and Technology")+($AP1393="Science and Mathematics")+($AP1393="Computer Science, IT and Allied Fields")+($AP1393="Life Sciences /Medicine and Healthcare")+($AP1393="Paramedical")+($AP1393="Architecture")+($AP1393="Environmental Service")+($AP1393="Agriculture, Food Industry and Forestry"))&gt;0,"Science",IF((($AP1393="Banking and Finance")+($AP1393="Management and Administration")+($AP1393="Marketing")+($AP1393="Sales")+($AP1393="Entrepreneurship")+($AP1393="Hospitality and Tourism"))&gt;0,"Commerce",IF((($AP1393="Social Sciences and Humanities")+($AP1393="Law Studies")+($AP1393="Education and Training")+($AP1393="Art, Design")+($AP1393="Entertainment and Mass Media")+($AP1393="Community and Social Service")+($AP1393="Personal Care and Services")+($AP1393="Government and Public Administration")+($AP1393="Defence/ Protective Service")+($AP1393="Sports"))&gt;0,"Arts / Humanities",""))))</f>
        <v/>
      </c>
      <c r="BC1393" s="5" t="str">
        <f aca="false">IF($AL1393="","",IF((($AL1393="Engineering and Technology")+($AL1393="Science and Mathematics")+($AL1393="Computer Science, IT and Allied Fields")+($AL1393="Life Sciences /Medicine and Healthcare")+($AL1393="Paramedical")+($AL1393="Architecture")+($AL1393="Environmental Service")+($AL1393="Agriculture, Food Industry and Forestry"))&gt;0,"Science",IF((($AL1393="Banking and Finance")+($AL1393="Management and Administration")+($AL1393="Marketing")+($AL1393="Sales")+($AL1393="Entrepreneurship")+($AL1393="Hospitality and Tourism"))&gt;0,"Commerce",IF((($AL1393="Social Sciences and Humanities")+($AL1393="Law Studies")+($AL1393="Education and Training")+($AL1393="Art, Design")+($AL1393="Entertainment and Mass Media")+($AL1393="Community and Social Service")+($AL1393="Personal Care and Services")+($AL1393="Government and Public Administration")+($AL1393="Defence/ Protective Service")+($AL1393="Sports"))&gt;0,"Arts / Humanities",""))))</f>
        <v/>
      </c>
      <c r="BD1393" s="5" t="str">
        <f aca="false">IF($B1393="","",--(F1393&gt;=10)+--(G1393&gt;=10)+--(H1393&gt;=10)+--(I1393&gt;=10)+--(J1393&gt;=10)+--(K1393&gt;=10)+--(L1393&gt;=10)+--(M1393&gt;=10)+--(N1393&gt;=10)+--(O1393&gt;=10))</f>
        <v/>
      </c>
      <c r="BE1393" s="5" t="str">
        <f aca="false">IF($B1393="","",--(AND(F1393&lt;&gt;"",F1393&lt;=8))+--(AND(G1393&lt;&gt;"",G1393&lt;=8))+--(AND(H1393&lt;&gt;"",H1393&lt;=8))+--(AND(I1393&lt;&gt;"",I1393&lt;=8))+--(AND(J1393&lt;&gt;"",J1393&lt;=8))+--(AND(K1393&lt;&gt;"",K1393&lt;=8))+--(AND(L1393&lt;&gt;"",L1393&lt;=8))+--(AND(M1393&lt;&gt;"",M1393&lt;=8))+--(AND(N1393&lt;&gt;"",N1393&lt;=8))+--(AND(O1393&lt;&gt;"",O1393&lt;=8)))</f>
        <v/>
      </c>
    </row>
    <row r="1394" customFormat="false" ht="15" hidden="false" customHeight="false" outlineLevel="0" collapsed="false">
      <c r="AZ1394" s="5" t="str">
        <f aca="false">IF($B1394="","",SUMPRODUCT(($AL1394:$AO1394&lt;&gt;"")*(COUNTIF($AP1394:$AX1394,$AL1394:$AO1394)&gt;0)))</f>
        <v/>
      </c>
      <c r="BA1394" s="5" t="str">
        <f aca="false">IF($B1394="","",IF(AZ1394&gt;0,1,0))</f>
        <v/>
      </c>
      <c r="BB1394" s="5" t="str">
        <f aca="false">IF($AP1394="","",IF((($AP1394="Engineering and Technology")+($AP1394="Science and Mathematics")+($AP1394="Computer Science, IT and Allied Fields")+($AP1394="Life Sciences /Medicine and Healthcare")+($AP1394="Paramedical")+($AP1394="Architecture")+($AP1394="Environmental Service")+($AP1394="Agriculture, Food Industry and Forestry"))&gt;0,"Science",IF((($AP1394="Banking and Finance")+($AP1394="Management and Administration")+($AP1394="Marketing")+($AP1394="Sales")+($AP1394="Entrepreneurship")+($AP1394="Hospitality and Tourism"))&gt;0,"Commerce",IF((($AP1394="Social Sciences and Humanities")+($AP1394="Law Studies")+($AP1394="Education and Training")+($AP1394="Art, Design")+($AP1394="Entertainment and Mass Media")+($AP1394="Community and Social Service")+($AP1394="Personal Care and Services")+($AP1394="Government and Public Administration")+($AP1394="Defence/ Protective Service")+($AP1394="Sports"))&gt;0,"Arts / Humanities",""))))</f>
        <v/>
      </c>
      <c r="BC1394" s="5" t="str">
        <f aca="false">IF($AL1394="","",IF((($AL1394="Engineering and Technology")+($AL1394="Science and Mathematics")+($AL1394="Computer Science, IT and Allied Fields")+($AL1394="Life Sciences /Medicine and Healthcare")+($AL1394="Paramedical")+($AL1394="Architecture")+($AL1394="Environmental Service")+($AL1394="Agriculture, Food Industry and Forestry"))&gt;0,"Science",IF((($AL1394="Banking and Finance")+($AL1394="Management and Administration")+($AL1394="Marketing")+($AL1394="Sales")+($AL1394="Entrepreneurship")+($AL1394="Hospitality and Tourism"))&gt;0,"Commerce",IF((($AL1394="Social Sciences and Humanities")+($AL1394="Law Studies")+($AL1394="Education and Training")+($AL1394="Art, Design")+($AL1394="Entertainment and Mass Media")+($AL1394="Community and Social Service")+($AL1394="Personal Care and Services")+($AL1394="Government and Public Administration")+($AL1394="Defence/ Protective Service")+($AL1394="Sports"))&gt;0,"Arts / Humanities",""))))</f>
        <v/>
      </c>
      <c r="BD1394" s="5" t="str">
        <f aca="false">IF($B1394="","",--(F1394&gt;=10)+--(G1394&gt;=10)+--(H1394&gt;=10)+--(I1394&gt;=10)+--(J1394&gt;=10)+--(K1394&gt;=10)+--(L1394&gt;=10)+--(M1394&gt;=10)+--(N1394&gt;=10)+--(O1394&gt;=10))</f>
        <v/>
      </c>
      <c r="BE1394" s="5" t="str">
        <f aca="false">IF($B1394="","",--(AND(F1394&lt;&gt;"",F1394&lt;=8))+--(AND(G1394&lt;&gt;"",G1394&lt;=8))+--(AND(H1394&lt;&gt;"",H1394&lt;=8))+--(AND(I1394&lt;&gt;"",I1394&lt;=8))+--(AND(J1394&lt;&gt;"",J1394&lt;=8))+--(AND(K1394&lt;&gt;"",K1394&lt;=8))+--(AND(L1394&lt;&gt;"",L1394&lt;=8))+--(AND(M1394&lt;&gt;"",M1394&lt;=8))+--(AND(N1394&lt;&gt;"",N1394&lt;=8))+--(AND(O1394&lt;&gt;"",O1394&lt;=8)))</f>
        <v/>
      </c>
    </row>
    <row r="1395" customFormat="false" ht="15" hidden="false" customHeight="false" outlineLevel="0" collapsed="false">
      <c r="AZ1395" s="5" t="str">
        <f aca="false">IF($B1395="","",SUMPRODUCT(($AL1395:$AO1395&lt;&gt;"")*(COUNTIF($AP1395:$AX1395,$AL1395:$AO1395)&gt;0)))</f>
        <v/>
      </c>
      <c r="BA1395" s="5" t="str">
        <f aca="false">IF($B1395="","",IF(AZ1395&gt;0,1,0))</f>
        <v/>
      </c>
      <c r="BB1395" s="5" t="str">
        <f aca="false">IF($AP1395="","",IF((($AP1395="Engineering and Technology")+($AP1395="Science and Mathematics")+($AP1395="Computer Science, IT and Allied Fields")+($AP1395="Life Sciences /Medicine and Healthcare")+($AP1395="Paramedical")+($AP1395="Architecture")+($AP1395="Environmental Service")+($AP1395="Agriculture, Food Industry and Forestry"))&gt;0,"Science",IF((($AP1395="Banking and Finance")+($AP1395="Management and Administration")+($AP1395="Marketing")+($AP1395="Sales")+($AP1395="Entrepreneurship")+($AP1395="Hospitality and Tourism"))&gt;0,"Commerce",IF((($AP1395="Social Sciences and Humanities")+($AP1395="Law Studies")+($AP1395="Education and Training")+($AP1395="Art, Design")+($AP1395="Entertainment and Mass Media")+($AP1395="Community and Social Service")+($AP1395="Personal Care and Services")+($AP1395="Government and Public Administration")+($AP1395="Defence/ Protective Service")+($AP1395="Sports"))&gt;0,"Arts / Humanities",""))))</f>
        <v/>
      </c>
      <c r="BC1395" s="5" t="str">
        <f aca="false">IF($AL1395="","",IF((($AL1395="Engineering and Technology")+($AL1395="Science and Mathematics")+($AL1395="Computer Science, IT and Allied Fields")+($AL1395="Life Sciences /Medicine and Healthcare")+($AL1395="Paramedical")+($AL1395="Architecture")+($AL1395="Environmental Service")+($AL1395="Agriculture, Food Industry and Forestry"))&gt;0,"Science",IF((($AL1395="Banking and Finance")+($AL1395="Management and Administration")+($AL1395="Marketing")+($AL1395="Sales")+($AL1395="Entrepreneurship")+($AL1395="Hospitality and Tourism"))&gt;0,"Commerce",IF((($AL1395="Social Sciences and Humanities")+($AL1395="Law Studies")+($AL1395="Education and Training")+($AL1395="Art, Design")+($AL1395="Entertainment and Mass Media")+($AL1395="Community and Social Service")+($AL1395="Personal Care and Services")+($AL1395="Government and Public Administration")+($AL1395="Defence/ Protective Service")+($AL1395="Sports"))&gt;0,"Arts / Humanities",""))))</f>
        <v/>
      </c>
      <c r="BD1395" s="5" t="str">
        <f aca="false">IF($B1395="","",--(F1395&gt;=10)+--(G1395&gt;=10)+--(H1395&gt;=10)+--(I1395&gt;=10)+--(J1395&gt;=10)+--(K1395&gt;=10)+--(L1395&gt;=10)+--(M1395&gt;=10)+--(N1395&gt;=10)+--(O1395&gt;=10))</f>
        <v/>
      </c>
      <c r="BE1395" s="5" t="str">
        <f aca="false">IF($B1395="","",--(AND(F1395&lt;&gt;"",F1395&lt;=8))+--(AND(G1395&lt;&gt;"",G1395&lt;=8))+--(AND(H1395&lt;&gt;"",H1395&lt;=8))+--(AND(I1395&lt;&gt;"",I1395&lt;=8))+--(AND(J1395&lt;&gt;"",J1395&lt;=8))+--(AND(K1395&lt;&gt;"",K1395&lt;=8))+--(AND(L1395&lt;&gt;"",L1395&lt;=8))+--(AND(M1395&lt;&gt;"",M1395&lt;=8))+--(AND(N1395&lt;&gt;"",N1395&lt;=8))+--(AND(O1395&lt;&gt;"",O1395&lt;=8)))</f>
        <v/>
      </c>
    </row>
    <row r="1396" customFormat="false" ht="15" hidden="false" customHeight="false" outlineLevel="0" collapsed="false">
      <c r="AZ1396" s="5" t="str">
        <f aca="false">IF($B1396="","",SUMPRODUCT(($AL1396:$AO1396&lt;&gt;"")*(COUNTIF($AP1396:$AX1396,$AL1396:$AO1396)&gt;0)))</f>
        <v/>
      </c>
      <c r="BA1396" s="5" t="str">
        <f aca="false">IF($B1396="","",IF(AZ1396&gt;0,1,0))</f>
        <v/>
      </c>
      <c r="BB1396" s="5" t="str">
        <f aca="false">IF($AP1396="","",IF((($AP1396="Engineering and Technology")+($AP1396="Science and Mathematics")+($AP1396="Computer Science, IT and Allied Fields")+($AP1396="Life Sciences /Medicine and Healthcare")+($AP1396="Paramedical")+($AP1396="Architecture")+($AP1396="Environmental Service")+($AP1396="Agriculture, Food Industry and Forestry"))&gt;0,"Science",IF((($AP1396="Banking and Finance")+($AP1396="Management and Administration")+($AP1396="Marketing")+($AP1396="Sales")+($AP1396="Entrepreneurship")+($AP1396="Hospitality and Tourism"))&gt;0,"Commerce",IF((($AP1396="Social Sciences and Humanities")+($AP1396="Law Studies")+($AP1396="Education and Training")+($AP1396="Art, Design")+($AP1396="Entertainment and Mass Media")+($AP1396="Community and Social Service")+($AP1396="Personal Care and Services")+($AP1396="Government and Public Administration")+($AP1396="Defence/ Protective Service")+($AP1396="Sports"))&gt;0,"Arts / Humanities",""))))</f>
        <v/>
      </c>
      <c r="BC1396" s="5" t="str">
        <f aca="false">IF($AL1396="","",IF((($AL1396="Engineering and Technology")+($AL1396="Science and Mathematics")+($AL1396="Computer Science, IT and Allied Fields")+($AL1396="Life Sciences /Medicine and Healthcare")+($AL1396="Paramedical")+($AL1396="Architecture")+($AL1396="Environmental Service")+($AL1396="Agriculture, Food Industry and Forestry"))&gt;0,"Science",IF((($AL1396="Banking and Finance")+($AL1396="Management and Administration")+($AL1396="Marketing")+($AL1396="Sales")+($AL1396="Entrepreneurship")+($AL1396="Hospitality and Tourism"))&gt;0,"Commerce",IF((($AL1396="Social Sciences and Humanities")+($AL1396="Law Studies")+($AL1396="Education and Training")+($AL1396="Art, Design")+($AL1396="Entertainment and Mass Media")+($AL1396="Community and Social Service")+($AL1396="Personal Care and Services")+($AL1396="Government and Public Administration")+($AL1396="Defence/ Protective Service")+($AL1396="Sports"))&gt;0,"Arts / Humanities",""))))</f>
        <v/>
      </c>
      <c r="BD1396" s="5" t="str">
        <f aca="false">IF($B1396="","",--(F1396&gt;=10)+--(G1396&gt;=10)+--(H1396&gt;=10)+--(I1396&gt;=10)+--(J1396&gt;=10)+--(K1396&gt;=10)+--(L1396&gt;=10)+--(M1396&gt;=10)+--(N1396&gt;=10)+--(O1396&gt;=10))</f>
        <v/>
      </c>
      <c r="BE1396" s="5" t="str">
        <f aca="false">IF($B1396="","",--(AND(F1396&lt;&gt;"",F1396&lt;=8))+--(AND(G1396&lt;&gt;"",G1396&lt;=8))+--(AND(H1396&lt;&gt;"",H1396&lt;=8))+--(AND(I1396&lt;&gt;"",I1396&lt;=8))+--(AND(J1396&lt;&gt;"",J1396&lt;=8))+--(AND(K1396&lt;&gt;"",K1396&lt;=8))+--(AND(L1396&lt;&gt;"",L1396&lt;=8))+--(AND(M1396&lt;&gt;"",M1396&lt;=8))+--(AND(N1396&lt;&gt;"",N1396&lt;=8))+--(AND(O1396&lt;&gt;"",O1396&lt;=8)))</f>
        <v/>
      </c>
    </row>
    <row r="1397" customFormat="false" ht="15" hidden="false" customHeight="false" outlineLevel="0" collapsed="false">
      <c r="AZ1397" s="5" t="str">
        <f aca="false">IF($B1397="","",SUMPRODUCT(($AL1397:$AO1397&lt;&gt;"")*(COUNTIF($AP1397:$AX1397,$AL1397:$AO1397)&gt;0)))</f>
        <v/>
      </c>
      <c r="BA1397" s="5" t="str">
        <f aca="false">IF($B1397="","",IF(AZ1397&gt;0,1,0))</f>
        <v/>
      </c>
      <c r="BB1397" s="5" t="str">
        <f aca="false">IF($AP1397="","",IF((($AP1397="Engineering and Technology")+($AP1397="Science and Mathematics")+($AP1397="Computer Science, IT and Allied Fields")+($AP1397="Life Sciences /Medicine and Healthcare")+($AP1397="Paramedical")+($AP1397="Architecture")+($AP1397="Environmental Service")+($AP1397="Agriculture, Food Industry and Forestry"))&gt;0,"Science",IF((($AP1397="Banking and Finance")+($AP1397="Management and Administration")+($AP1397="Marketing")+($AP1397="Sales")+($AP1397="Entrepreneurship")+($AP1397="Hospitality and Tourism"))&gt;0,"Commerce",IF((($AP1397="Social Sciences and Humanities")+($AP1397="Law Studies")+($AP1397="Education and Training")+($AP1397="Art, Design")+($AP1397="Entertainment and Mass Media")+($AP1397="Community and Social Service")+($AP1397="Personal Care and Services")+($AP1397="Government and Public Administration")+($AP1397="Defence/ Protective Service")+($AP1397="Sports"))&gt;0,"Arts / Humanities",""))))</f>
        <v/>
      </c>
      <c r="BC1397" s="5" t="str">
        <f aca="false">IF($AL1397="","",IF((($AL1397="Engineering and Technology")+($AL1397="Science and Mathematics")+($AL1397="Computer Science, IT and Allied Fields")+($AL1397="Life Sciences /Medicine and Healthcare")+($AL1397="Paramedical")+($AL1397="Architecture")+($AL1397="Environmental Service")+($AL1397="Agriculture, Food Industry and Forestry"))&gt;0,"Science",IF((($AL1397="Banking and Finance")+($AL1397="Management and Administration")+($AL1397="Marketing")+($AL1397="Sales")+($AL1397="Entrepreneurship")+($AL1397="Hospitality and Tourism"))&gt;0,"Commerce",IF((($AL1397="Social Sciences and Humanities")+($AL1397="Law Studies")+($AL1397="Education and Training")+($AL1397="Art, Design")+($AL1397="Entertainment and Mass Media")+($AL1397="Community and Social Service")+($AL1397="Personal Care and Services")+($AL1397="Government and Public Administration")+($AL1397="Defence/ Protective Service")+($AL1397="Sports"))&gt;0,"Arts / Humanities",""))))</f>
        <v/>
      </c>
      <c r="BD1397" s="5" t="str">
        <f aca="false">IF($B1397="","",--(F1397&gt;=10)+--(G1397&gt;=10)+--(H1397&gt;=10)+--(I1397&gt;=10)+--(J1397&gt;=10)+--(K1397&gt;=10)+--(L1397&gt;=10)+--(M1397&gt;=10)+--(N1397&gt;=10)+--(O1397&gt;=10))</f>
        <v/>
      </c>
      <c r="BE1397" s="5" t="str">
        <f aca="false">IF($B1397="","",--(AND(F1397&lt;&gt;"",F1397&lt;=8))+--(AND(G1397&lt;&gt;"",G1397&lt;=8))+--(AND(H1397&lt;&gt;"",H1397&lt;=8))+--(AND(I1397&lt;&gt;"",I1397&lt;=8))+--(AND(J1397&lt;&gt;"",J1397&lt;=8))+--(AND(K1397&lt;&gt;"",K1397&lt;=8))+--(AND(L1397&lt;&gt;"",L1397&lt;=8))+--(AND(M1397&lt;&gt;"",M1397&lt;=8))+--(AND(N1397&lt;&gt;"",N1397&lt;=8))+--(AND(O1397&lt;&gt;"",O1397&lt;=8)))</f>
        <v/>
      </c>
    </row>
    <row r="1398" customFormat="false" ht="15" hidden="false" customHeight="false" outlineLevel="0" collapsed="false">
      <c r="AZ1398" s="5" t="str">
        <f aca="false">IF($B1398="","",SUMPRODUCT(($AL1398:$AO1398&lt;&gt;"")*(COUNTIF($AP1398:$AX1398,$AL1398:$AO1398)&gt;0)))</f>
        <v/>
      </c>
      <c r="BA1398" s="5" t="str">
        <f aca="false">IF($B1398="","",IF(AZ1398&gt;0,1,0))</f>
        <v/>
      </c>
      <c r="BB1398" s="5" t="str">
        <f aca="false">IF($AP1398="","",IF((($AP1398="Engineering and Technology")+($AP1398="Science and Mathematics")+($AP1398="Computer Science, IT and Allied Fields")+($AP1398="Life Sciences /Medicine and Healthcare")+($AP1398="Paramedical")+($AP1398="Architecture")+($AP1398="Environmental Service")+($AP1398="Agriculture, Food Industry and Forestry"))&gt;0,"Science",IF((($AP1398="Banking and Finance")+($AP1398="Management and Administration")+($AP1398="Marketing")+($AP1398="Sales")+($AP1398="Entrepreneurship")+($AP1398="Hospitality and Tourism"))&gt;0,"Commerce",IF((($AP1398="Social Sciences and Humanities")+($AP1398="Law Studies")+($AP1398="Education and Training")+($AP1398="Art, Design")+($AP1398="Entertainment and Mass Media")+($AP1398="Community and Social Service")+($AP1398="Personal Care and Services")+($AP1398="Government and Public Administration")+($AP1398="Defence/ Protective Service")+($AP1398="Sports"))&gt;0,"Arts / Humanities",""))))</f>
        <v/>
      </c>
      <c r="BC1398" s="5" t="str">
        <f aca="false">IF($AL1398="","",IF((($AL1398="Engineering and Technology")+($AL1398="Science and Mathematics")+($AL1398="Computer Science, IT and Allied Fields")+($AL1398="Life Sciences /Medicine and Healthcare")+($AL1398="Paramedical")+($AL1398="Architecture")+($AL1398="Environmental Service")+($AL1398="Agriculture, Food Industry and Forestry"))&gt;0,"Science",IF((($AL1398="Banking and Finance")+($AL1398="Management and Administration")+($AL1398="Marketing")+($AL1398="Sales")+($AL1398="Entrepreneurship")+($AL1398="Hospitality and Tourism"))&gt;0,"Commerce",IF((($AL1398="Social Sciences and Humanities")+($AL1398="Law Studies")+($AL1398="Education and Training")+($AL1398="Art, Design")+($AL1398="Entertainment and Mass Media")+($AL1398="Community and Social Service")+($AL1398="Personal Care and Services")+($AL1398="Government and Public Administration")+($AL1398="Defence/ Protective Service")+($AL1398="Sports"))&gt;0,"Arts / Humanities",""))))</f>
        <v/>
      </c>
      <c r="BD1398" s="5" t="str">
        <f aca="false">IF($B1398="","",--(F1398&gt;=10)+--(G1398&gt;=10)+--(H1398&gt;=10)+--(I1398&gt;=10)+--(J1398&gt;=10)+--(K1398&gt;=10)+--(L1398&gt;=10)+--(M1398&gt;=10)+--(N1398&gt;=10)+--(O1398&gt;=10))</f>
        <v/>
      </c>
      <c r="BE1398" s="5" t="str">
        <f aca="false">IF($B1398="","",--(AND(F1398&lt;&gt;"",F1398&lt;=8))+--(AND(G1398&lt;&gt;"",G1398&lt;=8))+--(AND(H1398&lt;&gt;"",H1398&lt;=8))+--(AND(I1398&lt;&gt;"",I1398&lt;=8))+--(AND(J1398&lt;&gt;"",J1398&lt;=8))+--(AND(K1398&lt;&gt;"",K1398&lt;=8))+--(AND(L1398&lt;&gt;"",L1398&lt;=8))+--(AND(M1398&lt;&gt;"",M1398&lt;=8))+--(AND(N1398&lt;&gt;"",N1398&lt;=8))+--(AND(O1398&lt;&gt;"",O1398&lt;=8)))</f>
        <v/>
      </c>
    </row>
    <row r="1399" customFormat="false" ht="15" hidden="false" customHeight="false" outlineLevel="0" collapsed="false">
      <c r="AZ1399" s="5" t="str">
        <f aca="false">IF($B1399="","",SUMPRODUCT(($AL1399:$AO1399&lt;&gt;"")*(COUNTIF($AP1399:$AX1399,$AL1399:$AO1399)&gt;0)))</f>
        <v/>
      </c>
      <c r="BA1399" s="5" t="str">
        <f aca="false">IF($B1399="","",IF(AZ1399&gt;0,1,0))</f>
        <v/>
      </c>
      <c r="BB1399" s="5" t="str">
        <f aca="false">IF($AP1399="","",IF((($AP1399="Engineering and Technology")+($AP1399="Science and Mathematics")+($AP1399="Computer Science, IT and Allied Fields")+($AP1399="Life Sciences /Medicine and Healthcare")+($AP1399="Paramedical")+($AP1399="Architecture")+($AP1399="Environmental Service")+($AP1399="Agriculture, Food Industry and Forestry"))&gt;0,"Science",IF((($AP1399="Banking and Finance")+($AP1399="Management and Administration")+($AP1399="Marketing")+($AP1399="Sales")+($AP1399="Entrepreneurship")+($AP1399="Hospitality and Tourism"))&gt;0,"Commerce",IF((($AP1399="Social Sciences and Humanities")+($AP1399="Law Studies")+($AP1399="Education and Training")+($AP1399="Art, Design")+($AP1399="Entertainment and Mass Media")+($AP1399="Community and Social Service")+($AP1399="Personal Care and Services")+($AP1399="Government and Public Administration")+($AP1399="Defence/ Protective Service")+($AP1399="Sports"))&gt;0,"Arts / Humanities",""))))</f>
        <v/>
      </c>
      <c r="BC1399" s="5" t="str">
        <f aca="false">IF($AL1399="","",IF((($AL1399="Engineering and Technology")+($AL1399="Science and Mathematics")+($AL1399="Computer Science, IT and Allied Fields")+($AL1399="Life Sciences /Medicine and Healthcare")+($AL1399="Paramedical")+($AL1399="Architecture")+($AL1399="Environmental Service")+($AL1399="Agriculture, Food Industry and Forestry"))&gt;0,"Science",IF((($AL1399="Banking and Finance")+($AL1399="Management and Administration")+($AL1399="Marketing")+($AL1399="Sales")+($AL1399="Entrepreneurship")+($AL1399="Hospitality and Tourism"))&gt;0,"Commerce",IF((($AL1399="Social Sciences and Humanities")+($AL1399="Law Studies")+($AL1399="Education and Training")+($AL1399="Art, Design")+($AL1399="Entertainment and Mass Media")+($AL1399="Community and Social Service")+($AL1399="Personal Care and Services")+($AL1399="Government and Public Administration")+($AL1399="Defence/ Protective Service")+($AL1399="Sports"))&gt;0,"Arts / Humanities",""))))</f>
        <v/>
      </c>
      <c r="BD1399" s="5" t="str">
        <f aca="false">IF($B1399="","",--(F1399&gt;=10)+--(G1399&gt;=10)+--(H1399&gt;=10)+--(I1399&gt;=10)+--(J1399&gt;=10)+--(K1399&gt;=10)+--(L1399&gt;=10)+--(M1399&gt;=10)+--(N1399&gt;=10)+--(O1399&gt;=10))</f>
        <v/>
      </c>
      <c r="BE1399" s="5" t="str">
        <f aca="false">IF($B1399="","",--(AND(F1399&lt;&gt;"",F1399&lt;=8))+--(AND(G1399&lt;&gt;"",G1399&lt;=8))+--(AND(H1399&lt;&gt;"",H1399&lt;=8))+--(AND(I1399&lt;&gt;"",I1399&lt;=8))+--(AND(J1399&lt;&gt;"",J1399&lt;=8))+--(AND(K1399&lt;&gt;"",K1399&lt;=8))+--(AND(L1399&lt;&gt;"",L1399&lt;=8))+--(AND(M1399&lt;&gt;"",M1399&lt;=8))+--(AND(N1399&lt;&gt;"",N1399&lt;=8))+--(AND(O1399&lt;&gt;"",O1399&lt;=8)))</f>
        <v/>
      </c>
    </row>
    <row r="1400" customFormat="false" ht="15" hidden="false" customHeight="false" outlineLevel="0" collapsed="false">
      <c r="AZ1400" s="5" t="str">
        <f aca="false">IF($B1400="","",SUMPRODUCT(($AL1400:$AO1400&lt;&gt;"")*(COUNTIF($AP1400:$AX1400,$AL1400:$AO1400)&gt;0)))</f>
        <v/>
      </c>
      <c r="BA1400" s="5" t="str">
        <f aca="false">IF($B1400="","",IF(AZ1400&gt;0,1,0))</f>
        <v/>
      </c>
      <c r="BB1400" s="5" t="str">
        <f aca="false">IF($AP1400="","",IF((($AP1400="Engineering and Technology")+($AP1400="Science and Mathematics")+($AP1400="Computer Science, IT and Allied Fields")+($AP1400="Life Sciences /Medicine and Healthcare")+($AP1400="Paramedical")+($AP1400="Architecture")+($AP1400="Environmental Service")+($AP1400="Agriculture, Food Industry and Forestry"))&gt;0,"Science",IF((($AP1400="Banking and Finance")+($AP1400="Management and Administration")+($AP1400="Marketing")+($AP1400="Sales")+($AP1400="Entrepreneurship")+($AP1400="Hospitality and Tourism"))&gt;0,"Commerce",IF((($AP1400="Social Sciences and Humanities")+($AP1400="Law Studies")+($AP1400="Education and Training")+($AP1400="Art, Design")+($AP1400="Entertainment and Mass Media")+($AP1400="Community and Social Service")+($AP1400="Personal Care and Services")+($AP1400="Government and Public Administration")+($AP1400="Defence/ Protective Service")+($AP1400="Sports"))&gt;0,"Arts / Humanities",""))))</f>
        <v/>
      </c>
      <c r="BC1400" s="5" t="str">
        <f aca="false">IF($AL1400="","",IF((($AL1400="Engineering and Technology")+($AL1400="Science and Mathematics")+($AL1400="Computer Science, IT and Allied Fields")+($AL1400="Life Sciences /Medicine and Healthcare")+($AL1400="Paramedical")+($AL1400="Architecture")+($AL1400="Environmental Service")+($AL1400="Agriculture, Food Industry and Forestry"))&gt;0,"Science",IF((($AL1400="Banking and Finance")+($AL1400="Management and Administration")+($AL1400="Marketing")+($AL1400="Sales")+($AL1400="Entrepreneurship")+($AL1400="Hospitality and Tourism"))&gt;0,"Commerce",IF((($AL1400="Social Sciences and Humanities")+($AL1400="Law Studies")+($AL1400="Education and Training")+($AL1400="Art, Design")+($AL1400="Entertainment and Mass Media")+($AL1400="Community and Social Service")+($AL1400="Personal Care and Services")+($AL1400="Government and Public Administration")+($AL1400="Defence/ Protective Service")+($AL1400="Sports"))&gt;0,"Arts / Humanities",""))))</f>
        <v/>
      </c>
      <c r="BD1400" s="5" t="str">
        <f aca="false">IF($B1400="","",--(F1400&gt;=10)+--(G1400&gt;=10)+--(H1400&gt;=10)+--(I1400&gt;=10)+--(J1400&gt;=10)+--(K1400&gt;=10)+--(L1400&gt;=10)+--(M1400&gt;=10)+--(N1400&gt;=10)+--(O1400&gt;=10))</f>
        <v/>
      </c>
      <c r="BE1400" s="5" t="str">
        <f aca="false">IF($B1400="","",--(AND(F1400&lt;&gt;"",F1400&lt;=8))+--(AND(G1400&lt;&gt;"",G1400&lt;=8))+--(AND(H1400&lt;&gt;"",H1400&lt;=8))+--(AND(I1400&lt;&gt;"",I1400&lt;=8))+--(AND(J1400&lt;&gt;"",J1400&lt;=8))+--(AND(K1400&lt;&gt;"",K1400&lt;=8))+--(AND(L1400&lt;&gt;"",L1400&lt;=8))+--(AND(M1400&lt;&gt;"",M1400&lt;=8))+--(AND(N1400&lt;&gt;"",N1400&lt;=8))+--(AND(O1400&lt;&gt;"",O1400&lt;=8)))</f>
        <v/>
      </c>
    </row>
    <row r="1401" customFormat="false" ht="15" hidden="false" customHeight="false" outlineLevel="0" collapsed="false">
      <c r="AZ1401" s="5" t="str">
        <f aca="false">IF($B1401="","",SUMPRODUCT(($AL1401:$AO1401&lt;&gt;"")*(COUNTIF($AP1401:$AX1401,$AL1401:$AO1401)&gt;0)))</f>
        <v/>
      </c>
      <c r="BA1401" s="5" t="str">
        <f aca="false">IF($B1401="","",IF(AZ1401&gt;0,1,0))</f>
        <v/>
      </c>
      <c r="BB1401" s="5" t="str">
        <f aca="false">IF($AP1401="","",IF((($AP1401="Engineering and Technology")+($AP1401="Science and Mathematics")+($AP1401="Computer Science, IT and Allied Fields")+($AP1401="Life Sciences /Medicine and Healthcare")+($AP1401="Paramedical")+($AP1401="Architecture")+($AP1401="Environmental Service")+($AP1401="Agriculture, Food Industry and Forestry"))&gt;0,"Science",IF((($AP1401="Banking and Finance")+($AP1401="Management and Administration")+($AP1401="Marketing")+($AP1401="Sales")+($AP1401="Entrepreneurship")+($AP1401="Hospitality and Tourism"))&gt;0,"Commerce",IF((($AP1401="Social Sciences and Humanities")+($AP1401="Law Studies")+($AP1401="Education and Training")+($AP1401="Art, Design")+($AP1401="Entertainment and Mass Media")+($AP1401="Community and Social Service")+($AP1401="Personal Care and Services")+($AP1401="Government and Public Administration")+($AP1401="Defence/ Protective Service")+($AP1401="Sports"))&gt;0,"Arts / Humanities",""))))</f>
        <v/>
      </c>
      <c r="BC1401" s="5" t="str">
        <f aca="false">IF($AL1401="","",IF((($AL1401="Engineering and Technology")+($AL1401="Science and Mathematics")+($AL1401="Computer Science, IT and Allied Fields")+($AL1401="Life Sciences /Medicine and Healthcare")+($AL1401="Paramedical")+($AL1401="Architecture")+($AL1401="Environmental Service")+($AL1401="Agriculture, Food Industry and Forestry"))&gt;0,"Science",IF((($AL1401="Banking and Finance")+($AL1401="Management and Administration")+($AL1401="Marketing")+($AL1401="Sales")+($AL1401="Entrepreneurship")+($AL1401="Hospitality and Tourism"))&gt;0,"Commerce",IF((($AL1401="Social Sciences and Humanities")+($AL1401="Law Studies")+($AL1401="Education and Training")+($AL1401="Art, Design")+($AL1401="Entertainment and Mass Media")+($AL1401="Community and Social Service")+($AL1401="Personal Care and Services")+($AL1401="Government and Public Administration")+($AL1401="Defence/ Protective Service")+($AL1401="Sports"))&gt;0,"Arts / Humanities",""))))</f>
        <v/>
      </c>
      <c r="BD1401" s="5" t="str">
        <f aca="false">IF($B1401="","",--(F1401&gt;=10)+--(G1401&gt;=10)+--(H1401&gt;=10)+--(I1401&gt;=10)+--(J1401&gt;=10)+--(K1401&gt;=10)+--(L1401&gt;=10)+--(M1401&gt;=10)+--(N1401&gt;=10)+--(O1401&gt;=10))</f>
        <v/>
      </c>
      <c r="BE1401" s="5" t="str">
        <f aca="false">IF($B1401="","",--(AND(F1401&lt;&gt;"",F1401&lt;=8))+--(AND(G1401&lt;&gt;"",G1401&lt;=8))+--(AND(H1401&lt;&gt;"",H1401&lt;=8))+--(AND(I1401&lt;&gt;"",I1401&lt;=8))+--(AND(J1401&lt;&gt;"",J1401&lt;=8))+--(AND(K1401&lt;&gt;"",K1401&lt;=8))+--(AND(L1401&lt;&gt;"",L1401&lt;=8))+--(AND(M1401&lt;&gt;"",M1401&lt;=8))+--(AND(N1401&lt;&gt;"",N1401&lt;=8))+--(AND(O1401&lt;&gt;"",O1401&lt;=8)))</f>
        <v/>
      </c>
    </row>
    <row r="1402" customFormat="false" ht="15" hidden="false" customHeight="false" outlineLevel="0" collapsed="false">
      <c r="AZ1402" s="5" t="str">
        <f aca="false">IF($B1402="","",SUMPRODUCT(($AL1402:$AO1402&lt;&gt;"")*(COUNTIF($AP1402:$AX1402,$AL1402:$AO1402)&gt;0)))</f>
        <v/>
      </c>
      <c r="BA1402" s="5" t="str">
        <f aca="false">IF($B1402="","",IF(AZ1402&gt;0,1,0))</f>
        <v/>
      </c>
      <c r="BB1402" s="5" t="str">
        <f aca="false">IF($AP1402="","",IF((($AP1402="Engineering and Technology")+($AP1402="Science and Mathematics")+($AP1402="Computer Science, IT and Allied Fields")+($AP1402="Life Sciences /Medicine and Healthcare")+($AP1402="Paramedical")+($AP1402="Architecture")+($AP1402="Environmental Service")+($AP1402="Agriculture, Food Industry and Forestry"))&gt;0,"Science",IF((($AP1402="Banking and Finance")+($AP1402="Management and Administration")+($AP1402="Marketing")+($AP1402="Sales")+($AP1402="Entrepreneurship")+($AP1402="Hospitality and Tourism"))&gt;0,"Commerce",IF((($AP1402="Social Sciences and Humanities")+($AP1402="Law Studies")+($AP1402="Education and Training")+($AP1402="Art, Design")+($AP1402="Entertainment and Mass Media")+($AP1402="Community and Social Service")+($AP1402="Personal Care and Services")+($AP1402="Government and Public Administration")+($AP1402="Defence/ Protective Service")+($AP1402="Sports"))&gt;0,"Arts / Humanities",""))))</f>
        <v/>
      </c>
      <c r="BC1402" s="5" t="str">
        <f aca="false">IF($AL1402="","",IF((($AL1402="Engineering and Technology")+($AL1402="Science and Mathematics")+($AL1402="Computer Science, IT and Allied Fields")+($AL1402="Life Sciences /Medicine and Healthcare")+($AL1402="Paramedical")+($AL1402="Architecture")+($AL1402="Environmental Service")+($AL1402="Agriculture, Food Industry and Forestry"))&gt;0,"Science",IF((($AL1402="Banking and Finance")+($AL1402="Management and Administration")+($AL1402="Marketing")+($AL1402="Sales")+($AL1402="Entrepreneurship")+($AL1402="Hospitality and Tourism"))&gt;0,"Commerce",IF((($AL1402="Social Sciences and Humanities")+($AL1402="Law Studies")+($AL1402="Education and Training")+($AL1402="Art, Design")+($AL1402="Entertainment and Mass Media")+($AL1402="Community and Social Service")+($AL1402="Personal Care and Services")+($AL1402="Government and Public Administration")+($AL1402="Defence/ Protective Service")+($AL1402="Sports"))&gt;0,"Arts / Humanities",""))))</f>
        <v/>
      </c>
      <c r="BD1402" s="5" t="str">
        <f aca="false">IF($B1402="","",--(F1402&gt;=10)+--(G1402&gt;=10)+--(H1402&gt;=10)+--(I1402&gt;=10)+--(J1402&gt;=10)+--(K1402&gt;=10)+--(L1402&gt;=10)+--(M1402&gt;=10)+--(N1402&gt;=10)+--(O1402&gt;=10))</f>
        <v/>
      </c>
      <c r="BE1402" s="5" t="str">
        <f aca="false">IF($B1402="","",--(AND(F1402&lt;&gt;"",F1402&lt;=8))+--(AND(G1402&lt;&gt;"",G1402&lt;=8))+--(AND(H1402&lt;&gt;"",H1402&lt;=8))+--(AND(I1402&lt;&gt;"",I1402&lt;=8))+--(AND(J1402&lt;&gt;"",J1402&lt;=8))+--(AND(K1402&lt;&gt;"",K1402&lt;=8))+--(AND(L1402&lt;&gt;"",L1402&lt;=8))+--(AND(M1402&lt;&gt;"",M1402&lt;=8))+--(AND(N1402&lt;&gt;"",N1402&lt;=8))+--(AND(O1402&lt;&gt;"",O1402&lt;=8)))</f>
        <v/>
      </c>
    </row>
    <row r="1403" customFormat="false" ht="15" hidden="false" customHeight="false" outlineLevel="0" collapsed="false">
      <c r="AZ1403" s="5" t="str">
        <f aca="false">IF($B1403="","",SUMPRODUCT(($AL1403:$AO1403&lt;&gt;"")*(COUNTIF($AP1403:$AX1403,$AL1403:$AO1403)&gt;0)))</f>
        <v/>
      </c>
      <c r="BA1403" s="5" t="str">
        <f aca="false">IF($B1403="","",IF(AZ1403&gt;0,1,0))</f>
        <v/>
      </c>
      <c r="BB1403" s="5" t="str">
        <f aca="false">IF($AP1403="","",IF((($AP1403="Engineering and Technology")+($AP1403="Science and Mathematics")+($AP1403="Computer Science, IT and Allied Fields")+($AP1403="Life Sciences /Medicine and Healthcare")+($AP1403="Paramedical")+($AP1403="Architecture")+($AP1403="Environmental Service")+($AP1403="Agriculture, Food Industry and Forestry"))&gt;0,"Science",IF((($AP1403="Banking and Finance")+($AP1403="Management and Administration")+($AP1403="Marketing")+($AP1403="Sales")+($AP1403="Entrepreneurship")+($AP1403="Hospitality and Tourism"))&gt;0,"Commerce",IF((($AP1403="Social Sciences and Humanities")+($AP1403="Law Studies")+($AP1403="Education and Training")+($AP1403="Art, Design")+($AP1403="Entertainment and Mass Media")+($AP1403="Community and Social Service")+($AP1403="Personal Care and Services")+($AP1403="Government and Public Administration")+($AP1403="Defence/ Protective Service")+($AP1403="Sports"))&gt;0,"Arts / Humanities",""))))</f>
        <v/>
      </c>
      <c r="BC1403" s="5" t="str">
        <f aca="false">IF($AL1403="","",IF((($AL1403="Engineering and Technology")+($AL1403="Science and Mathematics")+($AL1403="Computer Science, IT and Allied Fields")+($AL1403="Life Sciences /Medicine and Healthcare")+($AL1403="Paramedical")+($AL1403="Architecture")+($AL1403="Environmental Service")+($AL1403="Agriculture, Food Industry and Forestry"))&gt;0,"Science",IF((($AL1403="Banking and Finance")+($AL1403="Management and Administration")+($AL1403="Marketing")+($AL1403="Sales")+($AL1403="Entrepreneurship")+($AL1403="Hospitality and Tourism"))&gt;0,"Commerce",IF((($AL1403="Social Sciences and Humanities")+($AL1403="Law Studies")+($AL1403="Education and Training")+($AL1403="Art, Design")+($AL1403="Entertainment and Mass Media")+($AL1403="Community and Social Service")+($AL1403="Personal Care and Services")+($AL1403="Government and Public Administration")+($AL1403="Defence/ Protective Service")+($AL1403="Sports"))&gt;0,"Arts / Humanities",""))))</f>
        <v/>
      </c>
      <c r="BD1403" s="5" t="str">
        <f aca="false">IF($B1403="","",--(F1403&gt;=10)+--(G1403&gt;=10)+--(H1403&gt;=10)+--(I1403&gt;=10)+--(J1403&gt;=10)+--(K1403&gt;=10)+--(L1403&gt;=10)+--(M1403&gt;=10)+--(N1403&gt;=10)+--(O1403&gt;=10))</f>
        <v/>
      </c>
      <c r="BE1403" s="5" t="str">
        <f aca="false">IF($B1403="","",--(AND(F1403&lt;&gt;"",F1403&lt;=8))+--(AND(G1403&lt;&gt;"",G1403&lt;=8))+--(AND(H1403&lt;&gt;"",H1403&lt;=8))+--(AND(I1403&lt;&gt;"",I1403&lt;=8))+--(AND(J1403&lt;&gt;"",J1403&lt;=8))+--(AND(K1403&lt;&gt;"",K1403&lt;=8))+--(AND(L1403&lt;&gt;"",L1403&lt;=8))+--(AND(M1403&lt;&gt;"",M1403&lt;=8))+--(AND(N1403&lt;&gt;"",N1403&lt;=8))+--(AND(O1403&lt;&gt;"",O1403&lt;=8)))</f>
        <v/>
      </c>
    </row>
    <row r="1404" customFormat="false" ht="15" hidden="false" customHeight="false" outlineLevel="0" collapsed="false">
      <c r="AZ1404" s="5" t="str">
        <f aca="false">IF($B1404="","",SUMPRODUCT(($AL1404:$AO1404&lt;&gt;"")*(COUNTIF($AP1404:$AX1404,$AL1404:$AO1404)&gt;0)))</f>
        <v/>
      </c>
      <c r="BA1404" s="5" t="str">
        <f aca="false">IF($B1404="","",IF(AZ1404&gt;0,1,0))</f>
        <v/>
      </c>
      <c r="BB1404" s="5" t="str">
        <f aca="false">IF($AP1404="","",IF((($AP1404="Engineering and Technology")+($AP1404="Science and Mathematics")+($AP1404="Computer Science, IT and Allied Fields")+($AP1404="Life Sciences /Medicine and Healthcare")+($AP1404="Paramedical")+($AP1404="Architecture")+($AP1404="Environmental Service")+($AP1404="Agriculture, Food Industry and Forestry"))&gt;0,"Science",IF((($AP1404="Banking and Finance")+($AP1404="Management and Administration")+($AP1404="Marketing")+($AP1404="Sales")+($AP1404="Entrepreneurship")+($AP1404="Hospitality and Tourism"))&gt;0,"Commerce",IF((($AP1404="Social Sciences and Humanities")+($AP1404="Law Studies")+($AP1404="Education and Training")+($AP1404="Art, Design")+($AP1404="Entertainment and Mass Media")+($AP1404="Community and Social Service")+($AP1404="Personal Care and Services")+($AP1404="Government and Public Administration")+($AP1404="Defence/ Protective Service")+($AP1404="Sports"))&gt;0,"Arts / Humanities",""))))</f>
        <v/>
      </c>
      <c r="BC1404" s="5" t="str">
        <f aca="false">IF($AL1404="","",IF((($AL1404="Engineering and Technology")+($AL1404="Science and Mathematics")+($AL1404="Computer Science, IT and Allied Fields")+($AL1404="Life Sciences /Medicine and Healthcare")+($AL1404="Paramedical")+($AL1404="Architecture")+($AL1404="Environmental Service")+($AL1404="Agriculture, Food Industry and Forestry"))&gt;0,"Science",IF((($AL1404="Banking and Finance")+($AL1404="Management and Administration")+($AL1404="Marketing")+($AL1404="Sales")+($AL1404="Entrepreneurship")+($AL1404="Hospitality and Tourism"))&gt;0,"Commerce",IF((($AL1404="Social Sciences and Humanities")+($AL1404="Law Studies")+($AL1404="Education and Training")+($AL1404="Art, Design")+($AL1404="Entertainment and Mass Media")+($AL1404="Community and Social Service")+($AL1404="Personal Care and Services")+($AL1404="Government and Public Administration")+($AL1404="Defence/ Protective Service")+($AL1404="Sports"))&gt;0,"Arts / Humanities",""))))</f>
        <v/>
      </c>
      <c r="BD1404" s="5" t="str">
        <f aca="false">IF($B1404="","",--(F1404&gt;=10)+--(G1404&gt;=10)+--(H1404&gt;=10)+--(I1404&gt;=10)+--(J1404&gt;=10)+--(K1404&gt;=10)+--(L1404&gt;=10)+--(M1404&gt;=10)+--(N1404&gt;=10)+--(O1404&gt;=10))</f>
        <v/>
      </c>
      <c r="BE1404" s="5" t="str">
        <f aca="false">IF($B1404="","",--(AND(F1404&lt;&gt;"",F1404&lt;=8))+--(AND(G1404&lt;&gt;"",G1404&lt;=8))+--(AND(H1404&lt;&gt;"",H1404&lt;=8))+--(AND(I1404&lt;&gt;"",I1404&lt;=8))+--(AND(J1404&lt;&gt;"",J1404&lt;=8))+--(AND(K1404&lt;&gt;"",K1404&lt;=8))+--(AND(L1404&lt;&gt;"",L1404&lt;=8))+--(AND(M1404&lt;&gt;"",M1404&lt;=8))+--(AND(N1404&lt;&gt;"",N1404&lt;=8))+--(AND(O1404&lt;&gt;"",O1404&lt;=8)))</f>
        <v/>
      </c>
    </row>
    <row r="1405" customFormat="false" ht="15" hidden="false" customHeight="false" outlineLevel="0" collapsed="false">
      <c r="AZ1405" s="5" t="str">
        <f aca="false">IF($B1405="","",SUMPRODUCT(($AL1405:$AO1405&lt;&gt;"")*(COUNTIF($AP1405:$AX1405,$AL1405:$AO1405)&gt;0)))</f>
        <v/>
      </c>
      <c r="BA1405" s="5" t="str">
        <f aca="false">IF($B1405="","",IF(AZ1405&gt;0,1,0))</f>
        <v/>
      </c>
      <c r="BB1405" s="5" t="str">
        <f aca="false">IF($AP1405="","",IF((($AP1405="Engineering and Technology")+($AP1405="Science and Mathematics")+($AP1405="Computer Science, IT and Allied Fields")+($AP1405="Life Sciences /Medicine and Healthcare")+($AP1405="Paramedical")+($AP1405="Architecture")+($AP1405="Environmental Service")+($AP1405="Agriculture, Food Industry and Forestry"))&gt;0,"Science",IF((($AP1405="Banking and Finance")+($AP1405="Management and Administration")+($AP1405="Marketing")+($AP1405="Sales")+($AP1405="Entrepreneurship")+($AP1405="Hospitality and Tourism"))&gt;0,"Commerce",IF((($AP1405="Social Sciences and Humanities")+($AP1405="Law Studies")+($AP1405="Education and Training")+($AP1405="Art, Design")+($AP1405="Entertainment and Mass Media")+($AP1405="Community and Social Service")+($AP1405="Personal Care and Services")+($AP1405="Government and Public Administration")+($AP1405="Defence/ Protective Service")+($AP1405="Sports"))&gt;0,"Arts / Humanities",""))))</f>
        <v/>
      </c>
      <c r="BC1405" s="5" t="str">
        <f aca="false">IF($AL1405="","",IF((($AL1405="Engineering and Technology")+($AL1405="Science and Mathematics")+($AL1405="Computer Science, IT and Allied Fields")+($AL1405="Life Sciences /Medicine and Healthcare")+($AL1405="Paramedical")+($AL1405="Architecture")+($AL1405="Environmental Service")+($AL1405="Agriculture, Food Industry and Forestry"))&gt;0,"Science",IF((($AL1405="Banking and Finance")+($AL1405="Management and Administration")+($AL1405="Marketing")+($AL1405="Sales")+($AL1405="Entrepreneurship")+($AL1405="Hospitality and Tourism"))&gt;0,"Commerce",IF((($AL1405="Social Sciences and Humanities")+($AL1405="Law Studies")+($AL1405="Education and Training")+($AL1405="Art, Design")+($AL1405="Entertainment and Mass Media")+($AL1405="Community and Social Service")+($AL1405="Personal Care and Services")+($AL1405="Government and Public Administration")+($AL1405="Defence/ Protective Service")+($AL1405="Sports"))&gt;0,"Arts / Humanities",""))))</f>
        <v/>
      </c>
      <c r="BD1405" s="5" t="str">
        <f aca="false">IF($B1405="","",--(F1405&gt;=10)+--(G1405&gt;=10)+--(H1405&gt;=10)+--(I1405&gt;=10)+--(J1405&gt;=10)+--(K1405&gt;=10)+--(L1405&gt;=10)+--(M1405&gt;=10)+--(N1405&gt;=10)+--(O1405&gt;=10))</f>
        <v/>
      </c>
      <c r="BE1405" s="5" t="str">
        <f aca="false">IF($B1405="","",--(AND(F1405&lt;&gt;"",F1405&lt;=8))+--(AND(G1405&lt;&gt;"",G1405&lt;=8))+--(AND(H1405&lt;&gt;"",H1405&lt;=8))+--(AND(I1405&lt;&gt;"",I1405&lt;=8))+--(AND(J1405&lt;&gt;"",J1405&lt;=8))+--(AND(K1405&lt;&gt;"",K1405&lt;=8))+--(AND(L1405&lt;&gt;"",L1405&lt;=8))+--(AND(M1405&lt;&gt;"",M1405&lt;=8))+--(AND(N1405&lt;&gt;"",N1405&lt;=8))+--(AND(O1405&lt;&gt;"",O1405&lt;=8)))</f>
        <v/>
      </c>
    </row>
    <row r="1406" customFormat="false" ht="15" hidden="false" customHeight="false" outlineLevel="0" collapsed="false">
      <c r="AZ1406" s="5" t="str">
        <f aca="false">IF($B1406="","",SUMPRODUCT(($AL1406:$AO1406&lt;&gt;"")*(COUNTIF($AP1406:$AX1406,$AL1406:$AO1406)&gt;0)))</f>
        <v/>
      </c>
      <c r="BA1406" s="5" t="str">
        <f aca="false">IF($B1406="","",IF(AZ1406&gt;0,1,0))</f>
        <v/>
      </c>
      <c r="BB1406" s="5" t="str">
        <f aca="false">IF($AP1406="","",IF((($AP1406="Engineering and Technology")+($AP1406="Science and Mathematics")+($AP1406="Computer Science, IT and Allied Fields")+($AP1406="Life Sciences /Medicine and Healthcare")+($AP1406="Paramedical")+($AP1406="Architecture")+($AP1406="Environmental Service")+($AP1406="Agriculture, Food Industry and Forestry"))&gt;0,"Science",IF((($AP1406="Banking and Finance")+($AP1406="Management and Administration")+($AP1406="Marketing")+($AP1406="Sales")+($AP1406="Entrepreneurship")+($AP1406="Hospitality and Tourism"))&gt;0,"Commerce",IF((($AP1406="Social Sciences and Humanities")+($AP1406="Law Studies")+($AP1406="Education and Training")+($AP1406="Art, Design")+($AP1406="Entertainment and Mass Media")+($AP1406="Community and Social Service")+($AP1406="Personal Care and Services")+($AP1406="Government and Public Administration")+($AP1406="Defence/ Protective Service")+($AP1406="Sports"))&gt;0,"Arts / Humanities",""))))</f>
        <v/>
      </c>
      <c r="BC1406" s="5" t="str">
        <f aca="false">IF($AL1406="","",IF((($AL1406="Engineering and Technology")+($AL1406="Science and Mathematics")+($AL1406="Computer Science, IT and Allied Fields")+($AL1406="Life Sciences /Medicine and Healthcare")+($AL1406="Paramedical")+($AL1406="Architecture")+($AL1406="Environmental Service")+($AL1406="Agriculture, Food Industry and Forestry"))&gt;0,"Science",IF((($AL1406="Banking and Finance")+($AL1406="Management and Administration")+($AL1406="Marketing")+($AL1406="Sales")+($AL1406="Entrepreneurship")+($AL1406="Hospitality and Tourism"))&gt;0,"Commerce",IF((($AL1406="Social Sciences and Humanities")+($AL1406="Law Studies")+($AL1406="Education and Training")+($AL1406="Art, Design")+($AL1406="Entertainment and Mass Media")+($AL1406="Community and Social Service")+($AL1406="Personal Care and Services")+($AL1406="Government and Public Administration")+($AL1406="Defence/ Protective Service")+($AL1406="Sports"))&gt;0,"Arts / Humanities",""))))</f>
        <v/>
      </c>
      <c r="BD1406" s="5" t="str">
        <f aca="false">IF($B1406="","",--(F1406&gt;=10)+--(G1406&gt;=10)+--(H1406&gt;=10)+--(I1406&gt;=10)+--(J1406&gt;=10)+--(K1406&gt;=10)+--(L1406&gt;=10)+--(M1406&gt;=10)+--(N1406&gt;=10)+--(O1406&gt;=10))</f>
        <v/>
      </c>
      <c r="BE1406" s="5" t="str">
        <f aca="false">IF($B1406="","",--(AND(F1406&lt;&gt;"",F1406&lt;=8))+--(AND(G1406&lt;&gt;"",G1406&lt;=8))+--(AND(H1406&lt;&gt;"",H1406&lt;=8))+--(AND(I1406&lt;&gt;"",I1406&lt;=8))+--(AND(J1406&lt;&gt;"",J1406&lt;=8))+--(AND(K1406&lt;&gt;"",K1406&lt;=8))+--(AND(L1406&lt;&gt;"",L1406&lt;=8))+--(AND(M1406&lt;&gt;"",M1406&lt;=8))+--(AND(N1406&lt;&gt;"",N1406&lt;=8))+--(AND(O1406&lt;&gt;"",O1406&lt;=8)))</f>
        <v/>
      </c>
    </row>
    <row r="1407" customFormat="false" ht="15" hidden="false" customHeight="false" outlineLevel="0" collapsed="false">
      <c r="AZ1407" s="5" t="str">
        <f aca="false">IF($B1407="","",SUMPRODUCT(($AL1407:$AO1407&lt;&gt;"")*(COUNTIF($AP1407:$AX1407,$AL1407:$AO1407)&gt;0)))</f>
        <v/>
      </c>
      <c r="BA1407" s="5" t="str">
        <f aca="false">IF($B1407="","",IF(AZ1407&gt;0,1,0))</f>
        <v/>
      </c>
      <c r="BB1407" s="5" t="str">
        <f aca="false">IF($AP1407="","",IF((($AP1407="Engineering and Technology")+($AP1407="Science and Mathematics")+($AP1407="Computer Science, IT and Allied Fields")+($AP1407="Life Sciences /Medicine and Healthcare")+($AP1407="Paramedical")+($AP1407="Architecture")+($AP1407="Environmental Service")+($AP1407="Agriculture, Food Industry and Forestry"))&gt;0,"Science",IF((($AP1407="Banking and Finance")+($AP1407="Management and Administration")+($AP1407="Marketing")+($AP1407="Sales")+($AP1407="Entrepreneurship")+($AP1407="Hospitality and Tourism"))&gt;0,"Commerce",IF((($AP1407="Social Sciences and Humanities")+($AP1407="Law Studies")+($AP1407="Education and Training")+($AP1407="Art, Design")+($AP1407="Entertainment and Mass Media")+($AP1407="Community and Social Service")+($AP1407="Personal Care and Services")+($AP1407="Government and Public Administration")+($AP1407="Defence/ Protective Service")+($AP1407="Sports"))&gt;0,"Arts / Humanities",""))))</f>
        <v/>
      </c>
      <c r="BC1407" s="5" t="str">
        <f aca="false">IF($AL1407="","",IF((($AL1407="Engineering and Technology")+($AL1407="Science and Mathematics")+($AL1407="Computer Science, IT and Allied Fields")+($AL1407="Life Sciences /Medicine and Healthcare")+($AL1407="Paramedical")+($AL1407="Architecture")+($AL1407="Environmental Service")+($AL1407="Agriculture, Food Industry and Forestry"))&gt;0,"Science",IF((($AL1407="Banking and Finance")+($AL1407="Management and Administration")+($AL1407="Marketing")+($AL1407="Sales")+($AL1407="Entrepreneurship")+($AL1407="Hospitality and Tourism"))&gt;0,"Commerce",IF((($AL1407="Social Sciences and Humanities")+($AL1407="Law Studies")+($AL1407="Education and Training")+($AL1407="Art, Design")+($AL1407="Entertainment and Mass Media")+($AL1407="Community and Social Service")+($AL1407="Personal Care and Services")+($AL1407="Government and Public Administration")+($AL1407="Defence/ Protective Service")+($AL1407="Sports"))&gt;0,"Arts / Humanities",""))))</f>
        <v/>
      </c>
      <c r="BD1407" s="5" t="str">
        <f aca="false">IF($B1407="","",--(F1407&gt;=10)+--(G1407&gt;=10)+--(H1407&gt;=10)+--(I1407&gt;=10)+--(J1407&gt;=10)+--(K1407&gt;=10)+--(L1407&gt;=10)+--(M1407&gt;=10)+--(N1407&gt;=10)+--(O1407&gt;=10))</f>
        <v/>
      </c>
      <c r="BE1407" s="5" t="str">
        <f aca="false">IF($B1407="","",--(AND(F1407&lt;&gt;"",F1407&lt;=8))+--(AND(G1407&lt;&gt;"",G1407&lt;=8))+--(AND(H1407&lt;&gt;"",H1407&lt;=8))+--(AND(I1407&lt;&gt;"",I1407&lt;=8))+--(AND(J1407&lt;&gt;"",J1407&lt;=8))+--(AND(K1407&lt;&gt;"",K1407&lt;=8))+--(AND(L1407&lt;&gt;"",L1407&lt;=8))+--(AND(M1407&lt;&gt;"",M1407&lt;=8))+--(AND(N1407&lt;&gt;"",N1407&lt;=8))+--(AND(O1407&lt;&gt;"",O1407&lt;=8)))</f>
        <v/>
      </c>
    </row>
    <row r="1408" customFormat="false" ht="15" hidden="false" customHeight="false" outlineLevel="0" collapsed="false">
      <c r="AZ1408" s="5" t="str">
        <f aca="false">IF($B1408="","",SUMPRODUCT(($AL1408:$AO1408&lt;&gt;"")*(COUNTIF($AP1408:$AX1408,$AL1408:$AO1408)&gt;0)))</f>
        <v/>
      </c>
      <c r="BA1408" s="5" t="str">
        <f aca="false">IF($B1408="","",IF(AZ1408&gt;0,1,0))</f>
        <v/>
      </c>
      <c r="BB1408" s="5" t="str">
        <f aca="false">IF($AP1408="","",IF((($AP1408="Engineering and Technology")+($AP1408="Science and Mathematics")+($AP1408="Computer Science, IT and Allied Fields")+($AP1408="Life Sciences /Medicine and Healthcare")+($AP1408="Paramedical")+($AP1408="Architecture")+($AP1408="Environmental Service")+($AP1408="Agriculture, Food Industry and Forestry"))&gt;0,"Science",IF((($AP1408="Banking and Finance")+($AP1408="Management and Administration")+($AP1408="Marketing")+($AP1408="Sales")+($AP1408="Entrepreneurship")+($AP1408="Hospitality and Tourism"))&gt;0,"Commerce",IF((($AP1408="Social Sciences and Humanities")+($AP1408="Law Studies")+($AP1408="Education and Training")+($AP1408="Art, Design")+($AP1408="Entertainment and Mass Media")+($AP1408="Community and Social Service")+($AP1408="Personal Care and Services")+($AP1408="Government and Public Administration")+($AP1408="Defence/ Protective Service")+($AP1408="Sports"))&gt;0,"Arts / Humanities",""))))</f>
        <v/>
      </c>
      <c r="BC1408" s="5" t="str">
        <f aca="false">IF($AL1408="","",IF((($AL1408="Engineering and Technology")+($AL1408="Science and Mathematics")+($AL1408="Computer Science, IT and Allied Fields")+($AL1408="Life Sciences /Medicine and Healthcare")+($AL1408="Paramedical")+($AL1408="Architecture")+($AL1408="Environmental Service")+($AL1408="Agriculture, Food Industry and Forestry"))&gt;0,"Science",IF((($AL1408="Banking and Finance")+($AL1408="Management and Administration")+($AL1408="Marketing")+($AL1408="Sales")+($AL1408="Entrepreneurship")+($AL1408="Hospitality and Tourism"))&gt;0,"Commerce",IF((($AL1408="Social Sciences and Humanities")+($AL1408="Law Studies")+($AL1408="Education and Training")+($AL1408="Art, Design")+($AL1408="Entertainment and Mass Media")+($AL1408="Community and Social Service")+($AL1408="Personal Care and Services")+($AL1408="Government and Public Administration")+($AL1408="Defence/ Protective Service")+($AL1408="Sports"))&gt;0,"Arts / Humanities",""))))</f>
        <v/>
      </c>
      <c r="BD1408" s="5" t="str">
        <f aca="false">IF($B1408="","",--(F1408&gt;=10)+--(G1408&gt;=10)+--(H1408&gt;=10)+--(I1408&gt;=10)+--(J1408&gt;=10)+--(K1408&gt;=10)+--(L1408&gt;=10)+--(M1408&gt;=10)+--(N1408&gt;=10)+--(O1408&gt;=10))</f>
        <v/>
      </c>
      <c r="BE1408" s="5" t="str">
        <f aca="false">IF($B1408="","",--(AND(F1408&lt;&gt;"",F1408&lt;=8))+--(AND(G1408&lt;&gt;"",G1408&lt;=8))+--(AND(H1408&lt;&gt;"",H1408&lt;=8))+--(AND(I1408&lt;&gt;"",I1408&lt;=8))+--(AND(J1408&lt;&gt;"",J1408&lt;=8))+--(AND(K1408&lt;&gt;"",K1408&lt;=8))+--(AND(L1408&lt;&gt;"",L1408&lt;=8))+--(AND(M1408&lt;&gt;"",M1408&lt;=8))+--(AND(N1408&lt;&gt;"",N1408&lt;=8))+--(AND(O1408&lt;&gt;"",O1408&lt;=8)))</f>
        <v/>
      </c>
    </row>
    <row r="1409" customFormat="false" ht="15" hidden="false" customHeight="false" outlineLevel="0" collapsed="false">
      <c r="AZ1409" s="5" t="str">
        <f aca="false">IF($B1409="","",SUMPRODUCT(($AL1409:$AO1409&lt;&gt;"")*(COUNTIF($AP1409:$AX1409,$AL1409:$AO1409)&gt;0)))</f>
        <v/>
      </c>
      <c r="BA1409" s="5" t="str">
        <f aca="false">IF($B1409="","",IF(AZ1409&gt;0,1,0))</f>
        <v/>
      </c>
      <c r="BB1409" s="5" t="str">
        <f aca="false">IF($AP1409="","",IF((($AP1409="Engineering and Technology")+($AP1409="Science and Mathematics")+($AP1409="Computer Science, IT and Allied Fields")+($AP1409="Life Sciences /Medicine and Healthcare")+($AP1409="Paramedical")+($AP1409="Architecture")+($AP1409="Environmental Service")+($AP1409="Agriculture, Food Industry and Forestry"))&gt;0,"Science",IF((($AP1409="Banking and Finance")+($AP1409="Management and Administration")+($AP1409="Marketing")+($AP1409="Sales")+($AP1409="Entrepreneurship")+($AP1409="Hospitality and Tourism"))&gt;0,"Commerce",IF((($AP1409="Social Sciences and Humanities")+($AP1409="Law Studies")+($AP1409="Education and Training")+($AP1409="Art, Design")+($AP1409="Entertainment and Mass Media")+($AP1409="Community and Social Service")+($AP1409="Personal Care and Services")+($AP1409="Government and Public Administration")+($AP1409="Defence/ Protective Service")+($AP1409="Sports"))&gt;0,"Arts / Humanities",""))))</f>
        <v/>
      </c>
      <c r="BC1409" s="5" t="str">
        <f aca="false">IF($AL1409="","",IF((($AL1409="Engineering and Technology")+($AL1409="Science and Mathematics")+($AL1409="Computer Science, IT and Allied Fields")+($AL1409="Life Sciences /Medicine and Healthcare")+($AL1409="Paramedical")+($AL1409="Architecture")+($AL1409="Environmental Service")+($AL1409="Agriculture, Food Industry and Forestry"))&gt;0,"Science",IF((($AL1409="Banking and Finance")+($AL1409="Management and Administration")+($AL1409="Marketing")+($AL1409="Sales")+($AL1409="Entrepreneurship")+($AL1409="Hospitality and Tourism"))&gt;0,"Commerce",IF((($AL1409="Social Sciences and Humanities")+($AL1409="Law Studies")+($AL1409="Education and Training")+($AL1409="Art, Design")+($AL1409="Entertainment and Mass Media")+($AL1409="Community and Social Service")+($AL1409="Personal Care and Services")+($AL1409="Government and Public Administration")+($AL1409="Defence/ Protective Service")+($AL1409="Sports"))&gt;0,"Arts / Humanities",""))))</f>
        <v/>
      </c>
      <c r="BD1409" s="5" t="str">
        <f aca="false">IF($B1409="","",--(F1409&gt;=10)+--(G1409&gt;=10)+--(H1409&gt;=10)+--(I1409&gt;=10)+--(J1409&gt;=10)+--(K1409&gt;=10)+--(L1409&gt;=10)+--(M1409&gt;=10)+--(N1409&gt;=10)+--(O1409&gt;=10))</f>
        <v/>
      </c>
      <c r="BE1409" s="5" t="str">
        <f aca="false">IF($B1409="","",--(AND(F1409&lt;&gt;"",F1409&lt;=8))+--(AND(G1409&lt;&gt;"",G1409&lt;=8))+--(AND(H1409&lt;&gt;"",H1409&lt;=8))+--(AND(I1409&lt;&gt;"",I1409&lt;=8))+--(AND(J1409&lt;&gt;"",J1409&lt;=8))+--(AND(K1409&lt;&gt;"",K1409&lt;=8))+--(AND(L1409&lt;&gt;"",L1409&lt;=8))+--(AND(M1409&lt;&gt;"",M1409&lt;=8))+--(AND(N1409&lt;&gt;"",N1409&lt;=8))+--(AND(O1409&lt;&gt;"",O1409&lt;=8)))</f>
        <v/>
      </c>
    </row>
    <row r="1410" customFormat="false" ht="15" hidden="false" customHeight="false" outlineLevel="0" collapsed="false">
      <c r="AZ1410" s="5" t="str">
        <f aca="false">IF($B1410="","",SUMPRODUCT(($AL1410:$AO1410&lt;&gt;"")*(COUNTIF($AP1410:$AX1410,$AL1410:$AO1410)&gt;0)))</f>
        <v/>
      </c>
      <c r="BA1410" s="5" t="str">
        <f aca="false">IF($B1410="","",IF(AZ1410&gt;0,1,0))</f>
        <v/>
      </c>
      <c r="BB1410" s="5" t="str">
        <f aca="false">IF($AP1410="","",IF((($AP1410="Engineering and Technology")+($AP1410="Science and Mathematics")+($AP1410="Computer Science, IT and Allied Fields")+($AP1410="Life Sciences /Medicine and Healthcare")+($AP1410="Paramedical")+($AP1410="Architecture")+($AP1410="Environmental Service")+($AP1410="Agriculture, Food Industry and Forestry"))&gt;0,"Science",IF((($AP1410="Banking and Finance")+($AP1410="Management and Administration")+($AP1410="Marketing")+($AP1410="Sales")+($AP1410="Entrepreneurship")+($AP1410="Hospitality and Tourism"))&gt;0,"Commerce",IF((($AP1410="Social Sciences and Humanities")+($AP1410="Law Studies")+($AP1410="Education and Training")+($AP1410="Art, Design")+($AP1410="Entertainment and Mass Media")+($AP1410="Community and Social Service")+($AP1410="Personal Care and Services")+($AP1410="Government and Public Administration")+($AP1410="Defence/ Protective Service")+($AP1410="Sports"))&gt;0,"Arts / Humanities",""))))</f>
        <v/>
      </c>
      <c r="BC1410" s="5" t="str">
        <f aca="false">IF($AL1410="","",IF((($AL1410="Engineering and Technology")+($AL1410="Science and Mathematics")+($AL1410="Computer Science, IT and Allied Fields")+($AL1410="Life Sciences /Medicine and Healthcare")+($AL1410="Paramedical")+($AL1410="Architecture")+($AL1410="Environmental Service")+($AL1410="Agriculture, Food Industry and Forestry"))&gt;0,"Science",IF((($AL1410="Banking and Finance")+($AL1410="Management and Administration")+($AL1410="Marketing")+($AL1410="Sales")+($AL1410="Entrepreneurship")+($AL1410="Hospitality and Tourism"))&gt;0,"Commerce",IF((($AL1410="Social Sciences and Humanities")+($AL1410="Law Studies")+($AL1410="Education and Training")+($AL1410="Art, Design")+($AL1410="Entertainment and Mass Media")+($AL1410="Community and Social Service")+($AL1410="Personal Care and Services")+($AL1410="Government and Public Administration")+($AL1410="Defence/ Protective Service")+($AL1410="Sports"))&gt;0,"Arts / Humanities",""))))</f>
        <v/>
      </c>
      <c r="BD1410" s="5" t="str">
        <f aca="false">IF($B1410="","",--(F1410&gt;=10)+--(G1410&gt;=10)+--(H1410&gt;=10)+--(I1410&gt;=10)+--(J1410&gt;=10)+--(K1410&gt;=10)+--(L1410&gt;=10)+--(M1410&gt;=10)+--(N1410&gt;=10)+--(O1410&gt;=10))</f>
        <v/>
      </c>
      <c r="BE1410" s="5" t="str">
        <f aca="false">IF($B1410="","",--(AND(F1410&lt;&gt;"",F1410&lt;=8))+--(AND(G1410&lt;&gt;"",G1410&lt;=8))+--(AND(H1410&lt;&gt;"",H1410&lt;=8))+--(AND(I1410&lt;&gt;"",I1410&lt;=8))+--(AND(J1410&lt;&gt;"",J1410&lt;=8))+--(AND(K1410&lt;&gt;"",K1410&lt;=8))+--(AND(L1410&lt;&gt;"",L1410&lt;=8))+--(AND(M1410&lt;&gt;"",M1410&lt;=8))+--(AND(N1410&lt;&gt;"",N1410&lt;=8))+--(AND(O1410&lt;&gt;"",O1410&lt;=8)))</f>
        <v/>
      </c>
    </row>
    <row r="1411" customFormat="false" ht="15" hidden="false" customHeight="false" outlineLevel="0" collapsed="false">
      <c r="AZ1411" s="5" t="str">
        <f aca="false">IF($B1411="","",SUMPRODUCT(($AL1411:$AO1411&lt;&gt;"")*(COUNTIF($AP1411:$AX1411,$AL1411:$AO1411)&gt;0)))</f>
        <v/>
      </c>
      <c r="BA1411" s="5" t="str">
        <f aca="false">IF($B1411="","",IF(AZ1411&gt;0,1,0))</f>
        <v/>
      </c>
      <c r="BB1411" s="5" t="str">
        <f aca="false">IF($AP1411="","",IF((($AP1411="Engineering and Technology")+($AP1411="Science and Mathematics")+($AP1411="Computer Science, IT and Allied Fields")+($AP1411="Life Sciences /Medicine and Healthcare")+($AP1411="Paramedical")+($AP1411="Architecture")+($AP1411="Environmental Service")+($AP1411="Agriculture, Food Industry and Forestry"))&gt;0,"Science",IF((($AP1411="Banking and Finance")+($AP1411="Management and Administration")+($AP1411="Marketing")+($AP1411="Sales")+($AP1411="Entrepreneurship")+($AP1411="Hospitality and Tourism"))&gt;0,"Commerce",IF((($AP1411="Social Sciences and Humanities")+($AP1411="Law Studies")+($AP1411="Education and Training")+($AP1411="Art, Design")+($AP1411="Entertainment and Mass Media")+($AP1411="Community and Social Service")+($AP1411="Personal Care and Services")+($AP1411="Government and Public Administration")+($AP1411="Defence/ Protective Service")+($AP1411="Sports"))&gt;0,"Arts / Humanities",""))))</f>
        <v/>
      </c>
      <c r="BC1411" s="5" t="str">
        <f aca="false">IF($AL1411="","",IF((($AL1411="Engineering and Technology")+($AL1411="Science and Mathematics")+($AL1411="Computer Science, IT and Allied Fields")+($AL1411="Life Sciences /Medicine and Healthcare")+($AL1411="Paramedical")+($AL1411="Architecture")+($AL1411="Environmental Service")+($AL1411="Agriculture, Food Industry and Forestry"))&gt;0,"Science",IF((($AL1411="Banking and Finance")+($AL1411="Management and Administration")+($AL1411="Marketing")+($AL1411="Sales")+($AL1411="Entrepreneurship")+($AL1411="Hospitality and Tourism"))&gt;0,"Commerce",IF((($AL1411="Social Sciences and Humanities")+($AL1411="Law Studies")+($AL1411="Education and Training")+($AL1411="Art, Design")+($AL1411="Entertainment and Mass Media")+($AL1411="Community and Social Service")+($AL1411="Personal Care and Services")+($AL1411="Government and Public Administration")+($AL1411="Defence/ Protective Service")+($AL1411="Sports"))&gt;0,"Arts / Humanities",""))))</f>
        <v/>
      </c>
      <c r="BD1411" s="5" t="str">
        <f aca="false">IF($B1411="","",--(F1411&gt;=10)+--(G1411&gt;=10)+--(H1411&gt;=10)+--(I1411&gt;=10)+--(J1411&gt;=10)+--(K1411&gt;=10)+--(L1411&gt;=10)+--(M1411&gt;=10)+--(N1411&gt;=10)+--(O1411&gt;=10))</f>
        <v/>
      </c>
      <c r="BE1411" s="5" t="str">
        <f aca="false">IF($B1411="","",--(AND(F1411&lt;&gt;"",F1411&lt;=8))+--(AND(G1411&lt;&gt;"",G1411&lt;=8))+--(AND(H1411&lt;&gt;"",H1411&lt;=8))+--(AND(I1411&lt;&gt;"",I1411&lt;=8))+--(AND(J1411&lt;&gt;"",J1411&lt;=8))+--(AND(K1411&lt;&gt;"",K1411&lt;=8))+--(AND(L1411&lt;&gt;"",L1411&lt;=8))+--(AND(M1411&lt;&gt;"",M1411&lt;=8))+--(AND(N1411&lt;&gt;"",N1411&lt;=8))+--(AND(O1411&lt;&gt;"",O1411&lt;=8)))</f>
        <v/>
      </c>
    </row>
    <row r="1412" customFormat="false" ht="15" hidden="false" customHeight="false" outlineLevel="0" collapsed="false">
      <c r="AZ1412" s="5" t="str">
        <f aca="false">IF($B1412="","",SUMPRODUCT(($AL1412:$AO1412&lt;&gt;"")*(COUNTIF($AP1412:$AX1412,$AL1412:$AO1412)&gt;0)))</f>
        <v/>
      </c>
      <c r="BA1412" s="5" t="str">
        <f aca="false">IF($B1412="","",IF(AZ1412&gt;0,1,0))</f>
        <v/>
      </c>
      <c r="BB1412" s="5" t="str">
        <f aca="false">IF($AP1412="","",IF((($AP1412="Engineering and Technology")+($AP1412="Science and Mathematics")+($AP1412="Computer Science, IT and Allied Fields")+($AP1412="Life Sciences /Medicine and Healthcare")+($AP1412="Paramedical")+($AP1412="Architecture")+($AP1412="Environmental Service")+($AP1412="Agriculture, Food Industry and Forestry"))&gt;0,"Science",IF((($AP1412="Banking and Finance")+($AP1412="Management and Administration")+($AP1412="Marketing")+($AP1412="Sales")+($AP1412="Entrepreneurship")+($AP1412="Hospitality and Tourism"))&gt;0,"Commerce",IF((($AP1412="Social Sciences and Humanities")+($AP1412="Law Studies")+($AP1412="Education and Training")+($AP1412="Art, Design")+($AP1412="Entertainment and Mass Media")+($AP1412="Community and Social Service")+($AP1412="Personal Care and Services")+($AP1412="Government and Public Administration")+($AP1412="Defence/ Protective Service")+($AP1412="Sports"))&gt;0,"Arts / Humanities",""))))</f>
        <v/>
      </c>
      <c r="BC1412" s="5" t="str">
        <f aca="false">IF($AL1412="","",IF((($AL1412="Engineering and Technology")+($AL1412="Science and Mathematics")+($AL1412="Computer Science, IT and Allied Fields")+($AL1412="Life Sciences /Medicine and Healthcare")+($AL1412="Paramedical")+($AL1412="Architecture")+($AL1412="Environmental Service")+($AL1412="Agriculture, Food Industry and Forestry"))&gt;0,"Science",IF((($AL1412="Banking and Finance")+($AL1412="Management and Administration")+($AL1412="Marketing")+($AL1412="Sales")+($AL1412="Entrepreneurship")+($AL1412="Hospitality and Tourism"))&gt;0,"Commerce",IF((($AL1412="Social Sciences and Humanities")+($AL1412="Law Studies")+($AL1412="Education and Training")+($AL1412="Art, Design")+($AL1412="Entertainment and Mass Media")+($AL1412="Community and Social Service")+($AL1412="Personal Care and Services")+($AL1412="Government and Public Administration")+($AL1412="Defence/ Protective Service")+($AL1412="Sports"))&gt;0,"Arts / Humanities",""))))</f>
        <v/>
      </c>
      <c r="BD1412" s="5" t="str">
        <f aca="false">IF($B1412="","",--(F1412&gt;=10)+--(G1412&gt;=10)+--(H1412&gt;=10)+--(I1412&gt;=10)+--(J1412&gt;=10)+--(K1412&gt;=10)+--(L1412&gt;=10)+--(M1412&gt;=10)+--(N1412&gt;=10)+--(O1412&gt;=10))</f>
        <v/>
      </c>
      <c r="BE1412" s="5" t="str">
        <f aca="false">IF($B1412="","",--(AND(F1412&lt;&gt;"",F1412&lt;=8))+--(AND(G1412&lt;&gt;"",G1412&lt;=8))+--(AND(H1412&lt;&gt;"",H1412&lt;=8))+--(AND(I1412&lt;&gt;"",I1412&lt;=8))+--(AND(J1412&lt;&gt;"",J1412&lt;=8))+--(AND(K1412&lt;&gt;"",K1412&lt;=8))+--(AND(L1412&lt;&gt;"",L1412&lt;=8))+--(AND(M1412&lt;&gt;"",M1412&lt;=8))+--(AND(N1412&lt;&gt;"",N1412&lt;=8))+--(AND(O1412&lt;&gt;"",O1412&lt;=8)))</f>
        <v/>
      </c>
    </row>
    <row r="1413" customFormat="false" ht="15" hidden="false" customHeight="false" outlineLevel="0" collapsed="false">
      <c r="AZ1413" s="5" t="str">
        <f aca="false">IF($B1413="","",SUMPRODUCT(($AL1413:$AO1413&lt;&gt;"")*(COUNTIF($AP1413:$AX1413,$AL1413:$AO1413)&gt;0)))</f>
        <v/>
      </c>
      <c r="BA1413" s="5" t="str">
        <f aca="false">IF($B1413="","",IF(AZ1413&gt;0,1,0))</f>
        <v/>
      </c>
      <c r="BB1413" s="5" t="str">
        <f aca="false">IF($AP1413="","",IF((($AP1413="Engineering and Technology")+($AP1413="Science and Mathematics")+($AP1413="Computer Science, IT and Allied Fields")+($AP1413="Life Sciences /Medicine and Healthcare")+($AP1413="Paramedical")+($AP1413="Architecture")+($AP1413="Environmental Service")+($AP1413="Agriculture, Food Industry and Forestry"))&gt;0,"Science",IF((($AP1413="Banking and Finance")+($AP1413="Management and Administration")+($AP1413="Marketing")+($AP1413="Sales")+($AP1413="Entrepreneurship")+($AP1413="Hospitality and Tourism"))&gt;0,"Commerce",IF((($AP1413="Social Sciences and Humanities")+($AP1413="Law Studies")+($AP1413="Education and Training")+($AP1413="Art, Design")+($AP1413="Entertainment and Mass Media")+($AP1413="Community and Social Service")+($AP1413="Personal Care and Services")+($AP1413="Government and Public Administration")+($AP1413="Defence/ Protective Service")+($AP1413="Sports"))&gt;0,"Arts / Humanities",""))))</f>
        <v/>
      </c>
      <c r="BC1413" s="5" t="str">
        <f aca="false">IF($AL1413="","",IF((($AL1413="Engineering and Technology")+($AL1413="Science and Mathematics")+($AL1413="Computer Science, IT and Allied Fields")+($AL1413="Life Sciences /Medicine and Healthcare")+($AL1413="Paramedical")+($AL1413="Architecture")+($AL1413="Environmental Service")+($AL1413="Agriculture, Food Industry and Forestry"))&gt;0,"Science",IF((($AL1413="Banking and Finance")+($AL1413="Management and Administration")+($AL1413="Marketing")+($AL1413="Sales")+($AL1413="Entrepreneurship")+($AL1413="Hospitality and Tourism"))&gt;0,"Commerce",IF((($AL1413="Social Sciences and Humanities")+($AL1413="Law Studies")+($AL1413="Education and Training")+($AL1413="Art, Design")+($AL1413="Entertainment and Mass Media")+($AL1413="Community and Social Service")+($AL1413="Personal Care and Services")+($AL1413="Government and Public Administration")+($AL1413="Defence/ Protective Service")+($AL1413="Sports"))&gt;0,"Arts / Humanities",""))))</f>
        <v/>
      </c>
      <c r="BD1413" s="5" t="str">
        <f aca="false">IF($B1413="","",--(F1413&gt;=10)+--(G1413&gt;=10)+--(H1413&gt;=10)+--(I1413&gt;=10)+--(J1413&gt;=10)+--(K1413&gt;=10)+--(L1413&gt;=10)+--(M1413&gt;=10)+--(N1413&gt;=10)+--(O1413&gt;=10))</f>
        <v/>
      </c>
      <c r="BE1413" s="5" t="str">
        <f aca="false">IF($B1413="","",--(AND(F1413&lt;&gt;"",F1413&lt;=8))+--(AND(G1413&lt;&gt;"",G1413&lt;=8))+--(AND(H1413&lt;&gt;"",H1413&lt;=8))+--(AND(I1413&lt;&gt;"",I1413&lt;=8))+--(AND(J1413&lt;&gt;"",J1413&lt;=8))+--(AND(K1413&lt;&gt;"",K1413&lt;=8))+--(AND(L1413&lt;&gt;"",L1413&lt;=8))+--(AND(M1413&lt;&gt;"",M1413&lt;=8))+--(AND(N1413&lt;&gt;"",N1413&lt;=8))+--(AND(O1413&lt;&gt;"",O1413&lt;=8)))</f>
        <v/>
      </c>
    </row>
    <row r="1414" customFormat="false" ht="15" hidden="false" customHeight="false" outlineLevel="0" collapsed="false">
      <c r="AZ1414" s="5" t="str">
        <f aca="false">IF($B1414="","",SUMPRODUCT(($AL1414:$AO1414&lt;&gt;"")*(COUNTIF($AP1414:$AX1414,$AL1414:$AO1414)&gt;0)))</f>
        <v/>
      </c>
      <c r="BA1414" s="5" t="str">
        <f aca="false">IF($B1414="","",IF(AZ1414&gt;0,1,0))</f>
        <v/>
      </c>
      <c r="BB1414" s="5" t="str">
        <f aca="false">IF($AP1414="","",IF((($AP1414="Engineering and Technology")+($AP1414="Science and Mathematics")+($AP1414="Computer Science, IT and Allied Fields")+($AP1414="Life Sciences /Medicine and Healthcare")+($AP1414="Paramedical")+($AP1414="Architecture")+($AP1414="Environmental Service")+($AP1414="Agriculture, Food Industry and Forestry"))&gt;0,"Science",IF((($AP1414="Banking and Finance")+($AP1414="Management and Administration")+($AP1414="Marketing")+($AP1414="Sales")+($AP1414="Entrepreneurship")+($AP1414="Hospitality and Tourism"))&gt;0,"Commerce",IF((($AP1414="Social Sciences and Humanities")+($AP1414="Law Studies")+($AP1414="Education and Training")+($AP1414="Art, Design")+($AP1414="Entertainment and Mass Media")+($AP1414="Community and Social Service")+($AP1414="Personal Care and Services")+($AP1414="Government and Public Administration")+($AP1414="Defence/ Protective Service")+($AP1414="Sports"))&gt;0,"Arts / Humanities",""))))</f>
        <v/>
      </c>
      <c r="BC1414" s="5" t="str">
        <f aca="false">IF($AL1414="","",IF((($AL1414="Engineering and Technology")+($AL1414="Science and Mathematics")+($AL1414="Computer Science, IT and Allied Fields")+($AL1414="Life Sciences /Medicine and Healthcare")+($AL1414="Paramedical")+($AL1414="Architecture")+($AL1414="Environmental Service")+($AL1414="Agriculture, Food Industry and Forestry"))&gt;0,"Science",IF((($AL1414="Banking and Finance")+($AL1414="Management and Administration")+($AL1414="Marketing")+($AL1414="Sales")+($AL1414="Entrepreneurship")+($AL1414="Hospitality and Tourism"))&gt;0,"Commerce",IF((($AL1414="Social Sciences and Humanities")+($AL1414="Law Studies")+($AL1414="Education and Training")+($AL1414="Art, Design")+($AL1414="Entertainment and Mass Media")+($AL1414="Community and Social Service")+($AL1414="Personal Care and Services")+($AL1414="Government and Public Administration")+($AL1414="Defence/ Protective Service")+($AL1414="Sports"))&gt;0,"Arts / Humanities",""))))</f>
        <v/>
      </c>
      <c r="BD1414" s="5" t="str">
        <f aca="false">IF($B1414="","",--(F1414&gt;=10)+--(G1414&gt;=10)+--(H1414&gt;=10)+--(I1414&gt;=10)+--(J1414&gt;=10)+--(K1414&gt;=10)+--(L1414&gt;=10)+--(M1414&gt;=10)+--(N1414&gt;=10)+--(O1414&gt;=10))</f>
        <v/>
      </c>
      <c r="BE1414" s="5" t="str">
        <f aca="false">IF($B1414="","",--(AND(F1414&lt;&gt;"",F1414&lt;=8))+--(AND(G1414&lt;&gt;"",G1414&lt;=8))+--(AND(H1414&lt;&gt;"",H1414&lt;=8))+--(AND(I1414&lt;&gt;"",I1414&lt;=8))+--(AND(J1414&lt;&gt;"",J1414&lt;=8))+--(AND(K1414&lt;&gt;"",K1414&lt;=8))+--(AND(L1414&lt;&gt;"",L1414&lt;=8))+--(AND(M1414&lt;&gt;"",M1414&lt;=8))+--(AND(N1414&lt;&gt;"",N1414&lt;=8))+--(AND(O1414&lt;&gt;"",O1414&lt;=8)))</f>
        <v/>
      </c>
    </row>
    <row r="1415" customFormat="false" ht="15" hidden="false" customHeight="false" outlineLevel="0" collapsed="false">
      <c r="AZ1415" s="5" t="str">
        <f aca="false">IF($B1415="","",SUMPRODUCT(($AL1415:$AO1415&lt;&gt;"")*(COUNTIF($AP1415:$AX1415,$AL1415:$AO1415)&gt;0)))</f>
        <v/>
      </c>
      <c r="BA1415" s="5" t="str">
        <f aca="false">IF($B1415="","",IF(AZ1415&gt;0,1,0))</f>
        <v/>
      </c>
      <c r="BB1415" s="5" t="str">
        <f aca="false">IF($AP1415="","",IF((($AP1415="Engineering and Technology")+($AP1415="Science and Mathematics")+($AP1415="Computer Science, IT and Allied Fields")+($AP1415="Life Sciences /Medicine and Healthcare")+($AP1415="Paramedical")+($AP1415="Architecture")+($AP1415="Environmental Service")+($AP1415="Agriculture, Food Industry and Forestry"))&gt;0,"Science",IF((($AP1415="Banking and Finance")+($AP1415="Management and Administration")+($AP1415="Marketing")+($AP1415="Sales")+($AP1415="Entrepreneurship")+($AP1415="Hospitality and Tourism"))&gt;0,"Commerce",IF((($AP1415="Social Sciences and Humanities")+($AP1415="Law Studies")+($AP1415="Education and Training")+($AP1415="Art, Design")+($AP1415="Entertainment and Mass Media")+($AP1415="Community and Social Service")+($AP1415="Personal Care and Services")+($AP1415="Government and Public Administration")+($AP1415="Defence/ Protective Service")+($AP1415="Sports"))&gt;0,"Arts / Humanities",""))))</f>
        <v/>
      </c>
      <c r="BC1415" s="5" t="str">
        <f aca="false">IF($AL1415="","",IF((($AL1415="Engineering and Technology")+($AL1415="Science and Mathematics")+($AL1415="Computer Science, IT and Allied Fields")+($AL1415="Life Sciences /Medicine and Healthcare")+($AL1415="Paramedical")+($AL1415="Architecture")+($AL1415="Environmental Service")+($AL1415="Agriculture, Food Industry and Forestry"))&gt;0,"Science",IF((($AL1415="Banking and Finance")+($AL1415="Management and Administration")+($AL1415="Marketing")+($AL1415="Sales")+($AL1415="Entrepreneurship")+($AL1415="Hospitality and Tourism"))&gt;0,"Commerce",IF((($AL1415="Social Sciences and Humanities")+($AL1415="Law Studies")+($AL1415="Education and Training")+($AL1415="Art, Design")+($AL1415="Entertainment and Mass Media")+($AL1415="Community and Social Service")+($AL1415="Personal Care and Services")+($AL1415="Government and Public Administration")+($AL1415="Defence/ Protective Service")+($AL1415="Sports"))&gt;0,"Arts / Humanities",""))))</f>
        <v/>
      </c>
      <c r="BD1415" s="5" t="str">
        <f aca="false">IF($B1415="","",--(F1415&gt;=10)+--(G1415&gt;=10)+--(H1415&gt;=10)+--(I1415&gt;=10)+--(J1415&gt;=10)+--(K1415&gt;=10)+--(L1415&gt;=10)+--(M1415&gt;=10)+--(N1415&gt;=10)+--(O1415&gt;=10))</f>
        <v/>
      </c>
      <c r="BE1415" s="5" t="str">
        <f aca="false">IF($B1415="","",--(AND(F1415&lt;&gt;"",F1415&lt;=8))+--(AND(G1415&lt;&gt;"",G1415&lt;=8))+--(AND(H1415&lt;&gt;"",H1415&lt;=8))+--(AND(I1415&lt;&gt;"",I1415&lt;=8))+--(AND(J1415&lt;&gt;"",J1415&lt;=8))+--(AND(K1415&lt;&gt;"",K1415&lt;=8))+--(AND(L1415&lt;&gt;"",L1415&lt;=8))+--(AND(M1415&lt;&gt;"",M1415&lt;=8))+--(AND(N1415&lt;&gt;"",N1415&lt;=8))+--(AND(O1415&lt;&gt;"",O1415&lt;=8)))</f>
        <v/>
      </c>
    </row>
    <row r="1416" customFormat="false" ht="15" hidden="false" customHeight="false" outlineLevel="0" collapsed="false">
      <c r="AZ1416" s="5" t="str">
        <f aca="false">IF($B1416="","",SUMPRODUCT(($AL1416:$AO1416&lt;&gt;"")*(COUNTIF($AP1416:$AX1416,$AL1416:$AO1416)&gt;0)))</f>
        <v/>
      </c>
      <c r="BA1416" s="5" t="str">
        <f aca="false">IF($B1416="","",IF(AZ1416&gt;0,1,0))</f>
        <v/>
      </c>
      <c r="BB1416" s="5" t="str">
        <f aca="false">IF($AP1416="","",IF((($AP1416="Engineering and Technology")+($AP1416="Science and Mathematics")+($AP1416="Computer Science, IT and Allied Fields")+($AP1416="Life Sciences /Medicine and Healthcare")+($AP1416="Paramedical")+($AP1416="Architecture")+($AP1416="Environmental Service")+($AP1416="Agriculture, Food Industry and Forestry"))&gt;0,"Science",IF((($AP1416="Banking and Finance")+($AP1416="Management and Administration")+($AP1416="Marketing")+($AP1416="Sales")+($AP1416="Entrepreneurship")+($AP1416="Hospitality and Tourism"))&gt;0,"Commerce",IF((($AP1416="Social Sciences and Humanities")+($AP1416="Law Studies")+($AP1416="Education and Training")+($AP1416="Art, Design")+($AP1416="Entertainment and Mass Media")+($AP1416="Community and Social Service")+($AP1416="Personal Care and Services")+($AP1416="Government and Public Administration")+($AP1416="Defence/ Protective Service")+($AP1416="Sports"))&gt;0,"Arts / Humanities",""))))</f>
        <v/>
      </c>
      <c r="BC1416" s="5" t="str">
        <f aca="false">IF($AL1416="","",IF((($AL1416="Engineering and Technology")+($AL1416="Science and Mathematics")+($AL1416="Computer Science, IT and Allied Fields")+($AL1416="Life Sciences /Medicine and Healthcare")+($AL1416="Paramedical")+($AL1416="Architecture")+($AL1416="Environmental Service")+($AL1416="Agriculture, Food Industry and Forestry"))&gt;0,"Science",IF((($AL1416="Banking and Finance")+($AL1416="Management and Administration")+($AL1416="Marketing")+($AL1416="Sales")+($AL1416="Entrepreneurship")+($AL1416="Hospitality and Tourism"))&gt;0,"Commerce",IF((($AL1416="Social Sciences and Humanities")+($AL1416="Law Studies")+($AL1416="Education and Training")+($AL1416="Art, Design")+($AL1416="Entertainment and Mass Media")+($AL1416="Community and Social Service")+($AL1416="Personal Care and Services")+($AL1416="Government and Public Administration")+($AL1416="Defence/ Protective Service")+($AL1416="Sports"))&gt;0,"Arts / Humanities",""))))</f>
        <v/>
      </c>
      <c r="BD1416" s="5" t="str">
        <f aca="false">IF($B1416="","",--(F1416&gt;=10)+--(G1416&gt;=10)+--(H1416&gt;=10)+--(I1416&gt;=10)+--(J1416&gt;=10)+--(K1416&gt;=10)+--(L1416&gt;=10)+--(M1416&gt;=10)+--(N1416&gt;=10)+--(O1416&gt;=10))</f>
        <v/>
      </c>
      <c r="BE1416" s="5" t="str">
        <f aca="false">IF($B1416="","",--(AND(F1416&lt;&gt;"",F1416&lt;=8))+--(AND(G1416&lt;&gt;"",G1416&lt;=8))+--(AND(H1416&lt;&gt;"",H1416&lt;=8))+--(AND(I1416&lt;&gt;"",I1416&lt;=8))+--(AND(J1416&lt;&gt;"",J1416&lt;=8))+--(AND(K1416&lt;&gt;"",K1416&lt;=8))+--(AND(L1416&lt;&gt;"",L1416&lt;=8))+--(AND(M1416&lt;&gt;"",M1416&lt;=8))+--(AND(N1416&lt;&gt;"",N1416&lt;=8))+--(AND(O1416&lt;&gt;"",O1416&lt;=8)))</f>
        <v/>
      </c>
    </row>
    <row r="1417" customFormat="false" ht="15" hidden="false" customHeight="false" outlineLevel="0" collapsed="false">
      <c r="AZ1417" s="5" t="str">
        <f aca="false">IF($B1417="","",SUMPRODUCT(($AL1417:$AO1417&lt;&gt;"")*(COUNTIF($AP1417:$AX1417,$AL1417:$AO1417)&gt;0)))</f>
        <v/>
      </c>
      <c r="BA1417" s="5" t="str">
        <f aca="false">IF($B1417="","",IF(AZ1417&gt;0,1,0))</f>
        <v/>
      </c>
      <c r="BB1417" s="5" t="str">
        <f aca="false">IF($AP1417="","",IF((($AP1417="Engineering and Technology")+($AP1417="Science and Mathematics")+($AP1417="Computer Science, IT and Allied Fields")+($AP1417="Life Sciences /Medicine and Healthcare")+($AP1417="Paramedical")+($AP1417="Architecture")+($AP1417="Environmental Service")+($AP1417="Agriculture, Food Industry and Forestry"))&gt;0,"Science",IF((($AP1417="Banking and Finance")+($AP1417="Management and Administration")+($AP1417="Marketing")+($AP1417="Sales")+($AP1417="Entrepreneurship")+($AP1417="Hospitality and Tourism"))&gt;0,"Commerce",IF((($AP1417="Social Sciences and Humanities")+($AP1417="Law Studies")+($AP1417="Education and Training")+($AP1417="Art, Design")+($AP1417="Entertainment and Mass Media")+($AP1417="Community and Social Service")+($AP1417="Personal Care and Services")+($AP1417="Government and Public Administration")+($AP1417="Defence/ Protective Service")+($AP1417="Sports"))&gt;0,"Arts / Humanities",""))))</f>
        <v/>
      </c>
      <c r="BC1417" s="5" t="str">
        <f aca="false">IF($AL1417="","",IF((($AL1417="Engineering and Technology")+($AL1417="Science and Mathematics")+($AL1417="Computer Science, IT and Allied Fields")+($AL1417="Life Sciences /Medicine and Healthcare")+($AL1417="Paramedical")+($AL1417="Architecture")+($AL1417="Environmental Service")+($AL1417="Agriculture, Food Industry and Forestry"))&gt;0,"Science",IF((($AL1417="Banking and Finance")+($AL1417="Management and Administration")+($AL1417="Marketing")+($AL1417="Sales")+($AL1417="Entrepreneurship")+($AL1417="Hospitality and Tourism"))&gt;0,"Commerce",IF((($AL1417="Social Sciences and Humanities")+($AL1417="Law Studies")+($AL1417="Education and Training")+($AL1417="Art, Design")+($AL1417="Entertainment and Mass Media")+($AL1417="Community and Social Service")+($AL1417="Personal Care and Services")+($AL1417="Government and Public Administration")+($AL1417="Defence/ Protective Service")+($AL1417="Sports"))&gt;0,"Arts / Humanities",""))))</f>
        <v/>
      </c>
      <c r="BD1417" s="5" t="str">
        <f aca="false">IF($B1417="","",--(F1417&gt;=10)+--(G1417&gt;=10)+--(H1417&gt;=10)+--(I1417&gt;=10)+--(J1417&gt;=10)+--(K1417&gt;=10)+--(L1417&gt;=10)+--(M1417&gt;=10)+--(N1417&gt;=10)+--(O1417&gt;=10))</f>
        <v/>
      </c>
      <c r="BE1417" s="5" t="str">
        <f aca="false">IF($B1417="","",--(AND(F1417&lt;&gt;"",F1417&lt;=8))+--(AND(G1417&lt;&gt;"",G1417&lt;=8))+--(AND(H1417&lt;&gt;"",H1417&lt;=8))+--(AND(I1417&lt;&gt;"",I1417&lt;=8))+--(AND(J1417&lt;&gt;"",J1417&lt;=8))+--(AND(K1417&lt;&gt;"",K1417&lt;=8))+--(AND(L1417&lt;&gt;"",L1417&lt;=8))+--(AND(M1417&lt;&gt;"",M1417&lt;=8))+--(AND(N1417&lt;&gt;"",N1417&lt;=8))+--(AND(O1417&lt;&gt;"",O1417&lt;=8)))</f>
        <v/>
      </c>
    </row>
    <row r="1418" customFormat="false" ht="15" hidden="false" customHeight="false" outlineLevel="0" collapsed="false">
      <c r="AZ1418" s="5" t="str">
        <f aca="false">IF($B1418="","",SUMPRODUCT(($AL1418:$AO1418&lt;&gt;"")*(COUNTIF($AP1418:$AX1418,$AL1418:$AO1418)&gt;0)))</f>
        <v/>
      </c>
      <c r="BA1418" s="5" t="str">
        <f aca="false">IF($B1418="","",IF(AZ1418&gt;0,1,0))</f>
        <v/>
      </c>
      <c r="BB1418" s="5" t="str">
        <f aca="false">IF($AP1418="","",IF((($AP1418="Engineering and Technology")+($AP1418="Science and Mathematics")+($AP1418="Computer Science, IT and Allied Fields")+($AP1418="Life Sciences /Medicine and Healthcare")+($AP1418="Paramedical")+($AP1418="Architecture")+($AP1418="Environmental Service")+($AP1418="Agriculture, Food Industry and Forestry"))&gt;0,"Science",IF((($AP1418="Banking and Finance")+($AP1418="Management and Administration")+($AP1418="Marketing")+($AP1418="Sales")+($AP1418="Entrepreneurship")+($AP1418="Hospitality and Tourism"))&gt;0,"Commerce",IF((($AP1418="Social Sciences and Humanities")+($AP1418="Law Studies")+($AP1418="Education and Training")+($AP1418="Art, Design")+($AP1418="Entertainment and Mass Media")+($AP1418="Community and Social Service")+($AP1418="Personal Care and Services")+($AP1418="Government and Public Administration")+($AP1418="Defence/ Protective Service")+($AP1418="Sports"))&gt;0,"Arts / Humanities",""))))</f>
        <v/>
      </c>
      <c r="BC1418" s="5" t="str">
        <f aca="false">IF($AL1418="","",IF((($AL1418="Engineering and Technology")+($AL1418="Science and Mathematics")+($AL1418="Computer Science, IT and Allied Fields")+($AL1418="Life Sciences /Medicine and Healthcare")+($AL1418="Paramedical")+($AL1418="Architecture")+($AL1418="Environmental Service")+($AL1418="Agriculture, Food Industry and Forestry"))&gt;0,"Science",IF((($AL1418="Banking and Finance")+($AL1418="Management and Administration")+($AL1418="Marketing")+($AL1418="Sales")+($AL1418="Entrepreneurship")+($AL1418="Hospitality and Tourism"))&gt;0,"Commerce",IF((($AL1418="Social Sciences and Humanities")+($AL1418="Law Studies")+($AL1418="Education and Training")+($AL1418="Art, Design")+($AL1418="Entertainment and Mass Media")+($AL1418="Community and Social Service")+($AL1418="Personal Care and Services")+($AL1418="Government and Public Administration")+($AL1418="Defence/ Protective Service")+($AL1418="Sports"))&gt;0,"Arts / Humanities",""))))</f>
        <v/>
      </c>
      <c r="BD1418" s="5" t="str">
        <f aca="false">IF($B1418="","",--(F1418&gt;=10)+--(G1418&gt;=10)+--(H1418&gt;=10)+--(I1418&gt;=10)+--(J1418&gt;=10)+--(K1418&gt;=10)+--(L1418&gt;=10)+--(M1418&gt;=10)+--(N1418&gt;=10)+--(O1418&gt;=10))</f>
        <v/>
      </c>
      <c r="BE1418" s="5" t="str">
        <f aca="false">IF($B1418="","",--(AND(F1418&lt;&gt;"",F1418&lt;=8))+--(AND(G1418&lt;&gt;"",G1418&lt;=8))+--(AND(H1418&lt;&gt;"",H1418&lt;=8))+--(AND(I1418&lt;&gt;"",I1418&lt;=8))+--(AND(J1418&lt;&gt;"",J1418&lt;=8))+--(AND(K1418&lt;&gt;"",K1418&lt;=8))+--(AND(L1418&lt;&gt;"",L1418&lt;=8))+--(AND(M1418&lt;&gt;"",M1418&lt;=8))+--(AND(N1418&lt;&gt;"",N1418&lt;=8))+--(AND(O1418&lt;&gt;"",O1418&lt;=8)))</f>
        <v/>
      </c>
    </row>
    <row r="1419" customFormat="false" ht="15" hidden="false" customHeight="false" outlineLevel="0" collapsed="false">
      <c r="AZ1419" s="5" t="str">
        <f aca="false">IF($B1419="","",SUMPRODUCT(($AL1419:$AO1419&lt;&gt;"")*(COUNTIF($AP1419:$AX1419,$AL1419:$AO1419)&gt;0)))</f>
        <v/>
      </c>
      <c r="BA1419" s="5" t="str">
        <f aca="false">IF($B1419="","",IF(AZ1419&gt;0,1,0))</f>
        <v/>
      </c>
      <c r="BB1419" s="5" t="str">
        <f aca="false">IF($AP1419="","",IF((($AP1419="Engineering and Technology")+($AP1419="Science and Mathematics")+($AP1419="Computer Science, IT and Allied Fields")+($AP1419="Life Sciences /Medicine and Healthcare")+($AP1419="Paramedical")+($AP1419="Architecture")+($AP1419="Environmental Service")+($AP1419="Agriculture, Food Industry and Forestry"))&gt;0,"Science",IF((($AP1419="Banking and Finance")+($AP1419="Management and Administration")+($AP1419="Marketing")+($AP1419="Sales")+($AP1419="Entrepreneurship")+($AP1419="Hospitality and Tourism"))&gt;0,"Commerce",IF((($AP1419="Social Sciences and Humanities")+($AP1419="Law Studies")+($AP1419="Education and Training")+($AP1419="Art, Design")+($AP1419="Entertainment and Mass Media")+($AP1419="Community and Social Service")+($AP1419="Personal Care and Services")+($AP1419="Government and Public Administration")+($AP1419="Defence/ Protective Service")+($AP1419="Sports"))&gt;0,"Arts / Humanities",""))))</f>
        <v/>
      </c>
      <c r="BC1419" s="5" t="str">
        <f aca="false">IF($AL1419="","",IF((($AL1419="Engineering and Technology")+($AL1419="Science and Mathematics")+($AL1419="Computer Science, IT and Allied Fields")+($AL1419="Life Sciences /Medicine and Healthcare")+($AL1419="Paramedical")+($AL1419="Architecture")+($AL1419="Environmental Service")+($AL1419="Agriculture, Food Industry and Forestry"))&gt;0,"Science",IF((($AL1419="Banking and Finance")+($AL1419="Management and Administration")+($AL1419="Marketing")+($AL1419="Sales")+($AL1419="Entrepreneurship")+($AL1419="Hospitality and Tourism"))&gt;0,"Commerce",IF((($AL1419="Social Sciences and Humanities")+($AL1419="Law Studies")+($AL1419="Education and Training")+($AL1419="Art, Design")+($AL1419="Entertainment and Mass Media")+($AL1419="Community and Social Service")+($AL1419="Personal Care and Services")+($AL1419="Government and Public Administration")+($AL1419="Defence/ Protective Service")+($AL1419="Sports"))&gt;0,"Arts / Humanities",""))))</f>
        <v/>
      </c>
      <c r="BD1419" s="5" t="str">
        <f aca="false">IF($B1419="","",--(F1419&gt;=10)+--(G1419&gt;=10)+--(H1419&gt;=10)+--(I1419&gt;=10)+--(J1419&gt;=10)+--(K1419&gt;=10)+--(L1419&gt;=10)+--(M1419&gt;=10)+--(N1419&gt;=10)+--(O1419&gt;=10))</f>
        <v/>
      </c>
      <c r="BE1419" s="5" t="str">
        <f aca="false">IF($B1419="","",--(AND(F1419&lt;&gt;"",F1419&lt;=8))+--(AND(G1419&lt;&gt;"",G1419&lt;=8))+--(AND(H1419&lt;&gt;"",H1419&lt;=8))+--(AND(I1419&lt;&gt;"",I1419&lt;=8))+--(AND(J1419&lt;&gt;"",J1419&lt;=8))+--(AND(K1419&lt;&gt;"",K1419&lt;=8))+--(AND(L1419&lt;&gt;"",L1419&lt;=8))+--(AND(M1419&lt;&gt;"",M1419&lt;=8))+--(AND(N1419&lt;&gt;"",N1419&lt;=8))+--(AND(O1419&lt;&gt;"",O1419&lt;=8)))</f>
        <v/>
      </c>
    </row>
    <row r="1420" customFormat="false" ht="15" hidden="false" customHeight="false" outlineLevel="0" collapsed="false">
      <c r="AZ1420" s="5" t="str">
        <f aca="false">IF($B1420="","",SUMPRODUCT(($AL1420:$AO1420&lt;&gt;"")*(COUNTIF($AP1420:$AX1420,$AL1420:$AO1420)&gt;0)))</f>
        <v/>
      </c>
      <c r="BA1420" s="5" t="str">
        <f aca="false">IF($B1420="","",IF(AZ1420&gt;0,1,0))</f>
        <v/>
      </c>
      <c r="BB1420" s="5" t="str">
        <f aca="false">IF($AP1420="","",IF((($AP1420="Engineering and Technology")+($AP1420="Science and Mathematics")+($AP1420="Computer Science, IT and Allied Fields")+($AP1420="Life Sciences /Medicine and Healthcare")+($AP1420="Paramedical")+($AP1420="Architecture")+($AP1420="Environmental Service")+($AP1420="Agriculture, Food Industry and Forestry"))&gt;0,"Science",IF((($AP1420="Banking and Finance")+($AP1420="Management and Administration")+($AP1420="Marketing")+($AP1420="Sales")+($AP1420="Entrepreneurship")+($AP1420="Hospitality and Tourism"))&gt;0,"Commerce",IF((($AP1420="Social Sciences and Humanities")+($AP1420="Law Studies")+($AP1420="Education and Training")+($AP1420="Art, Design")+($AP1420="Entertainment and Mass Media")+($AP1420="Community and Social Service")+($AP1420="Personal Care and Services")+($AP1420="Government and Public Administration")+($AP1420="Defence/ Protective Service")+($AP1420="Sports"))&gt;0,"Arts / Humanities",""))))</f>
        <v/>
      </c>
      <c r="BC1420" s="5" t="str">
        <f aca="false">IF($AL1420="","",IF((($AL1420="Engineering and Technology")+($AL1420="Science and Mathematics")+($AL1420="Computer Science, IT and Allied Fields")+($AL1420="Life Sciences /Medicine and Healthcare")+($AL1420="Paramedical")+($AL1420="Architecture")+($AL1420="Environmental Service")+($AL1420="Agriculture, Food Industry and Forestry"))&gt;0,"Science",IF((($AL1420="Banking and Finance")+($AL1420="Management and Administration")+($AL1420="Marketing")+($AL1420="Sales")+($AL1420="Entrepreneurship")+($AL1420="Hospitality and Tourism"))&gt;0,"Commerce",IF((($AL1420="Social Sciences and Humanities")+($AL1420="Law Studies")+($AL1420="Education and Training")+($AL1420="Art, Design")+($AL1420="Entertainment and Mass Media")+($AL1420="Community and Social Service")+($AL1420="Personal Care and Services")+($AL1420="Government and Public Administration")+($AL1420="Defence/ Protective Service")+($AL1420="Sports"))&gt;0,"Arts / Humanities",""))))</f>
        <v/>
      </c>
      <c r="BD1420" s="5" t="str">
        <f aca="false">IF($B1420="","",--(F1420&gt;=10)+--(G1420&gt;=10)+--(H1420&gt;=10)+--(I1420&gt;=10)+--(J1420&gt;=10)+--(K1420&gt;=10)+--(L1420&gt;=10)+--(M1420&gt;=10)+--(N1420&gt;=10)+--(O1420&gt;=10))</f>
        <v/>
      </c>
      <c r="BE1420" s="5" t="str">
        <f aca="false">IF($B1420="","",--(AND(F1420&lt;&gt;"",F1420&lt;=8))+--(AND(G1420&lt;&gt;"",G1420&lt;=8))+--(AND(H1420&lt;&gt;"",H1420&lt;=8))+--(AND(I1420&lt;&gt;"",I1420&lt;=8))+--(AND(J1420&lt;&gt;"",J1420&lt;=8))+--(AND(K1420&lt;&gt;"",K1420&lt;=8))+--(AND(L1420&lt;&gt;"",L1420&lt;=8))+--(AND(M1420&lt;&gt;"",M1420&lt;=8))+--(AND(N1420&lt;&gt;"",N1420&lt;=8))+--(AND(O1420&lt;&gt;"",O1420&lt;=8)))</f>
        <v/>
      </c>
    </row>
    <row r="1421" customFormat="false" ht="15" hidden="false" customHeight="false" outlineLevel="0" collapsed="false">
      <c r="AZ1421" s="5" t="str">
        <f aca="false">IF($B1421="","",SUMPRODUCT(($AL1421:$AO1421&lt;&gt;"")*(COUNTIF($AP1421:$AX1421,$AL1421:$AO1421)&gt;0)))</f>
        <v/>
      </c>
      <c r="BA1421" s="5" t="str">
        <f aca="false">IF($B1421="","",IF(AZ1421&gt;0,1,0))</f>
        <v/>
      </c>
      <c r="BB1421" s="5" t="str">
        <f aca="false">IF($AP1421="","",IF((($AP1421="Engineering and Technology")+($AP1421="Science and Mathematics")+($AP1421="Computer Science, IT and Allied Fields")+($AP1421="Life Sciences /Medicine and Healthcare")+($AP1421="Paramedical")+($AP1421="Architecture")+($AP1421="Environmental Service")+($AP1421="Agriculture, Food Industry and Forestry"))&gt;0,"Science",IF((($AP1421="Banking and Finance")+($AP1421="Management and Administration")+($AP1421="Marketing")+($AP1421="Sales")+($AP1421="Entrepreneurship")+($AP1421="Hospitality and Tourism"))&gt;0,"Commerce",IF((($AP1421="Social Sciences and Humanities")+($AP1421="Law Studies")+($AP1421="Education and Training")+($AP1421="Art, Design")+($AP1421="Entertainment and Mass Media")+($AP1421="Community and Social Service")+($AP1421="Personal Care and Services")+($AP1421="Government and Public Administration")+($AP1421="Defence/ Protective Service")+($AP1421="Sports"))&gt;0,"Arts / Humanities",""))))</f>
        <v/>
      </c>
      <c r="BC1421" s="5" t="str">
        <f aca="false">IF($AL1421="","",IF((($AL1421="Engineering and Technology")+($AL1421="Science and Mathematics")+($AL1421="Computer Science, IT and Allied Fields")+($AL1421="Life Sciences /Medicine and Healthcare")+($AL1421="Paramedical")+($AL1421="Architecture")+($AL1421="Environmental Service")+($AL1421="Agriculture, Food Industry and Forestry"))&gt;0,"Science",IF((($AL1421="Banking and Finance")+($AL1421="Management and Administration")+($AL1421="Marketing")+($AL1421="Sales")+($AL1421="Entrepreneurship")+($AL1421="Hospitality and Tourism"))&gt;0,"Commerce",IF((($AL1421="Social Sciences and Humanities")+($AL1421="Law Studies")+($AL1421="Education and Training")+($AL1421="Art, Design")+($AL1421="Entertainment and Mass Media")+($AL1421="Community and Social Service")+($AL1421="Personal Care and Services")+($AL1421="Government and Public Administration")+($AL1421="Defence/ Protective Service")+($AL1421="Sports"))&gt;0,"Arts / Humanities",""))))</f>
        <v/>
      </c>
      <c r="BD1421" s="5" t="str">
        <f aca="false">IF($B1421="","",--(F1421&gt;=10)+--(G1421&gt;=10)+--(H1421&gt;=10)+--(I1421&gt;=10)+--(J1421&gt;=10)+--(K1421&gt;=10)+--(L1421&gt;=10)+--(M1421&gt;=10)+--(N1421&gt;=10)+--(O1421&gt;=10))</f>
        <v/>
      </c>
      <c r="BE1421" s="5" t="str">
        <f aca="false">IF($B1421="","",--(AND(F1421&lt;&gt;"",F1421&lt;=8))+--(AND(G1421&lt;&gt;"",G1421&lt;=8))+--(AND(H1421&lt;&gt;"",H1421&lt;=8))+--(AND(I1421&lt;&gt;"",I1421&lt;=8))+--(AND(J1421&lt;&gt;"",J1421&lt;=8))+--(AND(K1421&lt;&gt;"",K1421&lt;=8))+--(AND(L1421&lt;&gt;"",L1421&lt;=8))+--(AND(M1421&lt;&gt;"",M1421&lt;=8))+--(AND(N1421&lt;&gt;"",N1421&lt;=8))+--(AND(O1421&lt;&gt;"",O1421&lt;=8)))</f>
        <v/>
      </c>
    </row>
    <row r="1422" customFormat="false" ht="15" hidden="false" customHeight="false" outlineLevel="0" collapsed="false">
      <c r="AZ1422" s="5" t="str">
        <f aca="false">IF($B1422="","",SUMPRODUCT(($AL1422:$AO1422&lt;&gt;"")*(COUNTIF($AP1422:$AX1422,$AL1422:$AO1422)&gt;0)))</f>
        <v/>
      </c>
      <c r="BA1422" s="5" t="str">
        <f aca="false">IF($B1422="","",IF(AZ1422&gt;0,1,0))</f>
        <v/>
      </c>
      <c r="BB1422" s="5" t="str">
        <f aca="false">IF($AP1422="","",IF((($AP1422="Engineering and Technology")+($AP1422="Science and Mathematics")+($AP1422="Computer Science, IT and Allied Fields")+($AP1422="Life Sciences /Medicine and Healthcare")+($AP1422="Paramedical")+($AP1422="Architecture")+($AP1422="Environmental Service")+($AP1422="Agriculture, Food Industry and Forestry"))&gt;0,"Science",IF((($AP1422="Banking and Finance")+($AP1422="Management and Administration")+($AP1422="Marketing")+($AP1422="Sales")+($AP1422="Entrepreneurship")+($AP1422="Hospitality and Tourism"))&gt;0,"Commerce",IF((($AP1422="Social Sciences and Humanities")+($AP1422="Law Studies")+($AP1422="Education and Training")+($AP1422="Art, Design")+($AP1422="Entertainment and Mass Media")+($AP1422="Community and Social Service")+($AP1422="Personal Care and Services")+($AP1422="Government and Public Administration")+($AP1422="Defence/ Protective Service")+($AP1422="Sports"))&gt;0,"Arts / Humanities",""))))</f>
        <v/>
      </c>
      <c r="BC1422" s="5" t="str">
        <f aca="false">IF($AL1422="","",IF((($AL1422="Engineering and Technology")+($AL1422="Science and Mathematics")+($AL1422="Computer Science, IT and Allied Fields")+($AL1422="Life Sciences /Medicine and Healthcare")+($AL1422="Paramedical")+($AL1422="Architecture")+($AL1422="Environmental Service")+($AL1422="Agriculture, Food Industry and Forestry"))&gt;0,"Science",IF((($AL1422="Banking and Finance")+($AL1422="Management and Administration")+($AL1422="Marketing")+($AL1422="Sales")+($AL1422="Entrepreneurship")+($AL1422="Hospitality and Tourism"))&gt;0,"Commerce",IF((($AL1422="Social Sciences and Humanities")+($AL1422="Law Studies")+($AL1422="Education and Training")+($AL1422="Art, Design")+($AL1422="Entertainment and Mass Media")+($AL1422="Community and Social Service")+($AL1422="Personal Care and Services")+($AL1422="Government and Public Administration")+($AL1422="Defence/ Protective Service")+($AL1422="Sports"))&gt;0,"Arts / Humanities",""))))</f>
        <v/>
      </c>
      <c r="BD1422" s="5" t="str">
        <f aca="false">IF($B1422="","",--(F1422&gt;=10)+--(G1422&gt;=10)+--(H1422&gt;=10)+--(I1422&gt;=10)+--(J1422&gt;=10)+--(K1422&gt;=10)+--(L1422&gt;=10)+--(M1422&gt;=10)+--(N1422&gt;=10)+--(O1422&gt;=10))</f>
        <v/>
      </c>
      <c r="BE1422" s="5" t="str">
        <f aca="false">IF($B1422="","",--(AND(F1422&lt;&gt;"",F1422&lt;=8))+--(AND(G1422&lt;&gt;"",G1422&lt;=8))+--(AND(H1422&lt;&gt;"",H1422&lt;=8))+--(AND(I1422&lt;&gt;"",I1422&lt;=8))+--(AND(J1422&lt;&gt;"",J1422&lt;=8))+--(AND(K1422&lt;&gt;"",K1422&lt;=8))+--(AND(L1422&lt;&gt;"",L1422&lt;=8))+--(AND(M1422&lt;&gt;"",M1422&lt;=8))+--(AND(N1422&lt;&gt;"",N1422&lt;=8))+--(AND(O1422&lt;&gt;"",O1422&lt;=8)))</f>
        <v/>
      </c>
    </row>
    <row r="1423" customFormat="false" ht="15" hidden="false" customHeight="false" outlineLevel="0" collapsed="false">
      <c r="AZ1423" s="5" t="str">
        <f aca="false">IF($B1423="","",SUMPRODUCT(($AL1423:$AO1423&lt;&gt;"")*(COUNTIF($AP1423:$AX1423,$AL1423:$AO1423)&gt;0)))</f>
        <v/>
      </c>
      <c r="BA1423" s="5" t="str">
        <f aca="false">IF($B1423="","",IF(AZ1423&gt;0,1,0))</f>
        <v/>
      </c>
      <c r="BB1423" s="5" t="str">
        <f aca="false">IF($AP1423="","",IF((($AP1423="Engineering and Technology")+($AP1423="Science and Mathematics")+($AP1423="Computer Science, IT and Allied Fields")+($AP1423="Life Sciences /Medicine and Healthcare")+($AP1423="Paramedical")+($AP1423="Architecture")+($AP1423="Environmental Service")+($AP1423="Agriculture, Food Industry and Forestry"))&gt;0,"Science",IF((($AP1423="Banking and Finance")+($AP1423="Management and Administration")+($AP1423="Marketing")+($AP1423="Sales")+($AP1423="Entrepreneurship")+($AP1423="Hospitality and Tourism"))&gt;0,"Commerce",IF((($AP1423="Social Sciences and Humanities")+($AP1423="Law Studies")+($AP1423="Education and Training")+($AP1423="Art, Design")+($AP1423="Entertainment and Mass Media")+($AP1423="Community and Social Service")+($AP1423="Personal Care and Services")+($AP1423="Government and Public Administration")+($AP1423="Defence/ Protective Service")+($AP1423="Sports"))&gt;0,"Arts / Humanities",""))))</f>
        <v/>
      </c>
      <c r="BC1423" s="5" t="str">
        <f aca="false">IF($AL1423="","",IF((($AL1423="Engineering and Technology")+($AL1423="Science and Mathematics")+($AL1423="Computer Science, IT and Allied Fields")+($AL1423="Life Sciences /Medicine and Healthcare")+($AL1423="Paramedical")+($AL1423="Architecture")+($AL1423="Environmental Service")+($AL1423="Agriculture, Food Industry and Forestry"))&gt;0,"Science",IF((($AL1423="Banking and Finance")+($AL1423="Management and Administration")+($AL1423="Marketing")+($AL1423="Sales")+($AL1423="Entrepreneurship")+($AL1423="Hospitality and Tourism"))&gt;0,"Commerce",IF((($AL1423="Social Sciences and Humanities")+($AL1423="Law Studies")+($AL1423="Education and Training")+($AL1423="Art, Design")+($AL1423="Entertainment and Mass Media")+($AL1423="Community and Social Service")+($AL1423="Personal Care and Services")+($AL1423="Government and Public Administration")+($AL1423="Defence/ Protective Service")+($AL1423="Sports"))&gt;0,"Arts / Humanities",""))))</f>
        <v/>
      </c>
      <c r="BD1423" s="5" t="str">
        <f aca="false">IF($B1423="","",--(F1423&gt;=10)+--(G1423&gt;=10)+--(H1423&gt;=10)+--(I1423&gt;=10)+--(J1423&gt;=10)+--(K1423&gt;=10)+--(L1423&gt;=10)+--(M1423&gt;=10)+--(N1423&gt;=10)+--(O1423&gt;=10))</f>
        <v/>
      </c>
      <c r="BE1423" s="5" t="str">
        <f aca="false">IF($B1423="","",--(AND(F1423&lt;&gt;"",F1423&lt;=8))+--(AND(G1423&lt;&gt;"",G1423&lt;=8))+--(AND(H1423&lt;&gt;"",H1423&lt;=8))+--(AND(I1423&lt;&gt;"",I1423&lt;=8))+--(AND(J1423&lt;&gt;"",J1423&lt;=8))+--(AND(K1423&lt;&gt;"",K1423&lt;=8))+--(AND(L1423&lt;&gt;"",L1423&lt;=8))+--(AND(M1423&lt;&gt;"",M1423&lt;=8))+--(AND(N1423&lt;&gt;"",N1423&lt;=8))+--(AND(O1423&lt;&gt;"",O1423&lt;=8)))</f>
        <v/>
      </c>
    </row>
    <row r="1424" customFormat="false" ht="15" hidden="false" customHeight="false" outlineLevel="0" collapsed="false">
      <c r="AZ1424" s="5" t="str">
        <f aca="false">IF($B1424="","",SUMPRODUCT(($AL1424:$AO1424&lt;&gt;"")*(COUNTIF($AP1424:$AX1424,$AL1424:$AO1424)&gt;0)))</f>
        <v/>
      </c>
      <c r="BA1424" s="5" t="str">
        <f aca="false">IF($B1424="","",IF(AZ1424&gt;0,1,0))</f>
        <v/>
      </c>
      <c r="BB1424" s="5" t="str">
        <f aca="false">IF($AP1424="","",IF((($AP1424="Engineering and Technology")+($AP1424="Science and Mathematics")+($AP1424="Computer Science, IT and Allied Fields")+($AP1424="Life Sciences /Medicine and Healthcare")+($AP1424="Paramedical")+($AP1424="Architecture")+($AP1424="Environmental Service")+($AP1424="Agriculture, Food Industry and Forestry"))&gt;0,"Science",IF((($AP1424="Banking and Finance")+($AP1424="Management and Administration")+($AP1424="Marketing")+($AP1424="Sales")+($AP1424="Entrepreneurship")+($AP1424="Hospitality and Tourism"))&gt;0,"Commerce",IF((($AP1424="Social Sciences and Humanities")+($AP1424="Law Studies")+($AP1424="Education and Training")+($AP1424="Art, Design")+($AP1424="Entertainment and Mass Media")+($AP1424="Community and Social Service")+($AP1424="Personal Care and Services")+($AP1424="Government and Public Administration")+($AP1424="Defence/ Protective Service")+($AP1424="Sports"))&gt;0,"Arts / Humanities",""))))</f>
        <v/>
      </c>
      <c r="BC1424" s="5" t="str">
        <f aca="false">IF($AL1424="","",IF((($AL1424="Engineering and Technology")+($AL1424="Science and Mathematics")+($AL1424="Computer Science, IT and Allied Fields")+($AL1424="Life Sciences /Medicine and Healthcare")+($AL1424="Paramedical")+($AL1424="Architecture")+($AL1424="Environmental Service")+($AL1424="Agriculture, Food Industry and Forestry"))&gt;0,"Science",IF((($AL1424="Banking and Finance")+($AL1424="Management and Administration")+($AL1424="Marketing")+($AL1424="Sales")+($AL1424="Entrepreneurship")+($AL1424="Hospitality and Tourism"))&gt;0,"Commerce",IF((($AL1424="Social Sciences and Humanities")+($AL1424="Law Studies")+($AL1424="Education and Training")+($AL1424="Art, Design")+($AL1424="Entertainment and Mass Media")+($AL1424="Community and Social Service")+($AL1424="Personal Care and Services")+($AL1424="Government and Public Administration")+($AL1424="Defence/ Protective Service")+($AL1424="Sports"))&gt;0,"Arts / Humanities",""))))</f>
        <v/>
      </c>
      <c r="BD1424" s="5" t="str">
        <f aca="false">IF($B1424="","",--(F1424&gt;=10)+--(G1424&gt;=10)+--(H1424&gt;=10)+--(I1424&gt;=10)+--(J1424&gt;=10)+--(K1424&gt;=10)+--(L1424&gt;=10)+--(M1424&gt;=10)+--(N1424&gt;=10)+--(O1424&gt;=10))</f>
        <v/>
      </c>
      <c r="BE1424" s="5" t="str">
        <f aca="false">IF($B1424="","",--(AND(F1424&lt;&gt;"",F1424&lt;=8))+--(AND(G1424&lt;&gt;"",G1424&lt;=8))+--(AND(H1424&lt;&gt;"",H1424&lt;=8))+--(AND(I1424&lt;&gt;"",I1424&lt;=8))+--(AND(J1424&lt;&gt;"",J1424&lt;=8))+--(AND(K1424&lt;&gt;"",K1424&lt;=8))+--(AND(L1424&lt;&gt;"",L1424&lt;=8))+--(AND(M1424&lt;&gt;"",M1424&lt;=8))+--(AND(N1424&lt;&gt;"",N1424&lt;=8))+--(AND(O1424&lt;&gt;"",O1424&lt;=8)))</f>
        <v/>
      </c>
    </row>
    <row r="1425" customFormat="false" ht="15" hidden="false" customHeight="false" outlineLevel="0" collapsed="false">
      <c r="AZ1425" s="5" t="str">
        <f aca="false">IF($B1425="","",SUMPRODUCT(($AL1425:$AO1425&lt;&gt;"")*(COUNTIF($AP1425:$AX1425,$AL1425:$AO1425)&gt;0)))</f>
        <v/>
      </c>
      <c r="BA1425" s="5" t="str">
        <f aca="false">IF($B1425="","",IF(AZ1425&gt;0,1,0))</f>
        <v/>
      </c>
      <c r="BB1425" s="5" t="str">
        <f aca="false">IF($AP1425="","",IF((($AP1425="Engineering and Technology")+($AP1425="Science and Mathematics")+($AP1425="Computer Science, IT and Allied Fields")+($AP1425="Life Sciences /Medicine and Healthcare")+($AP1425="Paramedical")+($AP1425="Architecture")+($AP1425="Environmental Service")+($AP1425="Agriculture, Food Industry and Forestry"))&gt;0,"Science",IF((($AP1425="Banking and Finance")+($AP1425="Management and Administration")+($AP1425="Marketing")+($AP1425="Sales")+($AP1425="Entrepreneurship")+($AP1425="Hospitality and Tourism"))&gt;0,"Commerce",IF((($AP1425="Social Sciences and Humanities")+($AP1425="Law Studies")+($AP1425="Education and Training")+($AP1425="Art, Design")+($AP1425="Entertainment and Mass Media")+($AP1425="Community and Social Service")+($AP1425="Personal Care and Services")+($AP1425="Government and Public Administration")+($AP1425="Defence/ Protective Service")+($AP1425="Sports"))&gt;0,"Arts / Humanities",""))))</f>
        <v/>
      </c>
      <c r="BC1425" s="5" t="str">
        <f aca="false">IF($AL1425="","",IF((($AL1425="Engineering and Technology")+($AL1425="Science and Mathematics")+($AL1425="Computer Science, IT and Allied Fields")+($AL1425="Life Sciences /Medicine and Healthcare")+($AL1425="Paramedical")+($AL1425="Architecture")+($AL1425="Environmental Service")+($AL1425="Agriculture, Food Industry and Forestry"))&gt;0,"Science",IF((($AL1425="Banking and Finance")+($AL1425="Management and Administration")+($AL1425="Marketing")+($AL1425="Sales")+($AL1425="Entrepreneurship")+($AL1425="Hospitality and Tourism"))&gt;0,"Commerce",IF((($AL1425="Social Sciences and Humanities")+($AL1425="Law Studies")+($AL1425="Education and Training")+($AL1425="Art, Design")+($AL1425="Entertainment and Mass Media")+($AL1425="Community and Social Service")+($AL1425="Personal Care and Services")+($AL1425="Government and Public Administration")+($AL1425="Defence/ Protective Service")+($AL1425="Sports"))&gt;0,"Arts / Humanities",""))))</f>
        <v/>
      </c>
      <c r="BD1425" s="5" t="str">
        <f aca="false">IF($B1425="","",--(F1425&gt;=10)+--(G1425&gt;=10)+--(H1425&gt;=10)+--(I1425&gt;=10)+--(J1425&gt;=10)+--(K1425&gt;=10)+--(L1425&gt;=10)+--(M1425&gt;=10)+--(N1425&gt;=10)+--(O1425&gt;=10))</f>
        <v/>
      </c>
      <c r="BE1425" s="5" t="str">
        <f aca="false">IF($B1425="","",--(AND(F1425&lt;&gt;"",F1425&lt;=8))+--(AND(G1425&lt;&gt;"",G1425&lt;=8))+--(AND(H1425&lt;&gt;"",H1425&lt;=8))+--(AND(I1425&lt;&gt;"",I1425&lt;=8))+--(AND(J1425&lt;&gt;"",J1425&lt;=8))+--(AND(K1425&lt;&gt;"",K1425&lt;=8))+--(AND(L1425&lt;&gt;"",L1425&lt;=8))+--(AND(M1425&lt;&gt;"",M1425&lt;=8))+--(AND(N1425&lt;&gt;"",N1425&lt;=8))+--(AND(O1425&lt;&gt;"",O1425&lt;=8)))</f>
        <v/>
      </c>
    </row>
    <row r="1426" customFormat="false" ht="15" hidden="false" customHeight="false" outlineLevel="0" collapsed="false">
      <c r="AZ1426" s="5" t="str">
        <f aca="false">IF($B1426="","",SUMPRODUCT(($AL1426:$AO1426&lt;&gt;"")*(COUNTIF($AP1426:$AX1426,$AL1426:$AO1426)&gt;0)))</f>
        <v/>
      </c>
      <c r="BA1426" s="5" t="str">
        <f aca="false">IF($B1426="","",IF(AZ1426&gt;0,1,0))</f>
        <v/>
      </c>
      <c r="BB1426" s="5" t="str">
        <f aca="false">IF($AP1426="","",IF((($AP1426="Engineering and Technology")+($AP1426="Science and Mathematics")+($AP1426="Computer Science, IT and Allied Fields")+($AP1426="Life Sciences /Medicine and Healthcare")+($AP1426="Paramedical")+($AP1426="Architecture")+($AP1426="Environmental Service")+($AP1426="Agriculture, Food Industry and Forestry"))&gt;0,"Science",IF((($AP1426="Banking and Finance")+($AP1426="Management and Administration")+($AP1426="Marketing")+($AP1426="Sales")+($AP1426="Entrepreneurship")+($AP1426="Hospitality and Tourism"))&gt;0,"Commerce",IF((($AP1426="Social Sciences and Humanities")+($AP1426="Law Studies")+($AP1426="Education and Training")+($AP1426="Art, Design")+($AP1426="Entertainment and Mass Media")+($AP1426="Community and Social Service")+($AP1426="Personal Care and Services")+($AP1426="Government and Public Administration")+($AP1426="Defence/ Protective Service")+($AP1426="Sports"))&gt;0,"Arts / Humanities",""))))</f>
        <v/>
      </c>
      <c r="BC1426" s="5" t="str">
        <f aca="false">IF($AL1426="","",IF((($AL1426="Engineering and Technology")+($AL1426="Science and Mathematics")+($AL1426="Computer Science, IT and Allied Fields")+($AL1426="Life Sciences /Medicine and Healthcare")+($AL1426="Paramedical")+($AL1426="Architecture")+($AL1426="Environmental Service")+($AL1426="Agriculture, Food Industry and Forestry"))&gt;0,"Science",IF((($AL1426="Banking and Finance")+($AL1426="Management and Administration")+($AL1426="Marketing")+($AL1426="Sales")+($AL1426="Entrepreneurship")+($AL1426="Hospitality and Tourism"))&gt;0,"Commerce",IF((($AL1426="Social Sciences and Humanities")+($AL1426="Law Studies")+($AL1426="Education and Training")+($AL1426="Art, Design")+($AL1426="Entertainment and Mass Media")+($AL1426="Community and Social Service")+($AL1426="Personal Care and Services")+($AL1426="Government and Public Administration")+($AL1426="Defence/ Protective Service")+($AL1426="Sports"))&gt;0,"Arts / Humanities",""))))</f>
        <v/>
      </c>
      <c r="BD1426" s="5" t="str">
        <f aca="false">IF($B1426="","",--(F1426&gt;=10)+--(G1426&gt;=10)+--(H1426&gt;=10)+--(I1426&gt;=10)+--(J1426&gt;=10)+--(K1426&gt;=10)+--(L1426&gt;=10)+--(M1426&gt;=10)+--(N1426&gt;=10)+--(O1426&gt;=10))</f>
        <v/>
      </c>
      <c r="BE1426" s="5" t="str">
        <f aca="false">IF($B1426="","",--(AND(F1426&lt;&gt;"",F1426&lt;=8))+--(AND(G1426&lt;&gt;"",G1426&lt;=8))+--(AND(H1426&lt;&gt;"",H1426&lt;=8))+--(AND(I1426&lt;&gt;"",I1426&lt;=8))+--(AND(J1426&lt;&gt;"",J1426&lt;=8))+--(AND(K1426&lt;&gt;"",K1426&lt;=8))+--(AND(L1426&lt;&gt;"",L1426&lt;=8))+--(AND(M1426&lt;&gt;"",M1426&lt;=8))+--(AND(N1426&lt;&gt;"",N1426&lt;=8))+--(AND(O1426&lt;&gt;"",O1426&lt;=8)))</f>
        <v/>
      </c>
    </row>
    <row r="1427" customFormat="false" ht="15" hidden="false" customHeight="false" outlineLevel="0" collapsed="false">
      <c r="AZ1427" s="5" t="str">
        <f aca="false">IF($B1427="","",SUMPRODUCT(($AL1427:$AO1427&lt;&gt;"")*(COUNTIF($AP1427:$AX1427,$AL1427:$AO1427)&gt;0)))</f>
        <v/>
      </c>
      <c r="BA1427" s="5" t="str">
        <f aca="false">IF($B1427="","",IF(AZ1427&gt;0,1,0))</f>
        <v/>
      </c>
      <c r="BB1427" s="5" t="str">
        <f aca="false">IF($AP1427="","",IF((($AP1427="Engineering and Technology")+($AP1427="Science and Mathematics")+($AP1427="Computer Science, IT and Allied Fields")+($AP1427="Life Sciences /Medicine and Healthcare")+($AP1427="Paramedical")+($AP1427="Architecture")+($AP1427="Environmental Service")+($AP1427="Agriculture, Food Industry and Forestry"))&gt;0,"Science",IF((($AP1427="Banking and Finance")+($AP1427="Management and Administration")+($AP1427="Marketing")+($AP1427="Sales")+($AP1427="Entrepreneurship")+($AP1427="Hospitality and Tourism"))&gt;0,"Commerce",IF((($AP1427="Social Sciences and Humanities")+($AP1427="Law Studies")+($AP1427="Education and Training")+($AP1427="Art, Design")+($AP1427="Entertainment and Mass Media")+($AP1427="Community and Social Service")+($AP1427="Personal Care and Services")+($AP1427="Government and Public Administration")+($AP1427="Defence/ Protective Service")+($AP1427="Sports"))&gt;0,"Arts / Humanities",""))))</f>
        <v/>
      </c>
      <c r="BC1427" s="5" t="str">
        <f aca="false">IF($AL1427="","",IF((($AL1427="Engineering and Technology")+($AL1427="Science and Mathematics")+($AL1427="Computer Science, IT and Allied Fields")+($AL1427="Life Sciences /Medicine and Healthcare")+($AL1427="Paramedical")+($AL1427="Architecture")+($AL1427="Environmental Service")+($AL1427="Agriculture, Food Industry and Forestry"))&gt;0,"Science",IF((($AL1427="Banking and Finance")+($AL1427="Management and Administration")+($AL1427="Marketing")+($AL1427="Sales")+($AL1427="Entrepreneurship")+($AL1427="Hospitality and Tourism"))&gt;0,"Commerce",IF((($AL1427="Social Sciences and Humanities")+($AL1427="Law Studies")+($AL1427="Education and Training")+($AL1427="Art, Design")+($AL1427="Entertainment and Mass Media")+($AL1427="Community and Social Service")+($AL1427="Personal Care and Services")+($AL1427="Government and Public Administration")+($AL1427="Defence/ Protective Service")+($AL1427="Sports"))&gt;0,"Arts / Humanities",""))))</f>
        <v/>
      </c>
      <c r="BD1427" s="5" t="str">
        <f aca="false">IF($B1427="","",--(F1427&gt;=10)+--(G1427&gt;=10)+--(H1427&gt;=10)+--(I1427&gt;=10)+--(J1427&gt;=10)+--(K1427&gt;=10)+--(L1427&gt;=10)+--(M1427&gt;=10)+--(N1427&gt;=10)+--(O1427&gt;=10))</f>
        <v/>
      </c>
      <c r="BE1427" s="5" t="str">
        <f aca="false">IF($B1427="","",--(AND(F1427&lt;&gt;"",F1427&lt;=8))+--(AND(G1427&lt;&gt;"",G1427&lt;=8))+--(AND(H1427&lt;&gt;"",H1427&lt;=8))+--(AND(I1427&lt;&gt;"",I1427&lt;=8))+--(AND(J1427&lt;&gt;"",J1427&lt;=8))+--(AND(K1427&lt;&gt;"",K1427&lt;=8))+--(AND(L1427&lt;&gt;"",L1427&lt;=8))+--(AND(M1427&lt;&gt;"",M1427&lt;=8))+--(AND(N1427&lt;&gt;"",N1427&lt;=8))+--(AND(O1427&lt;&gt;"",O1427&lt;=8)))</f>
        <v/>
      </c>
    </row>
    <row r="1428" customFormat="false" ht="15" hidden="false" customHeight="false" outlineLevel="0" collapsed="false">
      <c r="AZ1428" s="5" t="str">
        <f aca="false">IF($B1428="","",SUMPRODUCT(($AL1428:$AO1428&lt;&gt;"")*(COUNTIF($AP1428:$AX1428,$AL1428:$AO1428)&gt;0)))</f>
        <v/>
      </c>
      <c r="BA1428" s="5" t="str">
        <f aca="false">IF($B1428="","",IF(AZ1428&gt;0,1,0))</f>
        <v/>
      </c>
      <c r="BB1428" s="5" t="str">
        <f aca="false">IF($AP1428="","",IF((($AP1428="Engineering and Technology")+($AP1428="Science and Mathematics")+($AP1428="Computer Science, IT and Allied Fields")+($AP1428="Life Sciences /Medicine and Healthcare")+($AP1428="Paramedical")+($AP1428="Architecture")+($AP1428="Environmental Service")+($AP1428="Agriculture, Food Industry and Forestry"))&gt;0,"Science",IF((($AP1428="Banking and Finance")+($AP1428="Management and Administration")+($AP1428="Marketing")+($AP1428="Sales")+($AP1428="Entrepreneurship")+($AP1428="Hospitality and Tourism"))&gt;0,"Commerce",IF((($AP1428="Social Sciences and Humanities")+($AP1428="Law Studies")+($AP1428="Education and Training")+($AP1428="Art, Design")+($AP1428="Entertainment and Mass Media")+($AP1428="Community and Social Service")+($AP1428="Personal Care and Services")+($AP1428="Government and Public Administration")+($AP1428="Defence/ Protective Service")+($AP1428="Sports"))&gt;0,"Arts / Humanities",""))))</f>
        <v/>
      </c>
      <c r="BC1428" s="5" t="str">
        <f aca="false">IF($AL1428="","",IF((($AL1428="Engineering and Technology")+($AL1428="Science and Mathematics")+($AL1428="Computer Science, IT and Allied Fields")+($AL1428="Life Sciences /Medicine and Healthcare")+($AL1428="Paramedical")+($AL1428="Architecture")+($AL1428="Environmental Service")+($AL1428="Agriculture, Food Industry and Forestry"))&gt;0,"Science",IF((($AL1428="Banking and Finance")+($AL1428="Management and Administration")+($AL1428="Marketing")+($AL1428="Sales")+($AL1428="Entrepreneurship")+($AL1428="Hospitality and Tourism"))&gt;0,"Commerce",IF((($AL1428="Social Sciences and Humanities")+($AL1428="Law Studies")+($AL1428="Education and Training")+($AL1428="Art, Design")+($AL1428="Entertainment and Mass Media")+($AL1428="Community and Social Service")+($AL1428="Personal Care and Services")+($AL1428="Government and Public Administration")+($AL1428="Defence/ Protective Service")+($AL1428="Sports"))&gt;0,"Arts / Humanities",""))))</f>
        <v/>
      </c>
      <c r="BD1428" s="5" t="str">
        <f aca="false">IF($B1428="","",--(F1428&gt;=10)+--(G1428&gt;=10)+--(H1428&gt;=10)+--(I1428&gt;=10)+--(J1428&gt;=10)+--(K1428&gt;=10)+--(L1428&gt;=10)+--(M1428&gt;=10)+--(N1428&gt;=10)+--(O1428&gt;=10))</f>
        <v/>
      </c>
      <c r="BE1428" s="5" t="str">
        <f aca="false">IF($B1428="","",--(AND(F1428&lt;&gt;"",F1428&lt;=8))+--(AND(G1428&lt;&gt;"",G1428&lt;=8))+--(AND(H1428&lt;&gt;"",H1428&lt;=8))+--(AND(I1428&lt;&gt;"",I1428&lt;=8))+--(AND(J1428&lt;&gt;"",J1428&lt;=8))+--(AND(K1428&lt;&gt;"",K1428&lt;=8))+--(AND(L1428&lt;&gt;"",L1428&lt;=8))+--(AND(M1428&lt;&gt;"",M1428&lt;=8))+--(AND(N1428&lt;&gt;"",N1428&lt;=8))+--(AND(O1428&lt;&gt;"",O1428&lt;=8)))</f>
        <v/>
      </c>
    </row>
    <row r="1429" customFormat="false" ht="15" hidden="false" customHeight="false" outlineLevel="0" collapsed="false">
      <c r="AZ1429" s="5" t="str">
        <f aca="false">IF($B1429="","",SUMPRODUCT(($AL1429:$AO1429&lt;&gt;"")*(COUNTIF($AP1429:$AX1429,$AL1429:$AO1429)&gt;0)))</f>
        <v/>
      </c>
      <c r="BA1429" s="5" t="str">
        <f aca="false">IF($B1429="","",IF(AZ1429&gt;0,1,0))</f>
        <v/>
      </c>
      <c r="BB1429" s="5" t="str">
        <f aca="false">IF($AP1429="","",IF((($AP1429="Engineering and Technology")+($AP1429="Science and Mathematics")+($AP1429="Computer Science, IT and Allied Fields")+($AP1429="Life Sciences /Medicine and Healthcare")+($AP1429="Paramedical")+($AP1429="Architecture")+($AP1429="Environmental Service")+($AP1429="Agriculture, Food Industry and Forestry"))&gt;0,"Science",IF((($AP1429="Banking and Finance")+($AP1429="Management and Administration")+($AP1429="Marketing")+($AP1429="Sales")+($AP1429="Entrepreneurship")+($AP1429="Hospitality and Tourism"))&gt;0,"Commerce",IF((($AP1429="Social Sciences and Humanities")+($AP1429="Law Studies")+($AP1429="Education and Training")+($AP1429="Art, Design")+($AP1429="Entertainment and Mass Media")+($AP1429="Community and Social Service")+($AP1429="Personal Care and Services")+($AP1429="Government and Public Administration")+($AP1429="Defence/ Protective Service")+($AP1429="Sports"))&gt;0,"Arts / Humanities",""))))</f>
        <v/>
      </c>
      <c r="BC1429" s="5" t="str">
        <f aca="false">IF($AL1429="","",IF((($AL1429="Engineering and Technology")+($AL1429="Science and Mathematics")+($AL1429="Computer Science, IT and Allied Fields")+($AL1429="Life Sciences /Medicine and Healthcare")+($AL1429="Paramedical")+($AL1429="Architecture")+($AL1429="Environmental Service")+($AL1429="Agriculture, Food Industry and Forestry"))&gt;0,"Science",IF((($AL1429="Banking and Finance")+($AL1429="Management and Administration")+($AL1429="Marketing")+($AL1429="Sales")+($AL1429="Entrepreneurship")+($AL1429="Hospitality and Tourism"))&gt;0,"Commerce",IF((($AL1429="Social Sciences and Humanities")+($AL1429="Law Studies")+($AL1429="Education and Training")+($AL1429="Art, Design")+($AL1429="Entertainment and Mass Media")+($AL1429="Community and Social Service")+($AL1429="Personal Care and Services")+($AL1429="Government and Public Administration")+($AL1429="Defence/ Protective Service")+($AL1429="Sports"))&gt;0,"Arts / Humanities",""))))</f>
        <v/>
      </c>
      <c r="BD1429" s="5" t="str">
        <f aca="false">IF($B1429="","",--(F1429&gt;=10)+--(G1429&gt;=10)+--(H1429&gt;=10)+--(I1429&gt;=10)+--(J1429&gt;=10)+--(K1429&gt;=10)+--(L1429&gt;=10)+--(M1429&gt;=10)+--(N1429&gt;=10)+--(O1429&gt;=10))</f>
        <v/>
      </c>
      <c r="BE1429" s="5" t="str">
        <f aca="false">IF($B1429="","",--(AND(F1429&lt;&gt;"",F1429&lt;=8))+--(AND(G1429&lt;&gt;"",G1429&lt;=8))+--(AND(H1429&lt;&gt;"",H1429&lt;=8))+--(AND(I1429&lt;&gt;"",I1429&lt;=8))+--(AND(J1429&lt;&gt;"",J1429&lt;=8))+--(AND(K1429&lt;&gt;"",K1429&lt;=8))+--(AND(L1429&lt;&gt;"",L1429&lt;=8))+--(AND(M1429&lt;&gt;"",M1429&lt;=8))+--(AND(N1429&lt;&gt;"",N1429&lt;=8))+--(AND(O1429&lt;&gt;"",O1429&lt;=8)))</f>
        <v/>
      </c>
    </row>
    <row r="1430" customFormat="false" ht="15" hidden="false" customHeight="false" outlineLevel="0" collapsed="false">
      <c r="AZ1430" s="5" t="str">
        <f aca="false">IF($B1430="","",SUMPRODUCT(($AL1430:$AO1430&lt;&gt;"")*(COUNTIF($AP1430:$AX1430,$AL1430:$AO1430)&gt;0)))</f>
        <v/>
      </c>
      <c r="BA1430" s="5" t="str">
        <f aca="false">IF($B1430="","",IF(AZ1430&gt;0,1,0))</f>
        <v/>
      </c>
      <c r="BB1430" s="5" t="str">
        <f aca="false">IF($AP1430="","",IF((($AP1430="Engineering and Technology")+($AP1430="Science and Mathematics")+($AP1430="Computer Science, IT and Allied Fields")+($AP1430="Life Sciences /Medicine and Healthcare")+($AP1430="Paramedical")+($AP1430="Architecture")+($AP1430="Environmental Service")+($AP1430="Agriculture, Food Industry and Forestry"))&gt;0,"Science",IF((($AP1430="Banking and Finance")+($AP1430="Management and Administration")+($AP1430="Marketing")+($AP1430="Sales")+($AP1430="Entrepreneurship")+($AP1430="Hospitality and Tourism"))&gt;0,"Commerce",IF((($AP1430="Social Sciences and Humanities")+($AP1430="Law Studies")+($AP1430="Education and Training")+($AP1430="Art, Design")+($AP1430="Entertainment and Mass Media")+($AP1430="Community and Social Service")+($AP1430="Personal Care and Services")+($AP1430="Government and Public Administration")+($AP1430="Defence/ Protective Service")+($AP1430="Sports"))&gt;0,"Arts / Humanities",""))))</f>
        <v/>
      </c>
      <c r="BC1430" s="5" t="str">
        <f aca="false">IF($AL1430="","",IF((($AL1430="Engineering and Technology")+($AL1430="Science and Mathematics")+($AL1430="Computer Science, IT and Allied Fields")+($AL1430="Life Sciences /Medicine and Healthcare")+($AL1430="Paramedical")+($AL1430="Architecture")+($AL1430="Environmental Service")+($AL1430="Agriculture, Food Industry and Forestry"))&gt;0,"Science",IF((($AL1430="Banking and Finance")+($AL1430="Management and Administration")+($AL1430="Marketing")+($AL1430="Sales")+($AL1430="Entrepreneurship")+($AL1430="Hospitality and Tourism"))&gt;0,"Commerce",IF((($AL1430="Social Sciences and Humanities")+($AL1430="Law Studies")+($AL1430="Education and Training")+($AL1430="Art, Design")+($AL1430="Entertainment and Mass Media")+($AL1430="Community and Social Service")+($AL1430="Personal Care and Services")+($AL1430="Government and Public Administration")+($AL1430="Defence/ Protective Service")+($AL1430="Sports"))&gt;0,"Arts / Humanities",""))))</f>
        <v/>
      </c>
      <c r="BD1430" s="5" t="str">
        <f aca="false">IF($B1430="","",--(F1430&gt;=10)+--(G1430&gt;=10)+--(H1430&gt;=10)+--(I1430&gt;=10)+--(J1430&gt;=10)+--(K1430&gt;=10)+--(L1430&gt;=10)+--(M1430&gt;=10)+--(N1430&gt;=10)+--(O1430&gt;=10))</f>
        <v/>
      </c>
      <c r="BE1430" s="5" t="str">
        <f aca="false">IF($B1430="","",--(AND(F1430&lt;&gt;"",F1430&lt;=8))+--(AND(G1430&lt;&gt;"",G1430&lt;=8))+--(AND(H1430&lt;&gt;"",H1430&lt;=8))+--(AND(I1430&lt;&gt;"",I1430&lt;=8))+--(AND(J1430&lt;&gt;"",J1430&lt;=8))+--(AND(K1430&lt;&gt;"",K1430&lt;=8))+--(AND(L1430&lt;&gt;"",L1430&lt;=8))+--(AND(M1430&lt;&gt;"",M1430&lt;=8))+--(AND(N1430&lt;&gt;"",N1430&lt;=8))+--(AND(O1430&lt;&gt;"",O1430&lt;=8)))</f>
        <v/>
      </c>
    </row>
    <row r="1431" customFormat="false" ht="15" hidden="false" customHeight="false" outlineLevel="0" collapsed="false">
      <c r="AZ1431" s="5" t="str">
        <f aca="false">IF($B1431="","",SUMPRODUCT(($AL1431:$AO1431&lt;&gt;"")*(COUNTIF($AP1431:$AX1431,$AL1431:$AO1431)&gt;0)))</f>
        <v/>
      </c>
      <c r="BA1431" s="5" t="str">
        <f aca="false">IF($B1431="","",IF(AZ1431&gt;0,1,0))</f>
        <v/>
      </c>
      <c r="BB1431" s="5" t="str">
        <f aca="false">IF($AP1431="","",IF((($AP1431="Engineering and Technology")+($AP1431="Science and Mathematics")+($AP1431="Computer Science, IT and Allied Fields")+($AP1431="Life Sciences /Medicine and Healthcare")+($AP1431="Paramedical")+($AP1431="Architecture")+($AP1431="Environmental Service")+($AP1431="Agriculture, Food Industry and Forestry"))&gt;0,"Science",IF((($AP1431="Banking and Finance")+($AP1431="Management and Administration")+($AP1431="Marketing")+($AP1431="Sales")+($AP1431="Entrepreneurship")+($AP1431="Hospitality and Tourism"))&gt;0,"Commerce",IF((($AP1431="Social Sciences and Humanities")+($AP1431="Law Studies")+($AP1431="Education and Training")+($AP1431="Art, Design")+($AP1431="Entertainment and Mass Media")+($AP1431="Community and Social Service")+($AP1431="Personal Care and Services")+($AP1431="Government and Public Administration")+($AP1431="Defence/ Protective Service")+($AP1431="Sports"))&gt;0,"Arts / Humanities",""))))</f>
        <v/>
      </c>
      <c r="BC1431" s="5" t="str">
        <f aca="false">IF($AL1431="","",IF((($AL1431="Engineering and Technology")+($AL1431="Science and Mathematics")+($AL1431="Computer Science, IT and Allied Fields")+($AL1431="Life Sciences /Medicine and Healthcare")+($AL1431="Paramedical")+($AL1431="Architecture")+($AL1431="Environmental Service")+($AL1431="Agriculture, Food Industry and Forestry"))&gt;0,"Science",IF((($AL1431="Banking and Finance")+($AL1431="Management and Administration")+($AL1431="Marketing")+($AL1431="Sales")+($AL1431="Entrepreneurship")+($AL1431="Hospitality and Tourism"))&gt;0,"Commerce",IF((($AL1431="Social Sciences and Humanities")+($AL1431="Law Studies")+($AL1431="Education and Training")+($AL1431="Art, Design")+($AL1431="Entertainment and Mass Media")+($AL1431="Community and Social Service")+($AL1431="Personal Care and Services")+($AL1431="Government and Public Administration")+($AL1431="Defence/ Protective Service")+($AL1431="Sports"))&gt;0,"Arts / Humanities",""))))</f>
        <v/>
      </c>
      <c r="BD1431" s="5" t="str">
        <f aca="false">IF($B1431="","",--(F1431&gt;=10)+--(G1431&gt;=10)+--(H1431&gt;=10)+--(I1431&gt;=10)+--(J1431&gt;=10)+--(K1431&gt;=10)+--(L1431&gt;=10)+--(M1431&gt;=10)+--(N1431&gt;=10)+--(O1431&gt;=10))</f>
        <v/>
      </c>
      <c r="BE1431" s="5" t="str">
        <f aca="false">IF($B1431="","",--(AND(F1431&lt;&gt;"",F1431&lt;=8))+--(AND(G1431&lt;&gt;"",G1431&lt;=8))+--(AND(H1431&lt;&gt;"",H1431&lt;=8))+--(AND(I1431&lt;&gt;"",I1431&lt;=8))+--(AND(J1431&lt;&gt;"",J1431&lt;=8))+--(AND(K1431&lt;&gt;"",K1431&lt;=8))+--(AND(L1431&lt;&gt;"",L1431&lt;=8))+--(AND(M1431&lt;&gt;"",M1431&lt;=8))+--(AND(N1431&lt;&gt;"",N1431&lt;=8))+--(AND(O1431&lt;&gt;"",O1431&lt;=8)))</f>
        <v/>
      </c>
    </row>
    <row r="1432" customFormat="false" ht="15" hidden="false" customHeight="false" outlineLevel="0" collapsed="false">
      <c r="AZ1432" s="5" t="str">
        <f aca="false">IF($B1432="","",SUMPRODUCT(($AL1432:$AO1432&lt;&gt;"")*(COUNTIF($AP1432:$AX1432,$AL1432:$AO1432)&gt;0)))</f>
        <v/>
      </c>
      <c r="BA1432" s="5" t="str">
        <f aca="false">IF($B1432="","",IF(AZ1432&gt;0,1,0))</f>
        <v/>
      </c>
      <c r="BB1432" s="5" t="str">
        <f aca="false">IF($AP1432="","",IF((($AP1432="Engineering and Technology")+($AP1432="Science and Mathematics")+($AP1432="Computer Science, IT and Allied Fields")+($AP1432="Life Sciences /Medicine and Healthcare")+($AP1432="Paramedical")+($AP1432="Architecture")+($AP1432="Environmental Service")+($AP1432="Agriculture, Food Industry and Forestry"))&gt;0,"Science",IF((($AP1432="Banking and Finance")+($AP1432="Management and Administration")+($AP1432="Marketing")+($AP1432="Sales")+($AP1432="Entrepreneurship")+($AP1432="Hospitality and Tourism"))&gt;0,"Commerce",IF((($AP1432="Social Sciences and Humanities")+($AP1432="Law Studies")+($AP1432="Education and Training")+($AP1432="Art, Design")+($AP1432="Entertainment and Mass Media")+($AP1432="Community and Social Service")+($AP1432="Personal Care and Services")+($AP1432="Government and Public Administration")+($AP1432="Defence/ Protective Service")+($AP1432="Sports"))&gt;0,"Arts / Humanities",""))))</f>
        <v/>
      </c>
      <c r="BC1432" s="5" t="str">
        <f aca="false">IF($AL1432="","",IF((($AL1432="Engineering and Technology")+($AL1432="Science and Mathematics")+($AL1432="Computer Science, IT and Allied Fields")+($AL1432="Life Sciences /Medicine and Healthcare")+($AL1432="Paramedical")+($AL1432="Architecture")+($AL1432="Environmental Service")+($AL1432="Agriculture, Food Industry and Forestry"))&gt;0,"Science",IF((($AL1432="Banking and Finance")+($AL1432="Management and Administration")+($AL1432="Marketing")+($AL1432="Sales")+($AL1432="Entrepreneurship")+($AL1432="Hospitality and Tourism"))&gt;0,"Commerce",IF((($AL1432="Social Sciences and Humanities")+($AL1432="Law Studies")+($AL1432="Education and Training")+($AL1432="Art, Design")+($AL1432="Entertainment and Mass Media")+($AL1432="Community and Social Service")+($AL1432="Personal Care and Services")+($AL1432="Government and Public Administration")+($AL1432="Defence/ Protective Service")+($AL1432="Sports"))&gt;0,"Arts / Humanities",""))))</f>
        <v/>
      </c>
      <c r="BD1432" s="5" t="str">
        <f aca="false">IF($B1432="","",--(F1432&gt;=10)+--(G1432&gt;=10)+--(H1432&gt;=10)+--(I1432&gt;=10)+--(J1432&gt;=10)+--(K1432&gt;=10)+--(L1432&gt;=10)+--(M1432&gt;=10)+--(N1432&gt;=10)+--(O1432&gt;=10))</f>
        <v/>
      </c>
      <c r="BE1432" s="5" t="str">
        <f aca="false">IF($B1432="","",--(AND(F1432&lt;&gt;"",F1432&lt;=8))+--(AND(G1432&lt;&gt;"",G1432&lt;=8))+--(AND(H1432&lt;&gt;"",H1432&lt;=8))+--(AND(I1432&lt;&gt;"",I1432&lt;=8))+--(AND(J1432&lt;&gt;"",J1432&lt;=8))+--(AND(K1432&lt;&gt;"",K1432&lt;=8))+--(AND(L1432&lt;&gt;"",L1432&lt;=8))+--(AND(M1432&lt;&gt;"",M1432&lt;=8))+--(AND(N1432&lt;&gt;"",N1432&lt;=8))+--(AND(O1432&lt;&gt;"",O1432&lt;=8)))</f>
        <v/>
      </c>
    </row>
    <row r="1433" customFormat="false" ht="15" hidden="false" customHeight="false" outlineLevel="0" collapsed="false">
      <c r="AZ1433" s="5" t="str">
        <f aca="false">IF($B1433="","",SUMPRODUCT(($AL1433:$AO1433&lt;&gt;"")*(COUNTIF($AP1433:$AX1433,$AL1433:$AO1433)&gt;0)))</f>
        <v/>
      </c>
      <c r="BA1433" s="5" t="str">
        <f aca="false">IF($B1433="","",IF(AZ1433&gt;0,1,0))</f>
        <v/>
      </c>
      <c r="BB1433" s="5" t="str">
        <f aca="false">IF($AP1433="","",IF((($AP1433="Engineering and Technology")+($AP1433="Science and Mathematics")+($AP1433="Computer Science, IT and Allied Fields")+($AP1433="Life Sciences /Medicine and Healthcare")+($AP1433="Paramedical")+($AP1433="Architecture")+($AP1433="Environmental Service")+($AP1433="Agriculture, Food Industry and Forestry"))&gt;0,"Science",IF((($AP1433="Banking and Finance")+($AP1433="Management and Administration")+($AP1433="Marketing")+($AP1433="Sales")+($AP1433="Entrepreneurship")+($AP1433="Hospitality and Tourism"))&gt;0,"Commerce",IF((($AP1433="Social Sciences and Humanities")+($AP1433="Law Studies")+($AP1433="Education and Training")+($AP1433="Art, Design")+($AP1433="Entertainment and Mass Media")+($AP1433="Community and Social Service")+($AP1433="Personal Care and Services")+($AP1433="Government and Public Administration")+($AP1433="Defence/ Protective Service")+($AP1433="Sports"))&gt;0,"Arts / Humanities",""))))</f>
        <v/>
      </c>
      <c r="BC1433" s="5" t="str">
        <f aca="false">IF($AL1433="","",IF((($AL1433="Engineering and Technology")+($AL1433="Science and Mathematics")+($AL1433="Computer Science, IT and Allied Fields")+($AL1433="Life Sciences /Medicine and Healthcare")+($AL1433="Paramedical")+($AL1433="Architecture")+($AL1433="Environmental Service")+($AL1433="Agriculture, Food Industry and Forestry"))&gt;0,"Science",IF((($AL1433="Banking and Finance")+($AL1433="Management and Administration")+($AL1433="Marketing")+($AL1433="Sales")+($AL1433="Entrepreneurship")+($AL1433="Hospitality and Tourism"))&gt;0,"Commerce",IF((($AL1433="Social Sciences and Humanities")+($AL1433="Law Studies")+($AL1433="Education and Training")+($AL1433="Art, Design")+($AL1433="Entertainment and Mass Media")+($AL1433="Community and Social Service")+($AL1433="Personal Care and Services")+($AL1433="Government and Public Administration")+($AL1433="Defence/ Protective Service")+($AL1433="Sports"))&gt;0,"Arts / Humanities",""))))</f>
        <v/>
      </c>
      <c r="BD1433" s="5" t="str">
        <f aca="false">IF($B1433="","",--(F1433&gt;=10)+--(G1433&gt;=10)+--(H1433&gt;=10)+--(I1433&gt;=10)+--(J1433&gt;=10)+--(K1433&gt;=10)+--(L1433&gt;=10)+--(M1433&gt;=10)+--(N1433&gt;=10)+--(O1433&gt;=10))</f>
        <v/>
      </c>
      <c r="BE1433" s="5" t="str">
        <f aca="false">IF($B1433="","",--(AND(F1433&lt;&gt;"",F1433&lt;=8))+--(AND(G1433&lt;&gt;"",G1433&lt;=8))+--(AND(H1433&lt;&gt;"",H1433&lt;=8))+--(AND(I1433&lt;&gt;"",I1433&lt;=8))+--(AND(J1433&lt;&gt;"",J1433&lt;=8))+--(AND(K1433&lt;&gt;"",K1433&lt;=8))+--(AND(L1433&lt;&gt;"",L1433&lt;=8))+--(AND(M1433&lt;&gt;"",M1433&lt;=8))+--(AND(N1433&lt;&gt;"",N1433&lt;=8))+--(AND(O1433&lt;&gt;"",O1433&lt;=8)))</f>
        <v/>
      </c>
    </row>
    <row r="1434" customFormat="false" ht="15" hidden="false" customHeight="false" outlineLevel="0" collapsed="false">
      <c r="AZ1434" s="5" t="str">
        <f aca="false">IF($B1434="","",SUMPRODUCT(($AL1434:$AO1434&lt;&gt;"")*(COUNTIF($AP1434:$AX1434,$AL1434:$AO1434)&gt;0)))</f>
        <v/>
      </c>
      <c r="BA1434" s="5" t="str">
        <f aca="false">IF($B1434="","",IF(AZ1434&gt;0,1,0))</f>
        <v/>
      </c>
      <c r="BB1434" s="5" t="str">
        <f aca="false">IF($AP1434="","",IF((($AP1434="Engineering and Technology")+($AP1434="Science and Mathematics")+($AP1434="Computer Science, IT and Allied Fields")+($AP1434="Life Sciences /Medicine and Healthcare")+($AP1434="Paramedical")+($AP1434="Architecture")+($AP1434="Environmental Service")+($AP1434="Agriculture, Food Industry and Forestry"))&gt;0,"Science",IF((($AP1434="Banking and Finance")+($AP1434="Management and Administration")+($AP1434="Marketing")+($AP1434="Sales")+($AP1434="Entrepreneurship")+($AP1434="Hospitality and Tourism"))&gt;0,"Commerce",IF((($AP1434="Social Sciences and Humanities")+($AP1434="Law Studies")+($AP1434="Education and Training")+($AP1434="Art, Design")+($AP1434="Entertainment and Mass Media")+($AP1434="Community and Social Service")+($AP1434="Personal Care and Services")+($AP1434="Government and Public Administration")+($AP1434="Defence/ Protective Service")+($AP1434="Sports"))&gt;0,"Arts / Humanities",""))))</f>
        <v/>
      </c>
      <c r="BC1434" s="5" t="str">
        <f aca="false">IF($AL1434="","",IF((($AL1434="Engineering and Technology")+($AL1434="Science and Mathematics")+($AL1434="Computer Science, IT and Allied Fields")+($AL1434="Life Sciences /Medicine and Healthcare")+($AL1434="Paramedical")+($AL1434="Architecture")+($AL1434="Environmental Service")+($AL1434="Agriculture, Food Industry and Forestry"))&gt;0,"Science",IF((($AL1434="Banking and Finance")+($AL1434="Management and Administration")+($AL1434="Marketing")+($AL1434="Sales")+($AL1434="Entrepreneurship")+($AL1434="Hospitality and Tourism"))&gt;0,"Commerce",IF((($AL1434="Social Sciences and Humanities")+($AL1434="Law Studies")+($AL1434="Education and Training")+($AL1434="Art, Design")+($AL1434="Entertainment and Mass Media")+($AL1434="Community and Social Service")+($AL1434="Personal Care and Services")+($AL1434="Government and Public Administration")+($AL1434="Defence/ Protective Service")+($AL1434="Sports"))&gt;0,"Arts / Humanities",""))))</f>
        <v/>
      </c>
      <c r="BD1434" s="5" t="str">
        <f aca="false">IF($B1434="","",--(F1434&gt;=10)+--(G1434&gt;=10)+--(H1434&gt;=10)+--(I1434&gt;=10)+--(J1434&gt;=10)+--(K1434&gt;=10)+--(L1434&gt;=10)+--(M1434&gt;=10)+--(N1434&gt;=10)+--(O1434&gt;=10))</f>
        <v/>
      </c>
      <c r="BE1434" s="5" t="str">
        <f aca="false">IF($B1434="","",--(AND(F1434&lt;&gt;"",F1434&lt;=8))+--(AND(G1434&lt;&gt;"",G1434&lt;=8))+--(AND(H1434&lt;&gt;"",H1434&lt;=8))+--(AND(I1434&lt;&gt;"",I1434&lt;=8))+--(AND(J1434&lt;&gt;"",J1434&lt;=8))+--(AND(K1434&lt;&gt;"",K1434&lt;=8))+--(AND(L1434&lt;&gt;"",L1434&lt;=8))+--(AND(M1434&lt;&gt;"",M1434&lt;=8))+--(AND(N1434&lt;&gt;"",N1434&lt;=8))+--(AND(O1434&lt;&gt;"",O1434&lt;=8)))</f>
        <v/>
      </c>
    </row>
    <row r="1435" customFormat="false" ht="15" hidden="false" customHeight="false" outlineLevel="0" collapsed="false">
      <c r="AZ1435" s="5" t="str">
        <f aca="false">IF($B1435="","",SUMPRODUCT(($AL1435:$AO1435&lt;&gt;"")*(COUNTIF($AP1435:$AX1435,$AL1435:$AO1435)&gt;0)))</f>
        <v/>
      </c>
      <c r="BA1435" s="5" t="str">
        <f aca="false">IF($B1435="","",IF(AZ1435&gt;0,1,0))</f>
        <v/>
      </c>
      <c r="BB1435" s="5" t="str">
        <f aca="false">IF($AP1435="","",IF((($AP1435="Engineering and Technology")+($AP1435="Science and Mathematics")+($AP1435="Computer Science, IT and Allied Fields")+($AP1435="Life Sciences /Medicine and Healthcare")+($AP1435="Paramedical")+($AP1435="Architecture")+($AP1435="Environmental Service")+($AP1435="Agriculture, Food Industry and Forestry"))&gt;0,"Science",IF((($AP1435="Banking and Finance")+($AP1435="Management and Administration")+($AP1435="Marketing")+($AP1435="Sales")+($AP1435="Entrepreneurship")+($AP1435="Hospitality and Tourism"))&gt;0,"Commerce",IF((($AP1435="Social Sciences and Humanities")+($AP1435="Law Studies")+($AP1435="Education and Training")+($AP1435="Art, Design")+($AP1435="Entertainment and Mass Media")+($AP1435="Community and Social Service")+($AP1435="Personal Care and Services")+($AP1435="Government and Public Administration")+($AP1435="Defence/ Protective Service")+($AP1435="Sports"))&gt;0,"Arts / Humanities",""))))</f>
        <v/>
      </c>
      <c r="BC1435" s="5" t="str">
        <f aca="false">IF($AL1435="","",IF((($AL1435="Engineering and Technology")+($AL1435="Science and Mathematics")+($AL1435="Computer Science, IT and Allied Fields")+($AL1435="Life Sciences /Medicine and Healthcare")+($AL1435="Paramedical")+($AL1435="Architecture")+($AL1435="Environmental Service")+($AL1435="Agriculture, Food Industry and Forestry"))&gt;0,"Science",IF((($AL1435="Banking and Finance")+($AL1435="Management and Administration")+($AL1435="Marketing")+($AL1435="Sales")+($AL1435="Entrepreneurship")+($AL1435="Hospitality and Tourism"))&gt;0,"Commerce",IF((($AL1435="Social Sciences and Humanities")+($AL1435="Law Studies")+($AL1435="Education and Training")+($AL1435="Art, Design")+($AL1435="Entertainment and Mass Media")+($AL1435="Community and Social Service")+($AL1435="Personal Care and Services")+($AL1435="Government and Public Administration")+($AL1435="Defence/ Protective Service")+($AL1435="Sports"))&gt;0,"Arts / Humanities",""))))</f>
        <v/>
      </c>
      <c r="BD1435" s="5" t="str">
        <f aca="false">IF($B1435="","",--(F1435&gt;=10)+--(G1435&gt;=10)+--(H1435&gt;=10)+--(I1435&gt;=10)+--(J1435&gt;=10)+--(K1435&gt;=10)+--(L1435&gt;=10)+--(M1435&gt;=10)+--(N1435&gt;=10)+--(O1435&gt;=10))</f>
        <v/>
      </c>
      <c r="BE1435" s="5" t="str">
        <f aca="false">IF($B1435="","",--(AND(F1435&lt;&gt;"",F1435&lt;=8))+--(AND(G1435&lt;&gt;"",G1435&lt;=8))+--(AND(H1435&lt;&gt;"",H1435&lt;=8))+--(AND(I1435&lt;&gt;"",I1435&lt;=8))+--(AND(J1435&lt;&gt;"",J1435&lt;=8))+--(AND(K1435&lt;&gt;"",K1435&lt;=8))+--(AND(L1435&lt;&gt;"",L1435&lt;=8))+--(AND(M1435&lt;&gt;"",M1435&lt;=8))+--(AND(N1435&lt;&gt;"",N1435&lt;=8))+--(AND(O1435&lt;&gt;"",O1435&lt;=8)))</f>
        <v/>
      </c>
    </row>
    <row r="1436" customFormat="false" ht="15" hidden="false" customHeight="false" outlineLevel="0" collapsed="false">
      <c r="AZ1436" s="5" t="str">
        <f aca="false">IF($B1436="","",SUMPRODUCT(($AL1436:$AO1436&lt;&gt;"")*(COUNTIF($AP1436:$AX1436,$AL1436:$AO1436)&gt;0)))</f>
        <v/>
      </c>
      <c r="BA1436" s="5" t="str">
        <f aca="false">IF($B1436="","",IF(AZ1436&gt;0,1,0))</f>
        <v/>
      </c>
      <c r="BB1436" s="5" t="str">
        <f aca="false">IF($AP1436="","",IF((($AP1436="Engineering and Technology")+($AP1436="Science and Mathematics")+($AP1436="Computer Science, IT and Allied Fields")+($AP1436="Life Sciences /Medicine and Healthcare")+($AP1436="Paramedical")+($AP1436="Architecture")+($AP1436="Environmental Service")+($AP1436="Agriculture, Food Industry and Forestry"))&gt;0,"Science",IF((($AP1436="Banking and Finance")+($AP1436="Management and Administration")+($AP1436="Marketing")+($AP1436="Sales")+($AP1436="Entrepreneurship")+($AP1436="Hospitality and Tourism"))&gt;0,"Commerce",IF((($AP1436="Social Sciences and Humanities")+($AP1436="Law Studies")+($AP1436="Education and Training")+($AP1436="Art, Design")+($AP1436="Entertainment and Mass Media")+($AP1436="Community and Social Service")+($AP1436="Personal Care and Services")+($AP1436="Government and Public Administration")+($AP1436="Defence/ Protective Service")+($AP1436="Sports"))&gt;0,"Arts / Humanities",""))))</f>
        <v/>
      </c>
      <c r="BC1436" s="5" t="str">
        <f aca="false">IF($AL1436="","",IF((($AL1436="Engineering and Technology")+($AL1436="Science and Mathematics")+($AL1436="Computer Science, IT and Allied Fields")+($AL1436="Life Sciences /Medicine and Healthcare")+($AL1436="Paramedical")+($AL1436="Architecture")+($AL1436="Environmental Service")+($AL1436="Agriculture, Food Industry and Forestry"))&gt;0,"Science",IF((($AL1436="Banking and Finance")+($AL1436="Management and Administration")+($AL1436="Marketing")+($AL1436="Sales")+($AL1436="Entrepreneurship")+($AL1436="Hospitality and Tourism"))&gt;0,"Commerce",IF((($AL1436="Social Sciences and Humanities")+($AL1436="Law Studies")+($AL1436="Education and Training")+($AL1436="Art, Design")+($AL1436="Entertainment and Mass Media")+($AL1436="Community and Social Service")+($AL1436="Personal Care and Services")+($AL1436="Government and Public Administration")+($AL1436="Defence/ Protective Service")+($AL1436="Sports"))&gt;0,"Arts / Humanities",""))))</f>
        <v/>
      </c>
      <c r="BD1436" s="5" t="str">
        <f aca="false">IF($B1436="","",--(F1436&gt;=10)+--(G1436&gt;=10)+--(H1436&gt;=10)+--(I1436&gt;=10)+--(J1436&gt;=10)+--(K1436&gt;=10)+--(L1436&gt;=10)+--(M1436&gt;=10)+--(N1436&gt;=10)+--(O1436&gt;=10))</f>
        <v/>
      </c>
      <c r="BE1436" s="5" t="str">
        <f aca="false">IF($B1436="","",--(AND(F1436&lt;&gt;"",F1436&lt;=8))+--(AND(G1436&lt;&gt;"",G1436&lt;=8))+--(AND(H1436&lt;&gt;"",H1436&lt;=8))+--(AND(I1436&lt;&gt;"",I1436&lt;=8))+--(AND(J1436&lt;&gt;"",J1436&lt;=8))+--(AND(K1436&lt;&gt;"",K1436&lt;=8))+--(AND(L1436&lt;&gt;"",L1436&lt;=8))+--(AND(M1436&lt;&gt;"",M1436&lt;=8))+--(AND(N1436&lt;&gt;"",N1436&lt;=8))+--(AND(O1436&lt;&gt;"",O1436&lt;=8)))</f>
        <v/>
      </c>
    </row>
    <row r="1437" customFormat="false" ht="15" hidden="false" customHeight="false" outlineLevel="0" collapsed="false">
      <c r="AZ1437" s="5" t="str">
        <f aca="false">IF($B1437="","",SUMPRODUCT(($AL1437:$AO1437&lt;&gt;"")*(COUNTIF($AP1437:$AX1437,$AL1437:$AO1437)&gt;0)))</f>
        <v/>
      </c>
      <c r="BA1437" s="5" t="str">
        <f aca="false">IF($B1437="","",IF(AZ1437&gt;0,1,0))</f>
        <v/>
      </c>
      <c r="BB1437" s="5" t="str">
        <f aca="false">IF($AP1437="","",IF((($AP1437="Engineering and Technology")+($AP1437="Science and Mathematics")+($AP1437="Computer Science, IT and Allied Fields")+($AP1437="Life Sciences /Medicine and Healthcare")+($AP1437="Paramedical")+($AP1437="Architecture")+($AP1437="Environmental Service")+($AP1437="Agriculture, Food Industry and Forestry"))&gt;0,"Science",IF((($AP1437="Banking and Finance")+($AP1437="Management and Administration")+($AP1437="Marketing")+($AP1437="Sales")+($AP1437="Entrepreneurship")+($AP1437="Hospitality and Tourism"))&gt;0,"Commerce",IF((($AP1437="Social Sciences and Humanities")+($AP1437="Law Studies")+($AP1437="Education and Training")+($AP1437="Art, Design")+($AP1437="Entertainment and Mass Media")+($AP1437="Community and Social Service")+($AP1437="Personal Care and Services")+($AP1437="Government and Public Administration")+($AP1437="Defence/ Protective Service")+($AP1437="Sports"))&gt;0,"Arts / Humanities",""))))</f>
        <v/>
      </c>
      <c r="BC1437" s="5" t="str">
        <f aca="false">IF($AL1437="","",IF((($AL1437="Engineering and Technology")+($AL1437="Science and Mathematics")+($AL1437="Computer Science, IT and Allied Fields")+($AL1437="Life Sciences /Medicine and Healthcare")+($AL1437="Paramedical")+($AL1437="Architecture")+($AL1437="Environmental Service")+($AL1437="Agriculture, Food Industry and Forestry"))&gt;0,"Science",IF((($AL1437="Banking and Finance")+($AL1437="Management and Administration")+($AL1437="Marketing")+($AL1437="Sales")+($AL1437="Entrepreneurship")+($AL1437="Hospitality and Tourism"))&gt;0,"Commerce",IF((($AL1437="Social Sciences and Humanities")+($AL1437="Law Studies")+($AL1437="Education and Training")+($AL1437="Art, Design")+($AL1437="Entertainment and Mass Media")+($AL1437="Community and Social Service")+($AL1437="Personal Care and Services")+($AL1437="Government and Public Administration")+($AL1437="Defence/ Protective Service")+($AL1437="Sports"))&gt;0,"Arts / Humanities",""))))</f>
        <v/>
      </c>
      <c r="BD1437" s="5" t="str">
        <f aca="false">IF($B1437="","",--(F1437&gt;=10)+--(G1437&gt;=10)+--(H1437&gt;=10)+--(I1437&gt;=10)+--(J1437&gt;=10)+--(K1437&gt;=10)+--(L1437&gt;=10)+--(M1437&gt;=10)+--(N1437&gt;=10)+--(O1437&gt;=10))</f>
        <v/>
      </c>
      <c r="BE1437" s="5" t="str">
        <f aca="false">IF($B1437="","",--(AND(F1437&lt;&gt;"",F1437&lt;=8))+--(AND(G1437&lt;&gt;"",G1437&lt;=8))+--(AND(H1437&lt;&gt;"",H1437&lt;=8))+--(AND(I1437&lt;&gt;"",I1437&lt;=8))+--(AND(J1437&lt;&gt;"",J1437&lt;=8))+--(AND(K1437&lt;&gt;"",K1437&lt;=8))+--(AND(L1437&lt;&gt;"",L1437&lt;=8))+--(AND(M1437&lt;&gt;"",M1437&lt;=8))+--(AND(N1437&lt;&gt;"",N1437&lt;=8))+--(AND(O1437&lt;&gt;"",O1437&lt;=8)))</f>
        <v/>
      </c>
    </row>
    <row r="1438" customFormat="false" ht="15" hidden="false" customHeight="false" outlineLevel="0" collapsed="false">
      <c r="AZ1438" s="5" t="str">
        <f aca="false">IF($B1438="","",SUMPRODUCT(($AL1438:$AO1438&lt;&gt;"")*(COUNTIF($AP1438:$AX1438,$AL1438:$AO1438)&gt;0)))</f>
        <v/>
      </c>
      <c r="BA1438" s="5" t="str">
        <f aca="false">IF($B1438="","",IF(AZ1438&gt;0,1,0))</f>
        <v/>
      </c>
      <c r="BB1438" s="5" t="str">
        <f aca="false">IF($AP1438="","",IF((($AP1438="Engineering and Technology")+($AP1438="Science and Mathematics")+($AP1438="Computer Science, IT and Allied Fields")+($AP1438="Life Sciences /Medicine and Healthcare")+($AP1438="Paramedical")+($AP1438="Architecture")+($AP1438="Environmental Service")+($AP1438="Agriculture, Food Industry and Forestry"))&gt;0,"Science",IF((($AP1438="Banking and Finance")+($AP1438="Management and Administration")+($AP1438="Marketing")+($AP1438="Sales")+($AP1438="Entrepreneurship")+($AP1438="Hospitality and Tourism"))&gt;0,"Commerce",IF((($AP1438="Social Sciences and Humanities")+($AP1438="Law Studies")+($AP1438="Education and Training")+($AP1438="Art, Design")+($AP1438="Entertainment and Mass Media")+($AP1438="Community and Social Service")+($AP1438="Personal Care and Services")+($AP1438="Government and Public Administration")+($AP1438="Defence/ Protective Service")+($AP1438="Sports"))&gt;0,"Arts / Humanities",""))))</f>
        <v/>
      </c>
      <c r="BC1438" s="5" t="str">
        <f aca="false">IF($AL1438="","",IF((($AL1438="Engineering and Technology")+($AL1438="Science and Mathematics")+($AL1438="Computer Science, IT and Allied Fields")+($AL1438="Life Sciences /Medicine and Healthcare")+($AL1438="Paramedical")+($AL1438="Architecture")+($AL1438="Environmental Service")+($AL1438="Agriculture, Food Industry and Forestry"))&gt;0,"Science",IF((($AL1438="Banking and Finance")+($AL1438="Management and Administration")+($AL1438="Marketing")+($AL1438="Sales")+($AL1438="Entrepreneurship")+($AL1438="Hospitality and Tourism"))&gt;0,"Commerce",IF((($AL1438="Social Sciences and Humanities")+($AL1438="Law Studies")+($AL1438="Education and Training")+($AL1438="Art, Design")+($AL1438="Entertainment and Mass Media")+($AL1438="Community and Social Service")+($AL1438="Personal Care and Services")+($AL1438="Government and Public Administration")+($AL1438="Defence/ Protective Service")+($AL1438="Sports"))&gt;0,"Arts / Humanities",""))))</f>
        <v/>
      </c>
      <c r="BD1438" s="5" t="str">
        <f aca="false">IF($B1438="","",--(F1438&gt;=10)+--(G1438&gt;=10)+--(H1438&gt;=10)+--(I1438&gt;=10)+--(J1438&gt;=10)+--(K1438&gt;=10)+--(L1438&gt;=10)+--(M1438&gt;=10)+--(N1438&gt;=10)+--(O1438&gt;=10))</f>
        <v/>
      </c>
      <c r="BE1438" s="5" t="str">
        <f aca="false">IF($B1438="","",--(AND(F1438&lt;&gt;"",F1438&lt;=8))+--(AND(G1438&lt;&gt;"",G1438&lt;=8))+--(AND(H1438&lt;&gt;"",H1438&lt;=8))+--(AND(I1438&lt;&gt;"",I1438&lt;=8))+--(AND(J1438&lt;&gt;"",J1438&lt;=8))+--(AND(K1438&lt;&gt;"",K1438&lt;=8))+--(AND(L1438&lt;&gt;"",L1438&lt;=8))+--(AND(M1438&lt;&gt;"",M1438&lt;=8))+--(AND(N1438&lt;&gt;"",N1438&lt;=8))+--(AND(O1438&lt;&gt;"",O1438&lt;=8)))</f>
        <v/>
      </c>
    </row>
    <row r="1439" customFormat="false" ht="15" hidden="false" customHeight="false" outlineLevel="0" collapsed="false">
      <c r="AZ1439" s="5" t="str">
        <f aca="false">IF($B1439="","",SUMPRODUCT(($AL1439:$AO1439&lt;&gt;"")*(COUNTIF($AP1439:$AX1439,$AL1439:$AO1439)&gt;0)))</f>
        <v/>
      </c>
      <c r="BA1439" s="5" t="str">
        <f aca="false">IF($B1439="","",IF(AZ1439&gt;0,1,0))</f>
        <v/>
      </c>
      <c r="BB1439" s="5" t="str">
        <f aca="false">IF($AP1439="","",IF((($AP1439="Engineering and Technology")+($AP1439="Science and Mathematics")+($AP1439="Computer Science, IT and Allied Fields")+($AP1439="Life Sciences /Medicine and Healthcare")+($AP1439="Paramedical")+($AP1439="Architecture")+($AP1439="Environmental Service")+($AP1439="Agriculture, Food Industry and Forestry"))&gt;0,"Science",IF((($AP1439="Banking and Finance")+($AP1439="Management and Administration")+($AP1439="Marketing")+($AP1439="Sales")+($AP1439="Entrepreneurship")+($AP1439="Hospitality and Tourism"))&gt;0,"Commerce",IF((($AP1439="Social Sciences and Humanities")+($AP1439="Law Studies")+($AP1439="Education and Training")+($AP1439="Art, Design")+($AP1439="Entertainment and Mass Media")+($AP1439="Community and Social Service")+($AP1439="Personal Care and Services")+($AP1439="Government and Public Administration")+($AP1439="Defence/ Protective Service")+($AP1439="Sports"))&gt;0,"Arts / Humanities",""))))</f>
        <v/>
      </c>
      <c r="BC1439" s="5" t="str">
        <f aca="false">IF($AL1439="","",IF((($AL1439="Engineering and Technology")+($AL1439="Science and Mathematics")+($AL1439="Computer Science, IT and Allied Fields")+($AL1439="Life Sciences /Medicine and Healthcare")+($AL1439="Paramedical")+($AL1439="Architecture")+($AL1439="Environmental Service")+($AL1439="Agriculture, Food Industry and Forestry"))&gt;0,"Science",IF((($AL1439="Banking and Finance")+($AL1439="Management and Administration")+($AL1439="Marketing")+($AL1439="Sales")+($AL1439="Entrepreneurship")+($AL1439="Hospitality and Tourism"))&gt;0,"Commerce",IF((($AL1439="Social Sciences and Humanities")+($AL1439="Law Studies")+($AL1439="Education and Training")+($AL1439="Art, Design")+($AL1439="Entertainment and Mass Media")+($AL1439="Community and Social Service")+($AL1439="Personal Care and Services")+($AL1439="Government and Public Administration")+($AL1439="Defence/ Protective Service")+($AL1439="Sports"))&gt;0,"Arts / Humanities",""))))</f>
        <v/>
      </c>
      <c r="BD1439" s="5" t="str">
        <f aca="false">IF($B1439="","",--(F1439&gt;=10)+--(G1439&gt;=10)+--(H1439&gt;=10)+--(I1439&gt;=10)+--(J1439&gt;=10)+--(K1439&gt;=10)+--(L1439&gt;=10)+--(M1439&gt;=10)+--(N1439&gt;=10)+--(O1439&gt;=10))</f>
        <v/>
      </c>
      <c r="BE1439" s="5" t="str">
        <f aca="false">IF($B1439="","",--(AND(F1439&lt;&gt;"",F1439&lt;=8))+--(AND(G1439&lt;&gt;"",G1439&lt;=8))+--(AND(H1439&lt;&gt;"",H1439&lt;=8))+--(AND(I1439&lt;&gt;"",I1439&lt;=8))+--(AND(J1439&lt;&gt;"",J1439&lt;=8))+--(AND(K1439&lt;&gt;"",K1439&lt;=8))+--(AND(L1439&lt;&gt;"",L1439&lt;=8))+--(AND(M1439&lt;&gt;"",M1439&lt;=8))+--(AND(N1439&lt;&gt;"",N1439&lt;=8))+--(AND(O1439&lt;&gt;"",O1439&lt;=8)))</f>
        <v/>
      </c>
    </row>
    <row r="1440" customFormat="false" ht="15" hidden="false" customHeight="false" outlineLevel="0" collapsed="false">
      <c r="AZ1440" s="5" t="str">
        <f aca="false">IF($B1440="","",SUMPRODUCT(($AL1440:$AO1440&lt;&gt;"")*(COUNTIF($AP1440:$AX1440,$AL1440:$AO1440)&gt;0)))</f>
        <v/>
      </c>
      <c r="BA1440" s="5" t="str">
        <f aca="false">IF($B1440="","",IF(AZ1440&gt;0,1,0))</f>
        <v/>
      </c>
      <c r="BB1440" s="5" t="str">
        <f aca="false">IF($AP1440="","",IF((($AP1440="Engineering and Technology")+($AP1440="Science and Mathematics")+($AP1440="Computer Science, IT and Allied Fields")+($AP1440="Life Sciences /Medicine and Healthcare")+($AP1440="Paramedical")+($AP1440="Architecture")+($AP1440="Environmental Service")+($AP1440="Agriculture, Food Industry and Forestry"))&gt;0,"Science",IF((($AP1440="Banking and Finance")+($AP1440="Management and Administration")+($AP1440="Marketing")+($AP1440="Sales")+($AP1440="Entrepreneurship")+($AP1440="Hospitality and Tourism"))&gt;0,"Commerce",IF((($AP1440="Social Sciences and Humanities")+($AP1440="Law Studies")+($AP1440="Education and Training")+($AP1440="Art, Design")+($AP1440="Entertainment and Mass Media")+($AP1440="Community and Social Service")+($AP1440="Personal Care and Services")+($AP1440="Government and Public Administration")+($AP1440="Defence/ Protective Service")+($AP1440="Sports"))&gt;0,"Arts / Humanities",""))))</f>
        <v/>
      </c>
      <c r="BC1440" s="5" t="str">
        <f aca="false">IF($AL1440="","",IF((($AL1440="Engineering and Technology")+($AL1440="Science and Mathematics")+($AL1440="Computer Science, IT and Allied Fields")+($AL1440="Life Sciences /Medicine and Healthcare")+($AL1440="Paramedical")+($AL1440="Architecture")+($AL1440="Environmental Service")+($AL1440="Agriculture, Food Industry and Forestry"))&gt;0,"Science",IF((($AL1440="Banking and Finance")+($AL1440="Management and Administration")+($AL1440="Marketing")+($AL1440="Sales")+($AL1440="Entrepreneurship")+($AL1440="Hospitality and Tourism"))&gt;0,"Commerce",IF((($AL1440="Social Sciences and Humanities")+($AL1440="Law Studies")+($AL1440="Education and Training")+($AL1440="Art, Design")+($AL1440="Entertainment and Mass Media")+($AL1440="Community and Social Service")+($AL1440="Personal Care and Services")+($AL1440="Government and Public Administration")+($AL1440="Defence/ Protective Service")+($AL1440="Sports"))&gt;0,"Arts / Humanities",""))))</f>
        <v/>
      </c>
      <c r="BD1440" s="5" t="str">
        <f aca="false">IF($B1440="","",--(F1440&gt;=10)+--(G1440&gt;=10)+--(H1440&gt;=10)+--(I1440&gt;=10)+--(J1440&gt;=10)+--(K1440&gt;=10)+--(L1440&gt;=10)+--(M1440&gt;=10)+--(N1440&gt;=10)+--(O1440&gt;=10))</f>
        <v/>
      </c>
      <c r="BE1440" s="5" t="str">
        <f aca="false">IF($B1440="","",--(AND(F1440&lt;&gt;"",F1440&lt;=8))+--(AND(G1440&lt;&gt;"",G1440&lt;=8))+--(AND(H1440&lt;&gt;"",H1440&lt;=8))+--(AND(I1440&lt;&gt;"",I1440&lt;=8))+--(AND(J1440&lt;&gt;"",J1440&lt;=8))+--(AND(K1440&lt;&gt;"",K1440&lt;=8))+--(AND(L1440&lt;&gt;"",L1440&lt;=8))+--(AND(M1440&lt;&gt;"",M1440&lt;=8))+--(AND(N1440&lt;&gt;"",N1440&lt;=8))+--(AND(O1440&lt;&gt;"",O1440&lt;=8)))</f>
        <v/>
      </c>
    </row>
    <row r="1441" customFormat="false" ht="15" hidden="false" customHeight="false" outlineLevel="0" collapsed="false">
      <c r="AZ1441" s="5" t="str">
        <f aca="false">IF($B1441="","",SUMPRODUCT(($AL1441:$AO1441&lt;&gt;"")*(COUNTIF($AP1441:$AX1441,$AL1441:$AO1441)&gt;0)))</f>
        <v/>
      </c>
      <c r="BA1441" s="5" t="str">
        <f aca="false">IF($B1441="","",IF(AZ1441&gt;0,1,0))</f>
        <v/>
      </c>
      <c r="BB1441" s="5" t="str">
        <f aca="false">IF($AP1441="","",IF((($AP1441="Engineering and Technology")+($AP1441="Science and Mathematics")+($AP1441="Computer Science, IT and Allied Fields")+($AP1441="Life Sciences /Medicine and Healthcare")+($AP1441="Paramedical")+($AP1441="Architecture")+($AP1441="Environmental Service")+($AP1441="Agriculture, Food Industry and Forestry"))&gt;0,"Science",IF((($AP1441="Banking and Finance")+($AP1441="Management and Administration")+($AP1441="Marketing")+($AP1441="Sales")+($AP1441="Entrepreneurship")+($AP1441="Hospitality and Tourism"))&gt;0,"Commerce",IF((($AP1441="Social Sciences and Humanities")+($AP1441="Law Studies")+($AP1441="Education and Training")+($AP1441="Art, Design")+($AP1441="Entertainment and Mass Media")+($AP1441="Community and Social Service")+($AP1441="Personal Care and Services")+($AP1441="Government and Public Administration")+($AP1441="Defence/ Protective Service")+($AP1441="Sports"))&gt;0,"Arts / Humanities",""))))</f>
        <v/>
      </c>
      <c r="BC1441" s="5" t="str">
        <f aca="false">IF($AL1441="","",IF((($AL1441="Engineering and Technology")+($AL1441="Science and Mathematics")+($AL1441="Computer Science, IT and Allied Fields")+($AL1441="Life Sciences /Medicine and Healthcare")+($AL1441="Paramedical")+($AL1441="Architecture")+($AL1441="Environmental Service")+($AL1441="Agriculture, Food Industry and Forestry"))&gt;0,"Science",IF((($AL1441="Banking and Finance")+($AL1441="Management and Administration")+($AL1441="Marketing")+($AL1441="Sales")+($AL1441="Entrepreneurship")+($AL1441="Hospitality and Tourism"))&gt;0,"Commerce",IF((($AL1441="Social Sciences and Humanities")+($AL1441="Law Studies")+($AL1441="Education and Training")+($AL1441="Art, Design")+($AL1441="Entertainment and Mass Media")+($AL1441="Community and Social Service")+($AL1441="Personal Care and Services")+($AL1441="Government and Public Administration")+($AL1441="Defence/ Protective Service")+($AL1441="Sports"))&gt;0,"Arts / Humanities",""))))</f>
        <v/>
      </c>
      <c r="BD1441" s="5" t="str">
        <f aca="false">IF($B1441="","",--(F1441&gt;=10)+--(G1441&gt;=10)+--(H1441&gt;=10)+--(I1441&gt;=10)+--(J1441&gt;=10)+--(K1441&gt;=10)+--(L1441&gt;=10)+--(M1441&gt;=10)+--(N1441&gt;=10)+--(O1441&gt;=10))</f>
        <v/>
      </c>
      <c r="BE1441" s="5" t="str">
        <f aca="false">IF($B1441="","",--(AND(F1441&lt;&gt;"",F1441&lt;=8))+--(AND(G1441&lt;&gt;"",G1441&lt;=8))+--(AND(H1441&lt;&gt;"",H1441&lt;=8))+--(AND(I1441&lt;&gt;"",I1441&lt;=8))+--(AND(J1441&lt;&gt;"",J1441&lt;=8))+--(AND(K1441&lt;&gt;"",K1441&lt;=8))+--(AND(L1441&lt;&gt;"",L1441&lt;=8))+--(AND(M1441&lt;&gt;"",M1441&lt;=8))+--(AND(N1441&lt;&gt;"",N1441&lt;=8))+--(AND(O1441&lt;&gt;"",O1441&lt;=8)))</f>
        <v/>
      </c>
    </row>
    <row r="1442" customFormat="false" ht="15" hidden="false" customHeight="false" outlineLevel="0" collapsed="false">
      <c r="AZ1442" s="5" t="str">
        <f aca="false">IF($B1442="","",SUMPRODUCT(($AL1442:$AO1442&lt;&gt;"")*(COUNTIF($AP1442:$AX1442,$AL1442:$AO1442)&gt;0)))</f>
        <v/>
      </c>
      <c r="BA1442" s="5" t="str">
        <f aca="false">IF($B1442="","",IF(AZ1442&gt;0,1,0))</f>
        <v/>
      </c>
      <c r="BB1442" s="5" t="str">
        <f aca="false">IF($AP1442="","",IF((($AP1442="Engineering and Technology")+($AP1442="Science and Mathematics")+($AP1442="Computer Science, IT and Allied Fields")+($AP1442="Life Sciences /Medicine and Healthcare")+($AP1442="Paramedical")+($AP1442="Architecture")+($AP1442="Environmental Service")+($AP1442="Agriculture, Food Industry and Forestry"))&gt;0,"Science",IF((($AP1442="Banking and Finance")+($AP1442="Management and Administration")+($AP1442="Marketing")+($AP1442="Sales")+($AP1442="Entrepreneurship")+($AP1442="Hospitality and Tourism"))&gt;0,"Commerce",IF((($AP1442="Social Sciences and Humanities")+($AP1442="Law Studies")+($AP1442="Education and Training")+($AP1442="Art, Design")+($AP1442="Entertainment and Mass Media")+($AP1442="Community and Social Service")+($AP1442="Personal Care and Services")+($AP1442="Government and Public Administration")+($AP1442="Defence/ Protective Service")+($AP1442="Sports"))&gt;0,"Arts / Humanities",""))))</f>
        <v/>
      </c>
      <c r="BC1442" s="5" t="str">
        <f aca="false">IF($AL1442="","",IF((($AL1442="Engineering and Technology")+($AL1442="Science and Mathematics")+($AL1442="Computer Science, IT and Allied Fields")+($AL1442="Life Sciences /Medicine and Healthcare")+($AL1442="Paramedical")+($AL1442="Architecture")+($AL1442="Environmental Service")+($AL1442="Agriculture, Food Industry and Forestry"))&gt;0,"Science",IF((($AL1442="Banking and Finance")+($AL1442="Management and Administration")+($AL1442="Marketing")+($AL1442="Sales")+($AL1442="Entrepreneurship")+($AL1442="Hospitality and Tourism"))&gt;0,"Commerce",IF((($AL1442="Social Sciences and Humanities")+($AL1442="Law Studies")+($AL1442="Education and Training")+($AL1442="Art, Design")+($AL1442="Entertainment and Mass Media")+($AL1442="Community and Social Service")+($AL1442="Personal Care and Services")+($AL1442="Government and Public Administration")+($AL1442="Defence/ Protective Service")+($AL1442="Sports"))&gt;0,"Arts / Humanities",""))))</f>
        <v/>
      </c>
      <c r="BD1442" s="5" t="str">
        <f aca="false">IF($B1442="","",--(F1442&gt;=10)+--(G1442&gt;=10)+--(H1442&gt;=10)+--(I1442&gt;=10)+--(J1442&gt;=10)+--(K1442&gt;=10)+--(L1442&gt;=10)+--(M1442&gt;=10)+--(N1442&gt;=10)+--(O1442&gt;=10))</f>
        <v/>
      </c>
      <c r="BE1442" s="5" t="str">
        <f aca="false">IF($B1442="","",--(AND(F1442&lt;&gt;"",F1442&lt;=8))+--(AND(G1442&lt;&gt;"",G1442&lt;=8))+--(AND(H1442&lt;&gt;"",H1442&lt;=8))+--(AND(I1442&lt;&gt;"",I1442&lt;=8))+--(AND(J1442&lt;&gt;"",J1442&lt;=8))+--(AND(K1442&lt;&gt;"",K1442&lt;=8))+--(AND(L1442&lt;&gt;"",L1442&lt;=8))+--(AND(M1442&lt;&gt;"",M1442&lt;=8))+--(AND(N1442&lt;&gt;"",N1442&lt;=8))+--(AND(O1442&lt;&gt;"",O1442&lt;=8)))</f>
        <v/>
      </c>
    </row>
    <row r="1443" customFormat="false" ht="15" hidden="false" customHeight="false" outlineLevel="0" collapsed="false">
      <c r="AZ1443" s="5" t="str">
        <f aca="false">IF($B1443="","",SUMPRODUCT(($AL1443:$AO1443&lt;&gt;"")*(COUNTIF($AP1443:$AX1443,$AL1443:$AO1443)&gt;0)))</f>
        <v/>
      </c>
      <c r="BA1443" s="5" t="str">
        <f aca="false">IF($B1443="","",IF(AZ1443&gt;0,1,0))</f>
        <v/>
      </c>
      <c r="BB1443" s="5" t="str">
        <f aca="false">IF($AP1443="","",IF((($AP1443="Engineering and Technology")+($AP1443="Science and Mathematics")+($AP1443="Computer Science, IT and Allied Fields")+($AP1443="Life Sciences /Medicine and Healthcare")+($AP1443="Paramedical")+($AP1443="Architecture")+($AP1443="Environmental Service")+($AP1443="Agriculture, Food Industry and Forestry"))&gt;0,"Science",IF((($AP1443="Banking and Finance")+($AP1443="Management and Administration")+($AP1443="Marketing")+($AP1443="Sales")+($AP1443="Entrepreneurship")+($AP1443="Hospitality and Tourism"))&gt;0,"Commerce",IF((($AP1443="Social Sciences and Humanities")+($AP1443="Law Studies")+($AP1443="Education and Training")+($AP1443="Art, Design")+($AP1443="Entertainment and Mass Media")+($AP1443="Community and Social Service")+($AP1443="Personal Care and Services")+($AP1443="Government and Public Administration")+($AP1443="Defence/ Protective Service")+($AP1443="Sports"))&gt;0,"Arts / Humanities",""))))</f>
        <v/>
      </c>
      <c r="BC1443" s="5" t="str">
        <f aca="false">IF($AL1443="","",IF((($AL1443="Engineering and Technology")+($AL1443="Science and Mathematics")+($AL1443="Computer Science, IT and Allied Fields")+($AL1443="Life Sciences /Medicine and Healthcare")+($AL1443="Paramedical")+($AL1443="Architecture")+($AL1443="Environmental Service")+($AL1443="Agriculture, Food Industry and Forestry"))&gt;0,"Science",IF((($AL1443="Banking and Finance")+($AL1443="Management and Administration")+($AL1443="Marketing")+($AL1443="Sales")+($AL1443="Entrepreneurship")+($AL1443="Hospitality and Tourism"))&gt;0,"Commerce",IF((($AL1443="Social Sciences and Humanities")+($AL1443="Law Studies")+($AL1443="Education and Training")+($AL1443="Art, Design")+($AL1443="Entertainment and Mass Media")+($AL1443="Community and Social Service")+($AL1443="Personal Care and Services")+($AL1443="Government and Public Administration")+($AL1443="Defence/ Protective Service")+($AL1443="Sports"))&gt;0,"Arts / Humanities",""))))</f>
        <v/>
      </c>
      <c r="BD1443" s="5" t="str">
        <f aca="false">IF($B1443="","",--(F1443&gt;=10)+--(G1443&gt;=10)+--(H1443&gt;=10)+--(I1443&gt;=10)+--(J1443&gt;=10)+--(K1443&gt;=10)+--(L1443&gt;=10)+--(M1443&gt;=10)+--(N1443&gt;=10)+--(O1443&gt;=10))</f>
        <v/>
      </c>
      <c r="BE1443" s="5" t="str">
        <f aca="false">IF($B1443="","",--(AND(F1443&lt;&gt;"",F1443&lt;=8))+--(AND(G1443&lt;&gt;"",G1443&lt;=8))+--(AND(H1443&lt;&gt;"",H1443&lt;=8))+--(AND(I1443&lt;&gt;"",I1443&lt;=8))+--(AND(J1443&lt;&gt;"",J1443&lt;=8))+--(AND(K1443&lt;&gt;"",K1443&lt;=8))+--(AND(L1443&lt;&gt;"",L1443&lt;=8))+--(AND(M1443&lt;&gt;"",M1443&lt;=8))+--(AND(N1443&lt;&gt;"",N1443&lt;=8))+--(AND(O1443&lt;&gt;"",O1443&lt;=8)))</f>
        <v/>
      </c>
    </row>
    <row r="1444" customFormat="false" ht="15" hidden="false" customHeight="false" outlineLevel="0" collapsed="false">
      <c r="AZ1444" s="5" t="str">
        <f aca="false">IF($B1444="","",SUMPRODUCT(($AL1444:$AO1444&lt;&gt;"")*(COUNTIF($AP1444:$AX1444,$AL1444:$AO1444)&gt;0)))</f>
        <v/>
      </c>
      <c r="BA1444" s="5" t="str">
        <f aca="false">IF($B1444="","",IF(AZ1444&gt;0,1,0))</f>
        <v/>
      </c>
      <c r="BB1444" s="5" t="str">
        <f aca="false">IF($AP1444="","",IF((($AP1444="Engineering and Technology")+($AP1444="Science and Mathematics")+($AP1444="Computer Science, IT and Allied Fields")+($AP1444="Life Sciences /Medicine and Healthcare")+($AP1444="Paramedical")+($AP1444="Architecture")+($AP1444="Environmental Service")+($AP1444="Agriculture, Food Industry and Forestry"))&gt;0,"Science",IF((($AP1444="Banking and Finance")+($AP1444="Management and Administration")+($AP1444="Marketing")+($AP1444="Sales")+($AP1444="Entrepreneurship")+($AP1444="Hospitality and Tourism"))&gt;0,"Commerce",IF((($AP1444="Social Sciences and Humanities")+($AP1444="Law Studies")+($AP1444="Education and Training")+($AP1444="Art, Design")+($AP1444="Entertainment and Mass Media")+($AP1444="Community and Social Service")+($AP1444="Personal Care and Services")+($AP1444="Government and Public Administration")+($AP1444="Defence/ Protective Service")+($AP1444="Sports"))&gt;0,"Arts / Humanities",""))))</f>
        <v/>
      </c>
      <c r="BC1444" s="5" t="str">
        <f aca="false">IF($AL1444="","",IF((($AL1444="Engineering and Technology")+($AL1444="Science and Mathematics")+($AL1444="Computer Science, IT and Allied Fields")+($AL1444="Life Sciences /Medicine and Healthcare")+($AL1444="Paramedical")+($AL1444="Architecture")+($AL1444="Environmental Service")+($AL1444="Agriculture, Food Industry and Forestry"))&gt;0,"Science",IF((($AL1444="Banking and Finance")+($AL1444="Management and Administration")+($AL1444="Marketing")+($AL1444="Sales")+($AL1444="Entrepreneurship")+($AL1444="Hospitality and Tourism"))&gt;0,"Commerce",IF((($AL1444="Social Sciences and Humanities")+($AL1444="Law Studies")+($AL1444="Education and Training")+($AL1444="Art, Design")+($AL1444="Entertainment and Mass Media")+($AL1444="Community and Social Service")+($AL1444="Personal Care and Services")+($AL1444="Government and Public Administration")+($AL1444="Defence/ Protective Service")+($AL1444="Sports"))&gt;0,"Arts / Humanities",""))))</f>
        <v/>
      </c>
      <c r="BD1444" s="5" t="str">
        <f aca="false">IF($B1444="","",--(F1444&gt;=10)+--(G1444&gt;=10)+--(H1444&gt;=10)+--(I1444&gt;=10)+--(J1444&gt;=10)+--(K1444&gt;=10)+--(L1444&gt;=10)+--(M1444&gt;=10)+--(N1444&gt;=10)+--(O1444&gt;=10))</f>
        <v/>
      </c>
      <c r="BE1444" s="5" t="str">
        <f aca="false">IF($B1444="","",--(AND(F1444&lt;&gt;"",F1444&lt;=8))+--(AND(G1444&lt;&gt;"",G1444&lt;=8))+--(AND(H1444&lt;&gt;"",H1444&lt;=8))+--(AND(I1444&lt;&gt;"",I1444&lt;=8))+--(AND(J1444&lt;&gt;"",J1444&lt;=8))+--(AND(K1444&lt;&gt;"",K1444&lt;=8))+--(AND(L1444&lt;&gt;"",L1444&lt;=8))+--(AND(M1444&lt;&gt;"",M1444&lt;=8))+--(AND(N1444&lt;&gt;"",N1444&lt;=8))+--(AND(O1444&lt;&gt;"",O1444&lt;=8)))</f>
        <v/>
      </c>
    </row>
    <row r="1445" customFormat="false" ht="15" hidden="false" customHeight="false" outlineLevel="0" collapsed="false">
      <c r="AZ1445" s="5" t="str">
        <f aca="false">IF($B1445="","",SUMPRODUCT(($AL1445:$AO1445&lt;&gt;"")*(COUNTIF($AP1445:$AX1445,$AL1445:$AO1445)&gt;0)))</f>
        <v/>
      </c>
      <c r="BA1445" s="5" t="str">
        <f aca="false">IF($B1445="","",IF(AZ1445&gt;0,1,0))</f>
        <v/>
      </c>
      <c r="BB1445" s="5" t="str">
        <f aca="false">IF($AP1445="","",IF((($AP1445="Engineering and Technology")+($AP1445="Science and Mathematics")+($AP1445="Computer Science, IT and Allied Fields")+($AP1445="Life Sciences /Medicine and Healthcare")+($AP1445="Paramedical")+($AP1445="Architecture")+($AP1445="Environmental Service")+($AP1445="Agriculture, Food Industry and Forestry"))&gt;0,"Science",IF((($AP1445="Banking and Finance")+($AP1445="Management and Administration")+($AP1445="Marketing")+($AP1445="Sales")+($AP1445="Entrepreneurship")+($AP1445="Hospitality and Tourism"))&gt;0,"Commerce",IF((($AP1445="Social Sciences and Humanities")+($AP1445="Law Studies")+($AP1445="Education and Training")+($AP1445="Art, Design")+($AP1445="Entertainment and Mass Media")+($AP1445="Community and Social Service")+($AP1445="Personal Care and Services")+($AP1445="Government and Public Administration")+($AP1445="Defence/ Protective Service")+($AP1445="Sports"))&gt;0,"Arts / Humanities",""))))</f>
        <v/>
      </c>
      <c r="BC1445" s="5" t="str">
        <f aca="false">IF($AL1445="","",IF((($AL1445="Engineering and Technology")+($AL1445="Science and Mathematics")+($AL1445="Computer Science, IT and Allied Fields")+($AL1445="Life Sciences /Medicine and Healthcare")+($AL1445="Paramedical")+($AL1445="Architecture")+($AL1445="Environmental Service")+($AL1445="Agriculture, Food Industry and Forestry"))&gt;0,"Science",IF((($AL1445="Banking and Finance")+($AL1445="Management and Administration")+($AL1445="Marketing")+($AL1445="Sales")+($AL1445="Entrepreneurship")+($AL1445="Hospitality and Tourism"))&gt;0,"Commerce",IF((($AL1445="Social Sciences and Humanities")+($AL1445="Law Studies")+($AL1445="Education and Training")+($AL1445="Art, Design")+($AL1445="Entertainment and Mass Media")+($AL1445="Community and Social Service")+($AL1445="Personal Care and Services")+($AL1445="Government and Public Administration")+($AL1445="Defence/ Protective Service")+($AL1445="Sports"))&gt;0,"Arts / Humanities",""))))</f>
        <v/>
      </c>
      <c r="BD1445" s="5" t="str">
        <f aca="false">IF($B1445="","",--(F1445&gt;=10)+--(G1445&gt;=10)+--(H1445&gt;=10)+--(I1445&gt;=10)+--(J1445&gt;=10)+--(K1445&gt;=10)+--(L1445&gt;=10)+--(M1445&gt;=10)+--(N1445&gt;=10)+--(O1445&gt;=10))</f>
        <v/>
      </c>
      <c r="BE1445" s="5" t="str">
        <f aca="false">IF($B1445="","",--(AND(F1445&lt;&gt;"",F1445&lt;=8))+--(AND(G1445&lt;&gt;"",G1445&lt;=8))+--(AND(H1445&lt;&gt;"",H1445&lt;=8))+--(AND(I1445&lt;&gt;"",I1445&lt;=8))+--(AND(J1445&lt;&gt;"",J1445&lt;=8))+--(AND(K1445&lt;&gt;"",K1445&lt;=8))+--(AND(L1445&lt;&gt;"",L1445&lt;=8))+--(AND(M1445&lt;&gt;"",M1445&lt;=8))+--(AND(N1445&lt;&gt;"",N1445&lt;=8))+--(AND(O1445&lt;&gt;"",O1445&lt;=8)))</f>
        <v/>
      </c>
    </row>
    <row r="1446" customFormat="false" ht="15" hidden="false" customHeight="false" outlineLevel="0" collapsed="false">
      <c r="AZ1446" s="5" t="str">
        <f aca="false">IF($B1446="","",SUMPRODUCT(($AL1446:$AO1446&lt;&gt;"")*(COUNTIF($AP1446:$AX1446,$AL1446:$AO1446)&gt;0)))</f>
        <v/>
      </c>
      <c r="BA1446" s="5" t="str">
        <f aca="false">IF($B1446="","",IF(AZ1446&gt;0,1,0))</f>
        <v/>
      </c>
      <c r="BB1446" s="5" t="str">
        <f aca="false">IF($AP1446="","",IF((($AP1446="Engineering and Technology")+($AP1446="Science and Mathematics")+($AP1446="Computer Science, IT and Allied Fields")+($AP1446="Life Sciences /Medicine and Healthcare")+($AP1446="Paramedical")+($AP1446="Architecture")+($AP1446="Environmental Service")+($AP1446="Agriculture, Food Industry and Forestry"))&gt;0,"Science",IF((($AP1446="Banking and Finance")+($AP1446="Management and Administration")+($AP1446="Marketing")+($AP1446="Sales")+($AP1446="Entrepreneurship")+($AP1446="Hospitality and Tourism"))&gt;0,"Commerce",IF((($AP1446="Social Sciences and Humanities")+($AP1446="Law Studies")+($AP1446="Education and Training")+($AP1446="Art, Design")+($AP1446="Entertainment and Mass Media")+($AP1446="Community and Social Service")+($AP1446="Personal Care and Services")+($AP1446="Government and Public Administration")+($AP1446="Defence/ Protective Service")+($AP1446="Sports"))&gt;0,"Arts / Humanities",""))))</f>
        <v/>
      </c>
      <c r="BC1446" s="5" t="str">
        <f aca="false">IF($AL1446="","",IF((($AL1446="Engineering and Technology")+($AL1446="Science and Mathematics")+($AL1446="Computer Science, IT and Allied Fields")+($AL1446="Life Sciences /Medicine and Healthcare")+($AL1446="Paramedical")+($AL1446="Architecture")+($AL1446="Environmental Service")+($AL1446="Agriculture, Food Industry and Forestry"))&gt;0,"Science",IF((($AL1446="Banking and Finance")+($AL1446="Management and Administration")+($AL1446="Marketing")+($AL1446="Sales")+($AL1446="Entrepreneurship")+($AL1446="Hospitality and Tourism"))&gt;0,"Commerce",IF((($AL1446="Social Sciences and Humanities")+($AL1446="Law Studies")+($AL1446="Education and Training")+($AL1446="Art, Design")+($AL1446="Entertainment and Mass Media")+($AL1446="Community and Social Service")+($AL1446="Personal Care and Services")+($AL1446="Government and Public Administration")+($AL1446="Defence/ Protective Service")+($AL1446="Sports"))&gt;0,"Arts / Humanities",""))))</f>
        <v/>
      </c>
      <c r="BD1446" s="5" t="str">
        <f aca="false">IF($B1446="","",--(F1446&gt;=10)+--(G1446&gt;=10)+--(H1446&gt;=10)+--(I1446&gt;=10)+--(J1446&gt;=10)+--(K1446&gt;=10)+--(L1446&gt;=10)+--(M1446&gt;=10)+--(N1446&gt;=10)+--(O1446&gt;=10))</f>
        <v/>
      </c>
      <c r="BE1446" s="5" t="str">
        <f aca="false">IF($B1446="","",--(AND(F1446&lt;&gt;"",F1446&lt;=8))+--(AND(G1446&lt;&gt;"",G1446&lt;=8))+--(AND(H1446&lt;&gt;"",H1446&lt;=8))+--(AND(I1446&lt;&gt;"",I1446&lt;=8))+--(AND(J1446&lt;&gt;"",J1446&lt;=8))+--(AND(K1446&lt;&gt;"",K1446&lt;=8))+--(AND(L1446&lt;&gt;"",L1446&lt;=8))+--(AND(M1446&lt;&gt;"",M1446&lt;=8))+--(AND(N1446&lt;&gt;"",N1446&lt;=8))+--(AND(O1446&lt;&gt;"",O1446&lt;=8)))</f>
        <v/>
      </c>
    </row>
    <row r="1447" customFormat="false" ht="15" hidden="false" customHeight="false" outlineLevel="0" collapsed="false">
      <c r="AZ1447" s="5" t="str">
        <f aca="false">IF($B1447="","",SUMPRODUCT(($AL1447:$AO1447&lt;&gt;"")*(COUNTIF($AP1447:$AX1447,$AL1447:$AO1447)&gt;0)))</f>
        <v/>
      </c>
      <c r="BA1447" s="5" t="str">
        <f aca="false">IF($B1447="","",IF(AZ1447&gt;0,1,0))</f>
        <v/>
      </c>
      <c r="BB1447" s="5" t="str">
        <f aca="false">IF($AP1447="","",IF((($AP1447="Engineering and Technology")+($AP1447="Science and Mathematics")+($AP1447="Computer Science, IT and Allied Fields")+($AP1447="Life Sciences /Medicine and Healthcare")+($AP1447="Paramedical")+($AP1447="Architecture")+($AP1447="Environmental Service")+($AP1447="Agriculture, Food Industry and Forestry"))&gt;0,"Science",IF((($AP1447="Banking and Finance")+($AP1447="Management and Administration")+($AP1447="Marketing")+($AP1447="Sales")+($AP1447="Entrepreneurship")+($AP1447="Hospitality and Tourism"))&gt;0,"Commerce",IF((($AP1447="Social Sciences and Humanities")+($AP1447="Law Studies")+($AP1447="Education and Training")+($AP1447="Art, Design")+($AP1447="Entertainment and Mass Media")+($AP1447="Community and Social Service")+($AP1447="Personal Care and Services")+($AP1447="Government and Public Administration")+($AP1447="Defence/ Protective Service")+($AP1447="Sports"))&gt;0,"Arts / Humanities",""))))</f>
        <v/>
      </c>
      <c r="BC1447" s="5" t="str">
        <f aca="false">IF($AL1447="","",IF((($AL1447="Engineering and Technology")+($AL1447="Science and Mathematics")+($AL1447="Computer Science, IT and Allied Fields")+($AL1447="Life Sciences /Medicine and Healthcare")+($AL1447="Paramedical")+($AL1447="Architecture")+($AL1447="Environmental Service")+($AL1447="Agriculture, Food Industry and Forestry"))&gt;0,"Science",IF((($AL1447="Banking and Finance")+($AL1447="Management and Administration")+($AL1447="Marketing")+($AL1447="Sales")+($AL1447="Entrepreneurship")+($AL1447="Hospitality and Tourism"))&gt;0,"Commerce",IF((($AL1447="Social Sciences and Humanities")+($AL1447="Law Studies")+($AL1447="Education and Training")+($AL1447="Art, Design")+($AL1447="Entertainment and Mass Media")+($AL1447="Community and Social Service")+($AL1447="Personal Care and Services")+($AL1447="Government and Public Administration")+($AL1447="Defence/ Protective Service")+($AL1447="Sports"))&gt;0,"Arts / Humanities",""))))</f>
        <v/>
      </c>
      <c r="BD1447" s="5" t="str">
        <f aca="false">IF($B1447="","",--(F1447&gt;=10)+--(G1447&gt;=10)+--(H1447&gt;=10)+--(I1447&gt;=10)+--(J1447&gt;=10)+--(K1447&gt;=10)+--(L1447&gt;=10)+--(M1447&gt;=10)+--(N1447&gt;=10)+--(O1447&gt;=10))</f>
        <v/>
      </c>
      <c r="BE1447" s="5" t="str">
        <f aca="false">IF($B1447="","",--(AND(F1447&lt;&gt;"",F1447&lt;=8))+--(AND(G1447&lt;&gt;"",G1447&lt;=8))+--(AND(H1447&lt;&gt;"",H1447&lt;=8))+--(AND(I1447&lt;&gt;"",I1447&lt;=8))+--(AND(J1447&lt;&gt;"",J1447&lt;=8))+--(AND(K1447&lt;&gt;"",K1447&lt;=8))+--(AND(L1447&lt;&gt;"",L1447&lt;=8))+--(AND(M1447&lt;&gt;"",M1447&lt;=8))+--(AND(N1447&lt;&gt;"",N1447&lt;=8))+--(AND(O1447&lt;&gt;"",O1447&lt;=8)))</f>
        <v/>
      </c>
    </row>
    <row r="1448" customFormat="false" ht="15" hidden="false" customHeight="false" outlineLevel="0" collapsed="false">
      <c r="AZ1448" s="5" t="str">
        <f aca="false">IF($B1448="","",SUMPRODUCT(($AL1448:$AO1448&lt;&gt;"")*(COUNTIF($AP1448:$AX1448,$AL1448:$AO1448)&gt;0)))</f>
        <v/>
      </c>
      <c r="BA1448" s="5" t="str">
        <f aca="false">IF($B1448="","",IF(AZ1448&gt;0,1,0))</f>
        <v/>
      </c>
      <c r="BB1448" s="5" t="str">
        <f aca="false">IF($AP1448="","",IF((($AP1448="Engineering and Technology")+($AP1448="Science and Mathematics")+($AP1448="Computer Science, IT and Allied Fields")+($AP1448="Life Sciences /Medicine and Healthcare")+($AP1448="Paramedical")+($AP1448="Architecture")+($AP1448="Environmental Service")+($AP1448="Agriculture, Food Industry and Forestry"))&gt;0,"Science",IF((($AP1448="Banking and Finance")+($AP1448="Management and Administration")+($AP1448="Marketing")+($AP1448="Sales")+($AP1448="Entrepreneurship")+($AP1448="Hospitality and Tourism"))&gt;0,"Commerce",IF((($AP1448="Social Sciences and Humanities")+($AP1448="Law Studies")+($AP1448="Education and Training")+($AP1448="Art, Design")+($AP1448="Entertainment and Mass Media")+($AP1448="Community and Social Service")+($AP1448="Personal Care and Services")+($AP1448="Government and Public Administration")+($AP1448="Defence/ Protective Service")+($AP1448="Sports"))&gt;0,"Arts / Humanities",""))))</f>
        <v/>
      </c>
      <c r="BC1448" s="5" t="str">
        <f aca="false">IF($AL1448="","",IF((($AL1448="Engineering and Technology")+($AL1448="Science and Mathematics")+($AL1448="Computer Science, IT and Allied Fields")+($AL1448="Life Sciences /Medicine and Healthcare")+($AL1448="Paramedical")+($AL1448="Architecture")+($AL1448="Environmental Service")+($AL1448="Agriculture, Food Industry and Forestry"))&gt;0,"Science",IF((($AL1448="Banking and Finance")+($AL1448="Management and Administration")+($AL1448="Marketing")+($AL1448="Sales")+($AL1448="Entrepreneurship")+($AL1448="Hospitality and Tourism"))&gt;0,"Commerce",IF((($AL1448="Social Sciences and Humanities")+($AL1448="Law Studies")+($AL1448="Education and Training")+($AL1448="Art, Design")+($AL1448="Entertainment and Mass Media")+($AL1448="Community and Social Service")+($AL1448="Personal Care and Services")+($AL1448="Government and Public Administration")+($AL1448="Defence/ Protective Service")+($AL1448="Sports"))&gt;0,"Arts / Humanities",""))))</f>
        <v/>
      </c>
      <c r="BD1448" s="5" t="str">
        <f aca="false">IF($B1448="","",--(F1448&gt;=10)+--(G1448&gt;=10)+--(H1448&gt;=10)+--(I1448&gt;=10)+--(J1448&gt;=10)+--(K1448&gt;=10)+--(L1448&gt;=10)+--(M1448&gt;=10)+--(N1448&gt;=10)+--(O1448&gt;=10))</f>
        <v/>
      </c>
      <c r="BE1448" s="5" t="str">
        <f aca="false">IF($B1448="","",--(AND(F1448&lt;&gt;"",F1448&lt;=8))+--(AND(G1448&lt;&gt;"",G1448&lt;=8))+--(AND(H1448&lt;&gt;"",H1448&lt;=8))+--(AND(I1448&lt;&gt;"",I1448&lt;=8))+--(AND(J1448&lt;&gt;"",J1448&lt;=8))+--(AND(K1448&lt;&gt;"",K1448&lt;=8))+--(AND(L1448&lt;&gt;"",L1448&lt;=8))+--(AND(M1448&lt;&gt;"",M1448&lt;=8))+--(AND(N1448&lt;&gt;"",N1448&lt;=8))+--(AND(O1448&lt;&gt;"",O1448&lt;=8)))</f>
        <v/>
      </c>
    </row>
    <row r="1449" customFormat="false" ht="15" hidden="false" customHeight="false" outlineLevel="0" collapsed="false">
      <c r="AZ1449" s="5" t="str">
        <f aca="false">IF($B1449="","",SUMPRODUCT(($AL1449:$AO1449&lt;&gt;"")*(COUNTIF($AP1449:$AX1449,$AL1449:$AO1449)&gt;0)))</f>
        <v/>
      </c>
      <c r="BA1449" s="5" t="str">
        <f aca="false">IF($B1449="","",IF(AZ1449&gt;0,1,0))</f>
        <v/>
      </c>
      <c r="BB1449" s="5" t="str">
        <f aca="false">IF($AP1449="","",IF((($AP1449="Engineering and Technology")+($AP1449="Science and Mathematics")+($AP1449="Computer Science, IT and Allied Fields")+($AP1449="Life Sciences /Medicine and Healthcare")+($AP1449="Paramedical")+($AP1449="Architecture")+($AP1449="Environmental Service")+($AP1449="Agriculture, Food Industry and Forestry"))&gt;0,"Science",IF((($AP1449="Banking and Finance")+($AP1449="Management and Administration")+($AP1449="Marketing")+($AP1449="Sales")+($AP1449="Entrepreneurship")+($AP1449="Hospitality and Tourism"))&gt;0,"Commerce",IF((($AP1449="Social Sciences and Humanities")+($AP1449="Law Studies")+($AP1449="Education and Training")+($AP1449="Art, Design")+($AP1449="Entertainment and Mass Media")+($AP1449="Community and Social Service")+($AP1449="Personal Care and Services")+($AP1449="Government and Public Administration")+($AP1449="Defence/ Protective Service")+($AP1449="Sports"))&gt;0,"Arts / Humanities",""))))</f>
        <v/>
      </c>
      <c r="BC1449" s="5" t="str">
        <f aca="false">IF($AL1449="","",IF((($AL1449="Engineering and Technology")+($AL1449="Science and Mathematics")+($AL1449="Computer Science, IT and Allied Fields")+($AL1449="Life Sciences /Medicine and Healthcare")+($AL1449="Paramedical")+($AL1449="Architecture")+($AL1449="Environmental Service")+($AL1449="Agriculture, Food Industry and Forestry"))&gt;0,"Science",IF((($AL1449="Banking and Finance")+($AL1449="Management and Administration")+($AL1449="Marketing")+($AL1449="Sales")+($AL1449="Entrepreneurship")+($AL1449="Hospitality and Tourism"))&gt;0,"Commerce",IF((($AL1449="Social Sciences and Humanities")+($AL1449="Law Studies")+($AL1449="Education and Training")+($AL1449="Art, Design")+($AL1449="Entertainment and Mass Media")+($AL1449="Community and Social Service")+($AL1449="Personal Care and Services")+($AL1449="Government and Public Administration")+($AL1449="Defence/ Protective Service")+($AL1449="Sports"))&gt;0,"Arts / Humanities",""))))</f>
        <v/>
      </c>
      <c r="BD1449" s="5" t="str">
        <f aca="false">IF($B1449="","",--(F1449&gt;=10)+--(G1449&gt;=10)+--(H1449&gt;=10)+--(I1449&gt;=10)+--(J1449&gt;=10)+--(K1449&gt;=10)+--(L1449&gt;=10)+--(M1449&gt;=10)+--(N1449&gt;=10)+--(O1449&gt;=10))</f>
        <v/>
      </c>
      <c r="BE1449" s="5" t="str">
        <f aca="false">IF($B1449="","",--(AND(F1449&lt;&gt;"",F1449&lt;=8))+--(AND(G1449&lt;&gt;"",G1449&lt;=8))+--(AND(H1449&lt;&gt;"",H1449&lt;=8))+--(AND(I1449&lt;&gt;"",I1449&lt;=8))+--(AND(J1449&lt;&gt;"",J1449&lt;=8))+--(AND(K1449&lt;&gt;"",K1449&lt;=8))+--(AND(L1449&lt;&gt;"",L1449&lt;=8))+--(AND(M1449&lt;&gt;"",M1449&lt;=8))+--(AND(N1449&lt;&gt;"",N1449&lt;=8))+--(AND(O1449&lt;&gt;"",O1449&lt;=8)))</f>
        <v/>
      </c>
    </row>
    <row r="1450" customFormat="false" ht="15" hidden="false" customHeight="false" outlineLevel="0" collapsed="false">
      <c r="AZ1450" s="5" t="str">
        <f aca="false">IF($B1450="","",SUMPRODUCT(($AL1450:$AO1450&lt;&gt;"")*(COUNTIF($AP1450:$AX1450,$AL1450:$AO1450)&gt;0)))</f>
        <v/>
      </c>
      <c r="BA1450" s="5" t="str">
        <f aca="false">IF($B1450="","",IF(AZ1450&gt;0,1,0))</f>
        <v/>
      </c>
      <c r="BB1450" s="5" t="str">
        <f aca="false">IF($AP1450="","",IF((($AP1450="Engineering and Technology")+($AP1450="Science and Mathematics")+($AP1450="Computer Science, IT and Allied Fields")+($AP1450="Life Sciences /Medicine and Healthcare")+($AP1450="Paramedical")+($AP1450="Architecture")+($AP1450="Environmental Service")+($AP1450="Agriculture, Food Industry and Forestry"))&gt;0,"Science",IF((($AP1450="Banking and Finance")+($AP1450="Management and Administration")+($AP1450="Marketing")+($AP1450="Sales")+($AP1450="Entrepreneurship")+($AP1450="Hospitality and Tourism"))&gt;0,"Commerce",IF((($AP1450="Social Sciences and Humanities")+($AP1450="Law Studies")+($AP1450="Education and Training")+($AP1450="Art, Design")+($AP1450="Entertainment and Mass Media")+($AP1450="Community and Social Service")+($AP1450="Personal Care and Services")+($AP1450="Government and Public Administration")+($AP1450="Defence/ Protective Service")+($AP1450="Sports"))&gt;0,"Arts / Humanities",""))))</f>
        <v/>
      </c>
      <c r="BC1450" s="5" t="str">
        <f aca="false">IF($AL1450="","",IF((($AL1450="Engineering and Technology")+($AL1450="Science and Mathematics")+($AL1450="Computer Science, IT and Allied Fields")+($AL1450="Life Sciences /Medicine and Healthcare")+($AL1450="Paramedical")+($AL1450="Architecture")+($AL1450="Environmental Service")+($AL1450="Agriculture, Food Industry and Forestry"))&gt;0,"Science",IF((($AL1450="Banking and Finance")+($AL1450="Management and Administration")+($AL1450="Marketing")+($AL1450="Sales")+($AL1450="Entrepreneurship")+($AL1450="Hospitality and Tourism"))&gt;0,"Commerce",IF((($AL1450="Social Sciences and Humanities")+($AL1450="Law Studies")+($AL1450="Education and Training")+($AL1450="Art, Design")+($AL1450="Entertainment and Mass Media")+($AL1450="Community and Social Service")+($AL1450="Personal Care and Services")+($AL1450="Government and Public Administration")+($AL1450="Defence/ Protective Service")+($AL1450="Sports"))&gt;0,"Arts / Humanities",""))))</f>
        <v/>
      </c>
      <c r="BD1450" s="5" t="str">
        <f aca="false">IF($B1450="","",--(F1450&gt;=10)+--(G1450&gt;=10)+--(H1450&gt;=10)+--(I1450&gt;=10)+--(J1450&gt;=10)+--(K1450&gt;=10)+--(L1450&gt;=10)+--(M1450&gt;=10)+--(N1450&gt;=10)+--(O1450&gt;=10))</f>
        <v/>
      </c>
      <c r="BE1450" s="5" t="str">
        <f aca="false">IF($B1450="","",--(AND(F1450&lt;&gt;"",F1450&lt;=8))+--(AND(G1450&lt;&gt;"",G1450&lt;=8))+--(AND(H1450&lt;&gt;"",H1450&lt;=8))+--(AND(I1450&lt;&gt;"",I1450&lt;=8))+--(AND(J1450&lt;&gt;"",J1450&lt;=8))+--(AND(K1450&lt;&gt;"",K1450&lt;=8))+--(AND(L1450&lt;&gt;"",L1450&lt;=8))+--(AND(M1450&lt;&gt;"",M1450&lt;=8))+--(AND(N1450&lt;&gt;"",N1450&lt;=8))+--(AND(O1450&lt;&gt;"",O1450&lt;=8)))</f>
        <v/>
      </c>
    </row>
    <row r="1451" customFormat="false" ht="15" hidden="false" customHeight="false" outlineLevel="0" collapsed="false">
      <c r="AZ1451" s="5" t="str">
        <f aca="false">IF($B1451="","",SUMPRODUCT(($AL1451:$AO1451&lt;&gt;"")*(COUNTIF($AP1451:$AX1451,$AL1451:$AO1451)&gt;0)))</f>
        <v/>
      </c>
      <c r="BA1451" s="5" t="str">
        <f aca="false">IF($B1451="","",IF(AZ1451&gt;0,1,0))</f>
        <v/>
      </c>
      <c r="BB1451" s="5" t="str">
        <f aca="false">IF($AP1451="","",IF((($AP1451="Engineering and Technology")+($AP1451="Science and Mathematics")+($AP1451="Computer Science, IT and Allied Fields")+($AP1451="Life Sciences /Medicine and Healthcare")+($AP1451="Paramedical")+($AP1451="Architecture")+($AP1451="Environmental Service")+($AP1451="Agriculture, Food Industry and Forestry"))&gt;0,"Science",IF((($AP1451="Banking and Finance")+($AP1451="Management and Administration")+($AP1451="Marketing")+($AP1451="Sales")+($AP1451="Entrepreneurship")+($AP1451="Hospitality and Tourism"))&gt;0,"Commerce",IF((($AP1451="Social Sciences and Humanities")+($AP1451="Law Studies")+($AP1451="Education and Training")+($AP1451="Art, Design")+($AP1451="Entertainment and Mass Media")+($AP1451="Community and Social Service")+($AP1451="Personal Care and Services")+($AP1451="Government and Public Administration")+($AP1451="Defence/ Protective Service")+($AP1451="Sports"))&gt;0,"Arts / Humanities",""))))</f>
        <v/>
      </c>
      <c r="BC1451" s="5" t="str">
        <f aca="false">IF($AL1451="","",IF((($AL1451="Engineering and Technology")+($AL1451="Science and Mathematics")+($AL1451="Computer Science, IT and Allied Fields")+($AL1451="Life Sciences /Medicine and Healthcare")+($AL1451="Paramedical")+($AL1451="Architecture")+($AL1451="Environmental Service")+($AL1451="Agriculture, Food Industry and Forestry"))&gt;0,"Science",IF((($AL1451="Banking and Finance")+($AL1451="Management and Administration")+($AL1451="Marketing")+($AL1451="Sales")+($AL1451="Entrepreneurship")+($AL1451="Hospitality and Tourism"))&gt;0,"Commerce",IF((($AL1451="Social Sciences and Humanities")+($AL1451="Law Studies")+($AL1451="Education and Training")+($AL1451="Art, Design")+($AL1451="Entertainment and Mass Media")+($AL1451="Community and Social Service")+($AL1451="Personal Care and Services")+($AL1451="Government and Public Administration")+($AL1451="Defence/ Protective Service")+($AL1451="Sports"))&gt;0,"Arts / Humanities",""))))</f>
        <v/>
      </c>
      <c r="BD1451" s="5" t="str">
        <f aca="false">IF($B1451="","",--(F1451&gt;=10)+--(G1451&gt;=10)+--(H1451&gt;=10)+--(I1451&gt;=10)+--(J1451&gt;=10)+--(K1451&gt;=10)+--(L1451&gt;=10)+--(M1451&gt;=10)+--(N1451&gt;=10)+--(O1451&gt;=10))</f>
        <v/>
      </c>
      <c r="BE1451" s="5" t="str">
        <f aca="false">IF($B1451="","",--(AND(F1451&lt;&gt;"",F1451&lt;=8))+--(AND(G1451&lt;&gt;"",G1451&lt;=8))+--(AND(H1451&lt;&gt;"",H1451&lt;=8))+--(AND(I1451&lt;&gt;"",I1451&lt;=8))+--(AND(J1451&lt;&gt;"",J1451&lt;=8))+--(AND(K1451&lt;&gt;"",K1451&lt;=8))+--(AND(L1451&lt;&gt;"",L1451&lt;=8))+--(AND(M1451&lt;&gt;"",M1451&lt;=8))+--(AND(N1451&lt;&gt;"",N1451&lt;=8))+--(AND(O1451&lt;&gt;"",O1451&lt;=8)))</f>
        <v/>
      </c>
    </row>
    <row r="1452" customFormat="false" ht="15" hidden="false" customHeight="false" outlineLevel="0" collapsed="false">
      <c r="AZ1452" s="5" t="str">
        <f aca="false">IF($B1452="","",SUMPRODUCT(($AL1452:$AO1452&lt;&gt;"")*(COUNTIF($AP1452:$AX1452,$AL1452:$AO1452)&gt;0)))</f>
        <v/>
      </c>
      <c r="BA1452" s="5" t="str">
        <f aca="false">IF($B1452="","",IF(AZ1452&gt;0,1,0))</f>
        <v/>
      </c>
      <c r="BB1452" s="5" t="str">
        <f aca="false">IF($AP1452="","",IF((($AP1452="Engineering and Technology")+($AP1452="Science and Mathematics")+($AP1452="Computer Science, IT and Allied Fields")+($AP1452="Life Sciences /Medicine and Healthcare")+($AP1452="Paramedical")+($AP1452="Architecture")+($AP1452="Environmental Service")+($AP1452="Agriculture, Food Industry and Forestry"))&gt;0,"Science",IF((($AP1452="Banking and Finance")+($AP1452="Management and Administration")+($AP1452="Marketing")+($AP1452="Sales")+($AP1452="Entrepreneurship")+($AP1452="Hospitality and Tourism"))&gt;0,"Commerce",IF((($AP1452="Social Sciences and Humanities")+($AP1452="Law Studies")+($AP1452="Education and Training")+($AP1452="Art, Design")+($AP1452="Entertainment and Mass Media")+($AP1452="Community and Social Service")+($AP1452="Personal Care and Services")+($AP1452="Government and Public Administration")+($AP1452="Defence/ Protective Service")+($AP1452="Sports"))&gt;0,"Arts / Humanities",""))))</f>
        <v/>
      </c>
      <c r="BC1452" s="5" t="str">
        <f aca="false">IF($AL1452="","",IF((($AL1452="Engineering and Technology")+($AL1452="Science and Mathematics")+($AL1452="Computer Science, IT and Allied Fields")+($AL1452="Life Sciences /Medicine and Healthcare")+($AL1452="Paramedical")+($AL1452="Architecture")+($AL1452="Environmental Service")+($AL1452="Agriculture, Food Industry and Forestry"))&gt;0,"Science",IF((($AL1452="Banking and Finance")+($AL1452="Management and Administration")+($AL1452="Marketing")+($AL1452="Sales")+($AL1452="Entrepreneurship")+($AL1452="Hospitality and Tourism"))&gt;0,"Commerce",IF((($AL1452="Social Sciences and Humanities")+($AL1452="Law Studies")+($AL1452="Education and Training")+($AL1452="Art, Design")+($AL1452="Entertainment and Mass Media")+($AL1452="Community and Social Service")+($AL1452="Personal Care and Services")+($AL1452="Government and Public Administration")+($AL1452="Defence/ Protective Service")+($AL1452="Sports"))&gt;0,"Arts / Humanities",""))))</f>
        <v/>
      </c>
      <c r="BD1452" s="5" t="str">
        <f aca="false">IF($B1452="","",--(F1452&gt;=10)+--(G1452&gt;=10)+--(H1452&gt;=10)+--(I1452&gt;=10)+--(J1452&gt;=10)+--(K1452&gt;=10)+--(L1452&gt;=10)+--(M1452&gt;=10)+--(N1452&gt;=10)+--(O1452&gt;=10))</f>
        <v/>
      </c>
      <c r="BE1452" s="5" t="str">
        <f aca="false">IF($B1452="","",--(AND(F1452&lt;&gt;"",F1452&lt;=8))+--(AND(G1452&lt;&gt;"",G1452&lt;=8))+--(AND(H1452&lt;&gt;"",H1452&lt;=8))+--(AND(I1452&lt;&gt;"",I1452&lt;=8))+--(AND(J1452&lt;&gt;"",J1452&lt;=8))+--(AND(K1452&lt;&gt;"",K1452&lt;=8))+--(AND(L1452&lt;&gt;"",L1452&lt;=8))+--(AND(M1452&lt;&gt;"",M1452&lt;=8))+--(AND(N1452&lt;&gt;"",N1452&lt;=8))+--(AND(O1452&lt;&gt;"",O1452&lt;=8)))</f>
        <v/>
      </c>
    </row>
    <row r="1453" customFormat="false" ht="15" hidden="false" customHeight="false" outlineLevel="0" collapsed="false">
      <c r="AZ1453" s="5" t="str">
        <f aca="false">IF($B1453="","",SUMPRODUCT(($AL1453:$AO1453&lt;&gt;"")*(COUNTIF($AP1453:$AX1453,$AL1453:$AO1453)&gt;0)))</f>
        <v/>
      </c>
      <c r="BA1453" s="5" t="str">
        <f aca="false">IF($B1453="","",IF(AZ1453&gt;0,1,0))</f>
        <v/>
      </c>
      <c r="BB1453" s="5" t="str">
        <f aca="false">IF($AP1453="","",IF((($AP1453="Engineering and Technology")+($AP1453="Science and Mathematics")+($AP1453="Computer Science, IT and Allied Fields")+($AP1453="Life Sciences /Medicine and Healthcare")+($AP1453="Paramedical")+($AP1453="Architecture")+($AP1453="Environmental Service")+($AP1453="Agriculture, Food Industry and Forestry"))&gt;0,"Science",IF((($AP1453="Banking and Finance")+($AP1453="Management and Administration")+($AP1453="Marketing")+($AP1453="Sales")+($AP1453="Entrepreneurship")+($AP1453="Hospitality and Tourism"))&gt;0,"Commerce",IF((($AP1453="Social Sciences and Humanities")+($AP1453="Law Studies")+($AP1453="Education and Training")+($AP1453="Art, Design")+($AP1453="Entertainment and Mass Media")+($AP1453="Community and Social Service")+($AP1453="Personal Care and Services")+($AP1453="Government and Public Administration")+($AP1453="Defence/ Protective Service")+($AP1453="Sports"))&gt;0,"Arts / Humanities",""))))</f>
        <v/>
      </c>
      <c r="BC1453" s="5" t="str">
        <f aca="false">IF($AL1453="","",IF((($AL1453="Engineering and Technology")+($AL1453="Science and Mathematics")+($AL1453="Computer Science, IT and Allied Fields")+($AL1453="Life Sciences /Medicine and Healthcare")+($AL1453="Paramedical")+($AL1453="Architecture")+($AL1453="Environmental Service")+($AL1453="Agriculture, Food Industry and Forestry"))&gt;0,"Science",IF((($AL1453="Banking and Finance")+($AL1453="Management and Administration")+($AL1453="Marketing")+($AL1453="Sales")+($AL1453="Entrepreneurship")+($AL1453="Hospitality and Tourism"))&gt;0,"Commerce",IF((($AL1453="Social Sciences and Humanities")+($AL1453="Law Studies")+($AL1453="Education and Training")+($AL1453="Art, Design")+($AL1453="Entertainment and Mass Media")+($AL1453="Community and Social Service")+($AL1453="Personal Care and Services")+($AL1453="Government and Public Administration")+($AL1453="Defence/ Protective Service")+($AL1453="Sports"))&gt;0,"Arts / Humanities",""))))</f>
        <v/>
      </c>
      <c r="BD1453" s="5" t="str">
        <f aca="false">IF($B1453="","",--(F1453&gt;=10)+--(G1453&gt;=10)+--(H1453&gt;=10)+--(I1453&gt;=10)+--(J1453&gt;=10)+--(K1453&gt;=10)+--(L1453&gt;=10)+--(M1453&gt;=10)+--(N1453&gt;=10)+--(O1453&gt;=10))</f>
        <v/>
      </c>
      <c r="BE1453" s="5" t="str">
        <f aca="false">IF($B1453="","",--(AND(F1453&lt;&gt;"",F1453&lt;=8))+--(AND(G1453&lt;&gt;"",G1453&lt;=8))+--(AND(H1453&lt;&gt;"",H1453&lt;=8))+--(AND(I1453&lt;&gt;"",I1453&lt;=8))+--(AND(J1453&lt;&gt;"",J1453&lt;=8))+--(AND(K1453&lt;&gt;"",K1453&lt;=8))+--(AND(L1453&lt;&gt;"",L1453&lt;=8))+--(AND(M1453&lt;&gt;"",M1453&lt;=8))+--(AND(N1453&lt;&gt;"",N1453&lt;=8))+--(AND(O1453&lt;&gt;"",O1453&lt;=8)))</f>
        <v/>
      </c>
    </row>
    <row r="1454" customFormat="false" ht="15" hidden="false" customHeight="false" outlineLevel="0" collapsed="false">
      <c r="AZ1454" s="5" t="str">
        <f aca="false">IF($B1454="","",SUMPRODUCT(($AL1454:$AO1454&lt;&gt;"")*(COUNTIF($AP1454:$AX1454,$AL1454:$AO1454)&gt;0)))</f>
        <v/>
      </c>
      <c r="BA1454" s="5" t="str">
        <f aca="false">IF($B1454="","",IF(AZ1454&gt;0,1,0))</f>
        <v/>
      </c>
      <c r="BB1454" s="5" t="str">
        <f aca="false">IF($AP1454="","",IF((($AP1454="Engineering and Technology")+($AP1454="Science and Mathematics")+($AP1454="Computer Science, IT and Allied Fields")+($AP1454="Life Sciences /Medicine and Healthcare")+($AP1454="Paramedical")+($AP1454="Architecture")+($AP1454="Environmental Service")+($AP1454="Agriculture, Food Industry and Forestry"))&gt;0,"Science",IF((($AP1454="Banking and Finance")+($AP1454="Management and Administration")+($AP1454="Marketing")+($AP1454="Sales")+($AP1454="Entrepreneurship")+($AP1454="Hospitality and Tourism"))&gt;0,"Commerce",IF((($AP1454="Social Sciences and Humanities")+($AP1454="Law Studies")+($AP1454="Education and Training")+($AP1454="Art, Design")+($AP1454="Entertainment and Mass Media")+($AP1454="Community and Social Service")+($AP1454="Personal Care and Services")+($AP1454="Government and Public Administration")+($AP1454="Defence/ Protective Service")+($AP1454="Sports"))&gt;0,"Arts / Humanities",""))))</f>
        <v/>
      </c>
      <c r="BC1454" s="5" t="str">
        <f aca="false">IF($AL1454="","",IF((($AL1454="Engineering and Technology")+($AL1454="Science and Mathematics")+($AL1454="Computer Science, IT and Allied Fields")+($AL1454="Life Sciences /Medicine and Healthcare")+($AL1454="Paramedical")+($AL1454="Architecture")+($AL1454="Environmental Service")+($AL1454="Agriculture, Food Industry and Forestry"))&gt;0,"Science",IF((($AL1454="Banking and Finance")+($AL1454="Management and Administration")+($AL1454="Marketing")+($AL1454="Sales")+($AL1454="Entrepreneurship")+($AL1454="Hospitality and Tourism"))&gt;0,"Commerce",IF((($AL1454="Social Sciences and Humanities")+($AL1454="Law Studies")+($AL1454="Education and Training")+($AL1454="Art, Design")+($AL1454="Entertainment and Mass Media")+($AL1454="Community and Social Service")+($AL1454="Personal Care and Services")+($AL1454="Government and Public Administration")+($AL1454="Defence/ Protective Service")+($AL1454="Sports"))&gt;0,"Arts / Humanities",""))))</f>
        <v/>
      </c>
      <c r="BD1454" s="5" t="str">
        <f aca="false">IF($B1454="","",--(F1454&gt;=10)+--(G1454&gt;=10)+--(H1454&gt;=10)+--(I1454&gt;=10)+--(J1454&gt;=10)+--(K1454&gt;=10)+--(L1454&gt;=10)+--(M1454&gt;=10)+--(N1454&gt;=10)+--(O1454&gt;=10))</f>
        <v/>
      </c>
      <c r="BE1454" s="5" t="str">
        <f aca="false">IF($B1454="","",--(AND(F1454&lt;&gt;"",F1454&lt;=8))+--(AND(G1454&lt;&gt;"",G1454&lt;=8))+--(AND(H1454&lt;&gt;"",H1454&lt;=8))+--(AND(I1454&lt;&gt;"",I1454&lt;=8))+--(AND(J1454&lt;&gt;"",J1454&lt;=8))+--(AND(K1454&lt;&gt;"",K1454&lt;=8))+--(AND(L1454&lt;&gt;"",L1454&lt;=8))+--(AND(M1454&lt;&gt;"",M1454&lt;=8))+--(AND(N1454&lt;&gt;"",N1454&lt;=8))+--(AND(O1454&lt;&gt;"",O1454&lt;=8)))</f>
        <v/>
      </c>
    </row>
    <row r="1455" customFormat="false" ht="15" hidden="false" customHeight="false" outlineLevel="0" collapsed="false">
      <c r="AZ1455" s="5" t="str">
        <f aca="false">IF($B1455="","",SUMPRODUCT(($AL1455:$AO1455&lt;&gt;"")*(COUNTIF($AP1455:$AX1455,$AL1455:$AO1455)&gt;0)))</f>
        <v/>
      </c>
      <c r="BA1455" s="5" t="str">
        <f aca="false">IF($B1455="","",IF(AZ1455&gt;0,1,0))</f>
        <v/>
      </c>
      <c r="BB1455" s="5" t="str">
        <f aca="false">IF($AP1455="","",IF((($AP1455="Engineering and Technology")+($AP1455="Science and Mathematics")+($AP1455="Computer Science, IT and Allied Fields")+($AP1455="Life Sciences /Medicine and Healthcare")+($AP1455="Paramedical")+($AP1455="Architecture")+($AP1455="Environmental Service")+($AP1455="Agriculture, Food Industry and Forestry"))&gt;0,"Science",IF((($AP1455="Banking and Finance")+($AP1455="Management and Administration")+($AP1455="Marketing")+($AP1455="Sales")+($AP1455="Entrepreneurship")+($AP1455="Hospitality and Tourism"))&gt;0,"Commerce",IF((($AP1455="Social Sciences and Humanities")+($AP1455="Law Studies")+($AP1455="Education and Training")+($AP1455="Art, Design")+($AP1455="Entertainment and Mass Media")+($AP1455="Community and Social Service")+($AP1455="Personal Care and Services")+($AP1455="Government and Public Administration")+($AP1455="Defence/ Protective Service")+($AP1455="Sports"))&gt;0,"Arts / Humanities",""))))</f>
        <v/>
      </c>
      <c r="BC1455" s="5" t="str">
        <f aca="false">IF($AL1455="","",IF((($AL1455="Engineering and Technology")+($AL1455="Science and Mathematics")+($AL1455="Computer Science, IT and Allied Fields")+($AL1455="Life Sciences /Medicine and Healthcare")+($AL1455="Paramedical")+($AL1455="Architecture")+($AL1455="Environmental Service")+($AL1455="Agriculture, Food Industry and Forestry"))&gt;0,"Science",IF((($AL1455="Banking and Finance")+($AL1455="Management and Administration")+($AL1455="Marketing")+($AL1455="Sales")+($AL1455="Entrepreneurship")+($AL1455="Hospitality and Tourism"))&gt;0,"Commerce",IF((($AL1455="Social Sciences and Humanities")+($AL1455="Law Studies")+($AL1455="Education and Training")+($AL1455="Art, Design")+($AL1455="Entertainment and Mass Media")+($AL1455="Community and Social Service")+($AL1455="Personal Care and Services")+($AL1455="Government and Public Administration")+($AL1455="Defence/ Protective Service")+($AL1455="Sports"))&gt;0,"Arts / Humanities",""))))</f>
        <v/>
      </c>
      <c r="BD1455" s="5" t="str">
        <f aca="false">IF($B1455="","",--(F1455&gt;=10)+--(G1455&gt;=10)+--(H1455&gt;=10)+--(I1455&gt;=10)+--(J1455&gt;=10)+--(K1455&gt;=10)+--(L1455&gt;=10)+--(M1455&gt;=10)+--(N1455&gt;=10)+--(O1455&gt;=10))</f>
        <v/>
      </c>
      <c r="BE1455" s="5" t="str">
        <f aca="false">IF($B1455="","",--(AND(F1455&lt;&gt;"",F1455&lt;=8))+--(AND(G1455&lt;&gt;"",G1455&lt;=8))+--(AND(H1455&lt;&gt;"",H1455&lt;=8))+--(AND(I1455&lt;&gt;"",I1455&lt;=8))+--(AND(J1455&lt;&gt;"",J1455&lt;=8))+--(AND(K1455&lt;&gt;"",K1455&lt;=8))+--(AND(L1455&lt;&gt;"",L1455&lt;=8))+--(AND(M1455&lt;&gt;"",M1455&lt;=8))+--(AND(N1455&lt;&gt;"",N1455&lt;=8))+--(AND(O1455&lt;&gt;"",O1455&lt;=8)))</f>
        <v/>
      </c>
    </row>
    <row r="1456" customFormat="false" ht="15" hidden="false" customHeight="false" outlineLevel="0" collapsed="false">
      <c r="AZ1456" s="5" t="str">
        <f aca="false">IF($B1456="","",SUMPRODUCT(($AL1456:$AO1456&lt;&gt;"")*(COUNTIF($AP1456:$AX1456,$AL1456:$AO1456)&gt;0)))</f>
        <v/>
      </c>
      <c r="BA1456" s="5" t="str">
        <f aca="false">IF($B1456="","",IF(AZ1456&gt;0,1,0))</f>
        <v/>
      </c>
      <c r="BB1456" s="5" t="str">
        <f aca="false">IF($AP1456="","",IF((($AP1456="Engineering and Technology")+($AP1456="Science and Mathematics")+($AP1456="Computer Science, IT and Allied Fields")+($AP1456="Life Sciences /Medicine and Healthcare")+($AP1456="Paramedical")+($AP1456="Architecture")+($AP1456="Environmental Service")+($AP1456="Agriculture, Food Industry and Forestry"))&gt;0,"Science",IF((($AP1456="Banking and Finance")+($AP1456="Management and Administration")+($AP1456="Marketing")+($AP1456="Sales")+($AP1456="Entrepreneurship")+($AP1456="Hospitality and Tourism"))&gt;0,"Commerce",IF((($AP1456="Social Sciences and Humanities")+($AP1456="Law Studies")+($AP1456="Education and Training")+($AP1456="Art, Design")+($AP1456="Entertainment and Mass Media")+($AP1456="Community and Social Service")+($AP1456="Personal Care and Services")+($AP1456="Government and Public Administration")+($AP1456="Defence/ Protective Service")+($AP1456="Sports"))&gt;0,"Arts / Humanities",""))))</f>
        <v/>
      </c>
      <c r="BC1456" s="5" t="str">
        <f aca="false">IF($AL1456="","",IF((($AL1456="Engineering and Technology")+($AL1456="Science and Mathematics")+($AL1456="Computer Science, IT and Allied Fields")+($AL1456="Life Sciences /Medicine and Healthcare")+($AL1456="Paramedical")+($AL1456="Architecture")+($AL1456="Environmental Service")+($AL1456="Agriculture, Food Industry and Forestry"))&gt;0,"Science",IF((($AL1456="Banking and Finance")+($AL1456="Management and Administration")+($AL1456="Marketing")+($AL1456="Sales")+($AL1456="Entrepreneurship")+($AL1456="Hospitality and Tourism"))&gt;0,"Commerce",IF((($AL1456="Social Sciences and Humanities")+($AL1456="Law Studies")+($AL1456="Education and Training")+($AL1456="Art, Design")+($AL1456="Entertainment and Mass Media")+($AL1456="Community and Social Service")+($AL1456="Personal Care and Services")+($AL1456="Government and Public Administration")+($AL1456="Defence/ Protective Service")+($AL1456="Sports"))&gt;0,"Arts / Humanities",""))))</f>
        <v/>
      </c>
      <c r="BD1456" s="5" t="str">
        <f aca="false">IF($B1456="","",--(F1456&gt;=10)+--(G1456&gt;=10)+--(H1456&gt;=10)+--(I1456&gt;=10)+--(J1456&gt;=10)+--(K1456&gt;=10)+--(L1456&gt;=10)+--(M1456&gt;=10)+--(N1456&gt;=10)+--(O1456&gt;=10))</f>
        <v/>
      </c>
      <c r="BE1456" s="5" t="str">
        <f aca="false">IF($B1456="","",--(AND(F1456&lt;&gt;"",F1456&lt;=8))+--(AND(G1456&lt;&gt;"",G1456&lt;=8))+--(AND(H1456&lt;&gt;"",H1456&lt;=8))+--(AND(I1456&lt;&gt;"",I1456&lt;=8))+--(AND(J1456&lt;&gt;"",J1456&lt;=8))+--(AND(K1456&lt;&gt;"",K1456&lt;=8))+--(AND(L1456&lt;&gt;"",L1456&lt;=8))+--(AND(M1456&lt;&gt;"",M1456&lt;=8))+--(AND(N1456&lt;&gt;"",N1456&lt;=8))+--(AND(O1456&lt;&gt;"",O1456&lt;=8)))</f>
        <v/>
      </c>
    </row>
    <row r="1457" customFormat="false" ht="15" hidden="false" customHeight="false" outlineLevel="0" collapsed="false">
      <c r="AZ1457" s="5" t="str">
        <f aca="false">IF($B1457="","",SUMPRODUCT(($AL1457:$AO1457&lt;&gt;"")*(COUNTIF($AP1457:$AX1457,$AL1457:$AO1457)&gt;0)))</f>
        <v/>
      </c>
      <c r="BA1457" s="5" t="str">
        <f aca="false">IF($B1457="","",IF(AZ1457&gt;0,1,0))</f>
        <v/>
      </c>
      <c r="BB1457" s="5" t="str">
        <f aca="false">IF($AP1457="","",IF((($AP1457="Engineering and Technology")+($AP1457="Science and Mathematics")+($AP1457="Computer Science, IT and Allied Fields")+($AP1457="Life Sciences /Medicine and Healthcare")+($AP1457="Paramedical")+($AP1457="Architecture")+($AP1457="Environmental Service")+($AP1457="Agriculture, Food Industry and Forestry"))&gt;0,"Science",IF((($AP1457="Banking and Finance")+($AP1457="Management and Administration")+($AP1457="Marketing")+($AP1457="Sales")+($AP1457="Entrepreneurship")+($AP1457="Hospitality and Tourism"))&gt;0,"Commerce",IF((($AP1457="Social Sciences and Humanities")+($AP1457="Law Studies")+($AP1457="Education and Training")+($AP1457="Art, Design")+($AP1457="Entertainment and Mass Media")+($AP1457="Community and Social Service")+($AP1457="Personal Care and Services")+($AP1457="Government and Public Administration")+($AP1457="Defence/ Protective Service")+($AP1457="Sports"))&gt;0,"Arts / Humanities",""))))</f>
        <v/>
      </c>
      <c r="BC1457" s="5" t="str">
        <f aca="false">IF($AL1457="","",IF((($AL1457="Engineering and Technology")+($AL1457="Science and Mathematics")+($AL1457="Computer Science, IT and Allied Fields")+($AL1457="Life Sciences /Medicine and Healthcare")+($AL1457="Paramedical")+($AL1457="Architecture")+($AL1457="Environmental Service")+($AL1457="Agriculture, Food Industry and Forestry"))&gt;0,"Science",IF((($AL1457="Banking and Finance")+($AL1457="Management and Administration")+($AL1457="Marketing")+($AL1457="Sales")+($AL1457="Entrepreneurship")+($AL1457="Hospitality and Tourism"))&gt;0,"Commerce",IF((($AL1457="Social Sciences and Humanities")+($AL1457="Law Studies")+($AL1457="Education and Training")+($AL1457="Art, Design")+($AL1457="Entertainment and Mass Media")+($AL1457="Community and Social Service")+($AL1457="Personal Care and Services")+($AL1457="Government and Public Administration")+($AL1457="Defence/ Protective Service")+($AL1457="Sports"))&gt;0,"Arts / Humanities",""))))</f>
        <v/>
      </c>
      <c r="BD1457" s="5" t="str">
        <f aca="false">IF($B1457="","",--(F1457&gt;=10)+--(G1457&gt;=10)+--(H1457&gt;=10)+--(I1457&gt;=10)+--(J1457&gt;=10)+--(K1457&gt;=10)+--(L1457&gt;=10)+--(M1457&gt;=10)+--(N1457&gt;=10)+--(O1457&gt;=10))</f>
        <v/>
      </c>
      <c r="BE1457" s="5" t="str">
        <f aca="false">IF($B1457="","",--(AND(F1457&lt;&gt;"",F1457&lt;=8))+--(AND(G1457&lt;&gt;"",G1457&lt;=8))+--(AND(H1457&lt;&gt;"",H1457&lt;=8))+--(AND(I1457&lt;&gt;"",I1457&lt;=8))+--(AND(J1457&lt;&gt;"",J1457&lt;=8))+--(AND(K1457&lt;&gt;"",K1457&lt;=8))+--(AND(L1457&lt;&gt;"",L1457&lt;=8))+--(AND(M1457&lt;&gt;"",M1457&lt;=8))+--(AND(N1457&lt;&gt;"",N1457&lt;=8))+--(AND(O1457&lt;&gt;"",O1457&lt;=8)))</f>
        <v/>
      </c>
    </row>
    <row r="1458" customFormat="false" ht="15" hidden="false" customHeight="false" outlineLevel="0" collapsed="false">
      <c r="AZ1458" s="5" t="str">
        <f aca="false">IF($B1458="","",SUMPRODUCT(($AL1458:$AO1458&lt;&gt;"")*(COUNTIF($AP1458:$AX1458,$AL1458:$AO1458)&gt;0)))</f>
        <v/>
      </c>
      <c r="BA1458" s="5" t="str">
        <f aca="false">IF($B1458="","",IF(AZ1458&gt;0,1,0))</f>
        <v/>
      </c>
      <c r="BB1458" s="5" t="str">
        <f aca="false">IF($AP1458="","",IF((($AP1458="Engineering and Technology")+($AP1458="Science and Mathematics")+($AP1458="Computer Science, IT and Allied Fields")+($AP1458="Life Sciences /Medicine and Healthcare")+($AP1458="Paramedical")+($AP1458="Architecture")+($AP1458="Environmental Service")+($AP1458="Agriculture, Food Industry and Forestry"))&gt;0,"Science",IF((($AP1458="Banking and Finance")+($AP1458="Management and Administration")+($AP1458="Marketing")+($AP1458="Sales")+($AP1458="Entrepreneurship")+($AP1458="Hospitality and Tourism"))&gt;0,"Commerce",IF((($AP1458="Social Sciences and Humanities")+($AP1458="Law Studies")+($AP1458="Education and Training")+($AP1458="Art, Design")+($AP1458="Entertainment and Mass Media")+($AP1458="Community and Social Service")+($AP1458="Personal Care and Services")+($AP1458="Government and Public Administration")+($AP1458="Defence/ Protective Service")+($AP1458="Sports"))&gt;0,"Arts / Humanities",""))))</f>
        <v/>
      </c>
      <c r="BC1458" s="5" t="str">
        <f aca="false">IF($AL1458="","",IF((($AL1458="Engineering and Technology")+($AL1458="Science and Mathematics")+($AL1458="Computer Science, IT and Allied Fields")+($AL1458="Life Sciences /Medicine and Healthcare")+($AL1458="Paramedical")+($AL1458="Architecture")+($AL1458="Environmental Service")+($AL1458="Agriculture, Food Industry and Forestry"))&gt;0,"Science",IF((($AL1458="Banking and Finance")+($AL1458="Management and Administration")+($AL1458="Marketing")+($AL1458="Sales")+($AL1458="Entrepreneurship")+($AL1458="Hospitality and Tourism"))&gt;0,"Commerce",IF((($AL1458="Social Sciences and Humanities")+($AL1458="Law Studies")+($AL1458="Education and Training")+($AL1458="Art, Design")+($AL1458="Entertainment and Mass Media")+($AL1458="Community and Social Service")+($AL1458="Personal Care and Services")+($AL1458="Government and Public Administration")+($AL1458="Defence/ Protective Service")+($AL1458="Sports"))&gt;0,"Arts / Humanities",""))))</f>
        <v/>
      </c>
      <c r="BD1458" s="5" t="str">
        <f aca="false">IF($B1458="","",--(F1458&gt;=10)+--(G1458&gt;=10)+--(H1458&gt;=10)+--(I1458&gt;=10)+--(J1458&gt;=10)+--(K1458&gt;=10)+--(L1458&gt;=10)+--(M1458&gt;=10)+--(N1458&gt;=10)+--(O1458&gt;=10))</f>
        <v/>
      </c>
      <c r="BE1458" s="5" t="str">
        <f aca="false">IF($B1458="","",--(AND(F1458&lt;&gt;"",F1458&lt;=8))+--(AND(G1458&lt;&gt;"",G1458&lt;=8))+--(AND(H1458&lt;&gt;"",H1458&lt;=8))+--(AND(I1458&lt;&gt;"",I1458&lt;=8))+--(AND(J1458&lt;&gt;"",J1458&lt;=8))+--(AND(K1458&lt;&gt;"",K1458&lt;=8))+--(AND(L1458&lt;&gt;"",L1458&lt;=8))+--(AND(M1458&lt;&gt;"",M1458&lt;=8))+--(AND(N1458&lt;&gt;"",N1458&lt;=8))+--(AND(O1458&lt;&gt;"",O1458&lt;=8)))</f>
        <v/>
      </c>
    </row>
    <row r="1459" customFormat="false" ht="15" hidden="false" customHeight="false" outlineLevel="0" collapsed="false">
      <c r="AZ1459" s="5" t="str">
        <f aca="false">IF($B1459="","",SUMPRODUCT(($AL1459:$AO1459&lt;&gt;"")*(COUNTIF($AP1459:$AX1459,$AL1459:$AO1459)&gt;0)))</f>
        <v/>
      </c>
      <c r="BA1459" s="5" t="str">
        <f aca="false">IF($B1459="","",IF(AZ1459&gt;0,1,0))</f>
        <v/>
      </c>
      <c r="BB1459" s="5" t="str">
        <f aca="false">IF($AP1459="","",IF((($AP1459="Engineering and Technology")+($AP1459="Science and Mathematics")+($AP1459="Computer Science, IT and Allied Fields")+($AP1459="Life Sciences /Medicine and Healthcare")+($AP1459="Paramedical")+($AP1459="Architecture")+($AP1459="Environmental Service")+($AP1459="Agriculture, Food Industry and Forestry"))&gt;0,"Science",IF((($AP1459="Banking and Finance")+($AP1459="Management and Administration")+($AP1459="Marketing")+($AP1459="Sales")+($AP1459="Entrepreneurship")+($AP1459="Hospitality and Tourism"))&gt;0,"Commerce",IF((($AP1459="Social Sciences and Humanities")+($AP1459="Law Studies")+($AP1459="Education and Training")+($AP1459="Art, Design")+($AP1459="Entertainment and Mass Media")+($AP1459="Community and Social Service")+($AP1459="Personal Care and Services")+($AP1459="Government and Public Administration")+($AP1459="Defence/ Protective Service")+($AP1459="Sports"))&gt;0,"Arts / Humanities",""))))</f>
        <v/>
      </c>
      <c r="BC1459" s="5" t="str">
        <f aca="false">IF($AL1459="","",IF((($AL1459="Engineering and Technology")+($AL1459="Science and Mathematics")+($AL1459="Computer Science, IT and Allied Fields")+($AL1459="Life Sciences /Medicine and Healthcare")+($AL1459="Paramedical")+($AL1459="Architecture")+($AL1459="Environmental Service")+($AL1459="Agriculture, Food Industry and Forestry"))&gt;0,"Science",IF((($AL1459="Banking and Finance")+($AL1459="Management and Administration")+($AL1459="Marketing")+($AL1459="Sales")+($AL1459="Entrepreneurship")+($AL1459="Hospitality and Tourism"))&gt;0,"Commerce",IF((($AL1459="Social Sciences and Humanities")+($AL1459="Law Studies")+($AL1459="Education and Training")+($AL1459="Art, Design")+($AL1459="Entertainment and Mass Media")+($AL1459="Community and Social Service")+($AL1459="Personal Care and Services")+($AL1459="Government and Public Administration")+($AL1459="Defence/ Protective Service")+($AL1459="Sports"))&gt;0,"Arts / Humanities",""))))</f>
        <v/>
      </c>
      <c r="BD1459" s="5" t="str">
        <f aca="false">IF($B1459="","",--(F1459&gt;=10)+--(G1459&gt;=10)+--(H1459&gt;=10)+--(I1459&gt;=10)+--(J1459&gt;=10)+--(K1459&gt;=10)+--(L1459&gt;=10)+--(M1459&gt;=10)+--(N1459&gt;=10)+--(O1459&gt;=10))</f>
        <v/>
      </c>
      <c r="BE1459" s="5" t="str">
        <f aca="false">IF($B1459="","",--(AND(F1459&lt;&gt;"",F1459&lt;=8))+--(AND(G1459&lt;&gt;"",G1459&lt;=8))+--(AND(H1459&lt;&gt;"",H1459&lt;=8))+--(AND(I1459&lt;&gt;"",I1459&lt;=8))+--(AND(J1459&lt;&gt;"",J1459&lt;=8))+--(AND(K1459&lt;&gt;"",K1459&lt;=8))+--(AND(L1459&lt;&gt;"",L1459&lt;=8))+--(AND(M1459&lt;&gt;"",M1459&lt;=8))+--(AND(N1459&lt;&gt;"",N1459&lt;=8))+--(AND(O1459&lt;&gt;"",O1459&lt;=8)))</f>
        <v/>
      </c>
    </row>
    <row r="1460" customFormat="false" ht="15" hidden="false" customHeight="false" outlineLevel="0" collapsed="false">
      <c r="AZ1460" s="5" t="str">
        <f aca="false">IF($B1460="","",SUMPRODUCT(($AL1460:$AO1460&lt;&gt;"")*(COUNTIF($AP1460:$AX1460,$AL1460:$AO1460)&gt;0)))</f>
        <v/>
      </c>
      <c r="BA1460" s="5" t="str">
        <f aca="false">IF($B1460="","",IF(AZ1460&gt;0,1,0))</f>
        <v/>
      </c>
      <c r="BB1460" s="5" t="str">
        <f aca="false">IF($AP1460="","",IF((($AP1460="Engineering and Technology")+($AP1460="Science and Mathematics")+($AP1460="Computer Science, IT and Allied Fields")+($AP1460="Life Sciences /Medicine and Healthcare")+($AP1460="Paramedical")+($AP1460="Architecture")+($AP1460="Environmental Service")+($AP1460="Agriculture, Food Industry and Forestry"))&gt;0,"Science",IF((($AP1460="Banking and Finance")+($AP1460="Management and Administration")+($AP1460="Marketing")+($AP1460="Sales")+($AP1460="Entrepreneurship")+($AP1460="Hospitality and Tourism"))&gt;0,"Commerce",IF((($AP1460="Social Sciences and Humanities")+($AP1460="Law Studies")+($AP1460="Education and Training")+($AP1460="Art, Design")+($AP1460="Entertainment and Mass Media")+($AP1460="Community and Social Service")+($AP1460="Personal Care and Services")+($AP1460="Government and Public Administration")+($AP1460="Defence/ Protective Service")+($AP1460="Sports"))&gt;0,"Arts / Humanities",""))))</f>
        <v/>
      </c>
      <c r="BC1460" s="5" t="str">
        <f aca="false">IF($AL1460="","",IF((($AL1460="Engineering and Technology")+($AL1460="Science and Mathematics")+($AL1460="Computer Science, IT and Allied Fields")+($AL1460="Life Sciences /Medicine and Healthcare")+($AL1460="Paramedical")+($AL1460="Architecture")+($AL1460="Environmental Service")+($AL1460="Agriculture, Food Industry and Forestry"))&gt;0,"Science",IF((($AL1460="Banking and Finance")+($AL1460="Management and Administration")+($AL1460="Marketing")+($AL1460="Sales")+($AL1460="Entrepreneurship")+($AL1460="Hospitality and Tourism"))&gt;0,"Commerce",IF((($AL1460="Social Sciences and Humanities")+($AL1460="Law Studies")+($AL1460="Education and Training")+($AL1460="Art, Design")+($AL1460="Entertainment and Mass Media")+($AL1460="Community and Social Service")+($AL1460="Personal Care and Services")+($AL1460="Government and Public Administration")+($AL1460="Defence/ Protective Service")+($AL1460="Sports"))&gt;0,"Arts / Humanities",""))))</f>
        <v/>
      </c>
      <c r="BD1460" s="5" t="str">
        <f aca="false">IF($B1460="","",--(F1460&gt;=10)+--(G1460&gt;=10)+--(H1460&gt;=10)+--(I1460&gt;=10)+--(J1460&gt;=10)+--(K1460&gt;=10)+--(L1460&gt;=10)+--(M1460&gt;=10)+--(N1460&gt;=10)+--(O1460&gt;=10))</f>
        <v/>
      </c>
      <c r="BE1460" s="5" t="str">
        <f aca="false">IF($B1460="","",--(AND(F1460&lt;&gt;"",F1460&lt;=8))+--(AND(G1460&lt;&gt;"",G1460&lt;=8))+--(AND(H1460&lt;&gt;"",H1460&lt;=8))+--(AND(I1460&lt;&gt;"",I1460&lt;=8))+--(AND(J1460&lt;&gt;"",J1460&lt;=8))+--(AND(K1460&lt;&gt;"",K1460&lt;=8))+--(AND(L1460&lt;&gt;"",L1460&lt;=8))+--(AND(M1460&lt;&gt;"",M1460&lt;=8))+--(AND(N1460&lt;&gt;"",N1460&lt;=8))+--(AND(O1460&lt;&gt;"",O1460&lt;=8)))</f>
        <v/>
      </c>
    </row>
    <row r="1461" customFormat="false" ht="15" hidden="false" customHeight="false" outlineLevel="0" collapsed="false">
      <c r="AZ1461" s="5" t="str">
        <f aca="false">IF($B1461="","",SUMPRODUCT(($AL1461:$AO1461&lt;&gt;"")*(COUNTIF($AP1461:$AX1461,$AL1461:$AO1461)&gt;0)))</f>
        <v/>
      </c>
      <c r="BA1461" s="5" t="str">
        <f aca="false">IF($B1461="","",IF(AZ1461&gt;0,1,0))</f>
        <v/>
      </c>
      <c r="BB1461" s="5" t="str">
        <f aca="false">IF($AP1461="","",IF((($AP1461="Engineering and Technology")+($AP1461="Science and Mathematics")+($AP1461="Computer Science, IT and Allied Fields")+($AP1461="Life Sciences /Medicine and Healthcare")+($AP1461="Paramedical")+($AP1461="Architecture")+($AP1461="Environmental Service")+($AP1461="Agriculture, Food Industry and Forestry"))&gt;0,"Science",IF((($AP1461="Banking and Finance")+($AP1461="Management and Administration")+($AP1461="Marketing")+($AP1461="Sales")+($AP1461="Entrepreneurship")+($AP1461="Hospitality and Tourism"))&gt;0,"Commerce",IF((($AP1461="Social Sciences and Humanities")+($AP1461="Law Studies")+($AP1461="Education and Training")+($AP1461="Art, Design")+($AP1461="Entertainment and Mass Media")+($AP1461="Community and Social Service")+($AP1461="Personal Care and Services")+($AP1461="Government and Public Administration")+($AP1461="Defence/ Protective Service")+($AP1461="Sports"))&gt;0,"Arts / Humanities",""))))</f>
        <v/>
      </c>
      <c r="BC1461" s="5" t="str">
        <f aca="false">IF($AL1461="","",IF((($AL1461="Engineering and Technology")+($AL1461="Science and Mathematics")+($AL1461="Computer Science, IT and Allied Fields")+($AL1461="Life Sciences /Medicine and Healthcare")+($AL1461="Paramedical")+($AL1461="Architecture")+($AL1461="Environmental Service")+($AL1461="Agriculture, Food Industry and Forestry"))&gt;0,"Science",IF((($AL1461="Banking and Finance")+($AL1461="Management and Administration")+($AL1461="Marketing")+($AL1461="Sales")+($AL1461="Entrepreneurship")+($AL1461="Hospitality and Tourism"))&gt;0,"Commerce",IF((($AL1461="Social Sciences and Humanities")+($AL1461="Law Studies")+($AL1461="Education and Training")+($AL1461="Art, Design")+($AL1461="Entertainment and Mass Media")+($AL1461="Community and Social Service")+($AL1461="Personal Care and Services")+($AL1461="Government and Public Administration")+($AL1461="Defence/ Protective Service")+($AL1461="Sports"))&gt;0,"Arts / Humanities",""))))</f>
        <v/>
      </c>
      <c r="BD1461" s="5" t="str">
        <f aca="false">IF($B1461="","",--(F1461&gt;=10)+--(G1461&gt;=10)+--(H1461&gt;=10)+--(I1461&gt;=10)+--(J1461&gt;=10)+--(K1461&gt;=10)+--(L1461&gt;=10)+--(M1461&gt;=10)+--(N1461&gt;=10)+--(O1461&gt;=10))</f>
        <v/>
      </c>
      <c r="BE1461" s="5" t="str">
        <f aca="false">IF($B1461="","",--(AND(F1461&lt;&gt;"",F1461&lt;=8))+--(AND(G1461&lt;&gt;"",G1461&lt;=8))+--(AND(H1461&lt;&gt;"",H1461&lt;=8))+--(AND(I1461&lt;&gt;"",I1461&lt;=8))+--(AND(J1461&lt;&gt;"",J1461&lt;=8))+--(AND(K1461&lt;&gt;"",K1461&lt;=8))+--(AND(L1461&lt;&gt;"",L1461&lt;=8))+--(AND(M1461&lt;&gt;"",M1461&lt;=8))+--(AND(N1461&lt;&gt;"",N1461&lt;=8))+--(AND(O1461&lt;&gt;"",O1461&lt;=8)))</f>
        <v/>
      </c>
    </row>
    <row r="1462" customFormat="false" ht="15" hidden="false" customHeight="false" outlineLevel="0" collapsed="false">
      <c r="AZ1462" s="5" t="str">
        <f aca="false">IF($B1462="","",SUMPRODUCT(($AL1462:$AO1462&lt;&gt;"")*(COUNTIF($AP1462:$AX1462,$AL1462:$AO1462)&gt;0)))</f>
        <v/>
      </c>
      <c r="BA1462" s="5" t="str">
        <f aca="false">IF($B1462="","",IF(AZ1462&gt;0,1,0))</f>
        <v/>
      </c>
      <c r="BB1462" s="5" t="str">
        <f aca="false">IF($AP1462="","",IF((($AP1462="Engineering and Technology")+($AP1462="Science and Mathematics")+($AP1462="Computer Science, IT and Allied Fields")+($AP1462="Life Sciences /Medicine and Healthcare")+($AP1462="Paramedical")+($AP1462="Architecture")+($AP1462="Environmental Service")+($AP1462="Agriculture, Food Industry and Forestry"))&gt;0,"Science",IF((($AP1462="Banking and Finance")+($AP1462="Management and Administration")+($AP1462="Marketing")+($AP1462="Sales")+($AP1462="Entrepreneurship")+($AP1462="Hospitality and Tourism"))&gt;0,"Commerce",IF((($AP1462="Social Sciences and Humanities")+($AP1462="Law Studies")+($AP1462="Education and Training")+($AP1462="Art, Design")+($AP1462="Entertainment and Mass Media")+($AP1462="Community and Social Service")+($AP1462="Personal Care and Services")+($AP1462="Government and Public Administration")+($AP1462="Defence/ Protective Service")+($AP1462="Sports"))&gt;0,"Arts / Humanities",""))))</f>
        <v/>
      </c>
      <c r="BC1462" s="5" t="str">
        <f aca="false">IF($AL1462="","",IF((($AL1462="Engineering and Technology")+($AL1462="Science and Mathematics")+($AL1462="Computer Science, IT and Allied Fields")+($AL1462="Life Sciences /Medicine and Healthcare")+($AL1462="Paramedical")+($AL1462="Architecture")+($AL1462="Environmental Service")+($AL1462="Agriculture, Food Industry and Forestry"))&gt;0,"Science",IF((($AL1462="Banking and Finance")+($AL1462="Management and Administration")+($AL1462="Marketing")+($AL1462="Sales")+($AL1462="Entrepreneurship")+($AL1462="Hospitality and Tourism"))&gt;0,"Commerce",IF((($AL1462="Social Sciences and Humanities")+($AL1462="Law Studies")+($AL1462="Education and Training")+($AL1462="Art, Design")+($AL1462="Entertainment and Mass Media")+($AL1462="Community and Social Service")+($AL1462="Personal Care and Services")+($AL1462="Government and Public Administration")+($AL1462="Defence/ Protective Service")+($AL1462="Sports"))&gt;0,"Arts / Humanities",""))))</f>
        <v/>
      </c>
      <c r="BD1462" s="5" t="str">
        <f aca="false">IF($B1462="","",--(F1462&gt;=10)+--(G1462&gt;=10)+--(H1462&gt;=10)+--(I1462&gt;=10)+--(J1462&gt;=10)+--(K1462&gt;=10)+--(L1462&gt;=10)+--(M1462&gt;=10)+--(N1462&gt;=10)+--(O1462&gt;=10))</f>
        <v/>
      </c>
      <c r="BE1462" s="5" t="str">
        <f aca="false">IF($B1462="","",--(AND(F1462&lt;&gt;"",F1462&lt;=8))+--(AND(G1462&lt;&gt;"",G1462&lt;=8))+--(AND(H1462&lt;&gt;"",H1462&lt;=8))+--(AND(I1462&lt;&gt;"",I1462&lt;=8))+--(AND(J1462&lt;&gt;"",J1462&lt;=8))+--(AND(K1462&lt;&gt;"",K1462&lt;=8))+--(AND(L1462&lt;&gt;"",L1462&lt;=8))+--(AND(M1462&lt;&gt;"",M1462&lt;=8))+--(AND(N1462&lt;&gt;"",N1462&lt;=8))+--(AND(O1462&lt;&gt;"",O1462&lt;=8)))</f>
        <v/>
      </c>
    </row>
    <row r="1463" customFormat="false" ht="15" hidden="false" customHeight="false" outlineLevel="0" collapsed="false">
      <c r="AZ1463" s="5" t="str">
        <f aca="false">IF($B1463="","",SUMPRODUCT(($AL1463:$AO1463&lt;&gt;"")*(COUNTIF($AP1463:$AX1463,$AL1463:$AO1463)&gt;0)))</f>
        <v/>
      </c>
      <c r="BA1463" s="5" t="str">
        <f aca="false">IF($B1463="","",IF(AZ1463&gt;0,1,0))</f>
        <v/>
      </c>
      <c r="BB1463" s="5" t="str">
        <f aca="false">IF($AP1463="","",IF((($AP1463="Engineering and Technology")+($AP1463="Science and Mathematics")+($AP1463="Computer Science, IT and Allied Fields")+($AP1463="Life Sciences /Medicine and Healthcare")+($AP1463="Paramedical")+($AP1463="Architecture")+($AP1463="Environmental Service")+($AP1463="Agriculture, Food Industry and Forestry"))&gt;0,"Science",IF((($AP1463="Banking and Finance")+($AP1463="Management and Administration")+($AP1463="Marketing")+($AP1463="Sales")+($AP1463="Entrepreneurship")+($AP1463="Hospitality and Tourism"))&gt;0,"Commerce",IF((($AP1463="Social Sciences and Humanities")+($AP1463="Law Studies")+($AP1463="Education and Training")+($AP1463="Art, Design")+($AP1463="Entertainment and Mass Media")+($AP1463="Community and Social Service")+($AP1463="Personal Care and Services")+($AP1463="Government and Public Administration")+($AP1463="Defence/ Protective Service")+($AP1463="Sports"))&gt;0,"Arts / Humanities",""))))</f>
        <v/>
      </c>
      <c r="BC1463" s="5" t="str">
        <f aca="false">IF($AL1463="","",IF((($AL1463="Engineering and Technology")+($AL1463="Science and Mathematics")+($AL1463="Computer Science, IT and Allied Fields")+($AL1463="Life Sciences /Medicine and Healthcare")+($AL1463="Paramedical")+($AL1463="Architecture")+($AL1463="Environmental Service")+($AL1463="Agriculture, Food Industry and Forestry"))&gt;0,"Science",IF((($AL1463="Banking and Finance")+($AL1463="Management and Administration")+($AL1463="Marketing")+($AL1463="Sales")+($AL1463="Entrepreneurship")+($AL1463="Hospitality and Tourism"))&gt;0,"Commerce",IF((($AL1463="Social Sciences and Humanities")+($AL1463="Law Studies")+($AL1463="Education and Training")+($AL1463="Art, Design")+($AL1463="Entertainment and Mass Media")+($AL1463="Community and Social Service")+($AL1463="Personal Care and Services")+($AL1463="Government and Public Administration")+($AL1463="Defence/ Protective Service")+($AL1463="Sports"))&gt;0,"Arts / Humanities",""))))</f>
        <v/>
      </c>
      <c r="BD1463" s="5" t="str">
        <f aca="false">IF($B1463="","",--(F1463&gt;=10)+--(G1463&gt;=10)+--(H1463&gt;=10)+--(I1463&gt;=10)+--(J1463&gt;=10)+--(K1463&gt;=10)+--(L1463&gt;=10)+--(M1463&gt;=10)+--(N1463&gt;=10)+--(O1463&gt;=10))</f>
        <v/>
      </c>
      <c r="BE1463" s="5" t="str">
        <f aca="false">IF($B1463="","",--(AND(F1463&lt;&gt;"",F1463&lt;=8))+--(AND(G1463&lt;&gt;"",G1463&lt;=8))+--(AND(H1463&lt;&gt;"",H1463&lt;=8))+--(AND(I1463&lt;&gt;"",I1463&lt;=8))+--(AND(J1463&lt;&gt;"",J1463&lt;=8))+--(AND(K1463&lt;&gt;"",K1463&lt;=8))+--(AND(L1463&lt;&gt;"",L1463&lt;=8))+--(AND(M1463&lt;&gt;"",M1463&lt;=8))+--(AND(N1463&lt;&gt;"",N1463&lt;=8))+--(AND(O1463&lt;&gt;"",O1463&lt;=8)))</f>
        <v/>
      </c>
    </row>
    <row r="1464" customFormat="false" ht="15" hidden="false" customHeight="false" outlineLevel="0" collapsed="false">
      <c r="AZ1464" s="5" t="str">
        <f aca="false">IF($B1464="","",SUMPRODUCT(($AL1464:$AO1464&lt;&gt;"")*(COUNTIF($AP1464:$AX1464,$AL1464:$AO1464)&gt;0)))</f>
        <v/>
      </c>
      <c r="BA1464" s="5" t="str">
        <f aca="false">IF($B1464="","",IF(AZ1464&gt;0,1,0))</f>
        <v/>
      </c>
      <c r="BB1464" s="5" t="str">
        <f aca="false">IF($AP1464="","",IF((($AP1464="Engineering and Technology")+($AP1464="Science and Mathematics")+($AP1464="Computer Science, IT and Allied Fields")+($AP1464="Life Sciences /Medicine and Healthcare")+($AP1464="Paramedical")+($AP1464="Architecture")+($AP1464="Environmental Service")+($AP1464="Agriculture, Food Industry and Forestry"))&gt;0,"Science",IF((($AP1464="Banking and Finance")+($AP1464="Management and Administration")+($AP1464="Marketing")+($AP1464="Sales")+($AP1464="Entrepreneurship")+($AP1464="Hospitality and Tourism"))&gt;0,"Commerce",IF((($AP1464="Social Sciences and Humanities")+($AP1464="Law Studies")+($AP1464="Education and Training")+($AP1464="Art, Design")+($AP1464="Entertainment and Mass Media")+($AP1464="Community and Social Service")+($AP1464="Personal Care and Services")+($AP1464="Government and Public Administration")+($AP1464="Defence/ Protective Service")+($AP1464="Sports"))&gt;0,"Arts / Humanities",""))))</f>
        <v/>
      </c>
      <c r="BC1464" s="5" t="str">
        <f aca="false">IF($AL1464="","",IF((($AL1464="Engineering and Technology")+($AL1464="Science and Mathematics")+($AL1464="Computer Science, IT and Allied Fields")+($AL1464="Life Sciences /Medicine and Healthcare")+($AL1464="Paramedical")+($AL1464="Architecture")+($AL1464="Environmental Service")+($AL1464="Agriculture, Food Industry and Forestry"))&gt;0,"Science",IF((($AL1464="Banking and Finance")+($AL1464="Management and Administration")+($AL1464="Marketing")+($AL1464="Sales")+($AL1464="Entrepreneurship")+($AL1464="Hospitality and Tourism"))&gt;0,"Commerce",IF((($AL1464="Social Sciences and Humanities")+($AL1464="Law Studies")+($AL1464="Education and Training")+($AL1464="Art, Design")+($AL1464="Entertainment and Mass Media")+($AL1464="Community and Social Service")+($AL1464="Personal Care and Services")+($AL1464="Government and Public Administration")+($AL1464="Defence/ Protective Service")+($AL1464="Sports"))&gt;0,"Arts / Humanities",""))))</f>
        <v/>
      </c>
      <c r="BD1464" s="5" t="str">
        <f aca="false">IF($B1464="","",--(F1464&gt;=10)+--(G1464&gt;=10)+--(H1464&gt;=10)+--(I1464&gt;=10)+--(J1464&gt;=10)+--(K1464&gt;=10)+--(L1464&gt;=10)+--(M1464&gt;=10)+--(N1464&gt;=10)+--(O1464&gt;=10))</f>
        <v/>
      </c>
      <c r="BE1464" s="5" t="str">
        <f aca="false">IF($B1464="","",--(AND(F1464&lt;&gt;"",F1464&lt;=8))+--(AND(G1464&lt;&gt;"",G1464&lt;=8))+--(AND(H1464&lt;&gt;"",H1464&lt;=8))+--(AND(I1464&lt;&gt;"",I1464&lt;=8))+--(AND(J1464&lt;&gt;"",J1464&lt;=8))+--(AND(K1464&lt;&gt;"",K1464&lt;=8))+--(AND(L1464&lt;&gt;"",L1464&lt;=8))+--(AND(M1464&lt;&gt;"",M1464&lt;=8))+--(AND(N1464&lt;&gt;"",N1464&lt;=8))+--(AND(O1464&lt;&gt;"",O1464&lt;=8)))</f>
        <v/>
      </c>
    </row>
    <row r="1465" customFormat="false" ht="15" hidden="false" customHeight="false" outlineLevel="0" collapsed="false">
      <c r="AZ1465" s="5" t="str">
        <f aca="false">IF($B1465="","",SUMPRODUCT(($AL1465:$AO1465&lt;&gt;"")*(COUNTIF($AP1465:$AX1465,$AL1465:$AO1465)&gt;0)))</f>
        <v/>
      </c>
      <c r="BA1465" s="5" t="str">
        <f aca="false">IF($B1465="","",IF(AZ1465&gt;0,1,0))</f>
        <v/>
      </c>
      <c r="BB1465" s="5" t="str">
        <f aca="false">IF($AP1465="","",IF((($AP1465="Engineering and Technology")+($AP1465="Science and Mathematics")+($AP1465="Computer Science, IT and Allied Fields")+($AP1465="Life Sciences /Medicine and Healthcare")+($AP1465="Paramedical")+($AP1465="Architecture")+($AP1465="Environmental Service")+($AP1465="Agriculture, Food Industry and Forestry"))&gt;0,"Science",IF((($AP1465="Banking and Finance")+($AP1465="Management and Administration")+($AP1465="Marketing")+($AP1465="Sales")+($AP1465="Entrepreneurship")+($AP1465="Hospitality and Tourism"))&gt;0,"Commerce",IF((($AP1465="Social Sciences and Humanities")+($AP1465="Law Studies")+($AP1465="Education and Training")+($AP1465="Art, Design")+($AP1465="Entertainment and Mass Media")+($AP1465="Community and Social Service")+($AP1465="Personal Care and Services")+($AP1465="Government and Public Administration")+($AP1465="Defence/ Protective Service")+($AP1465="Sports"))&gt;0,"Arts / Humanities",""))))</f>
        <v/>
      </c>
      <c r="BC1465" s="5" t="str">
        <f aca="false">IF($AL1465="","",IF((($AL1465="Engineering and Technology")+($AL1465="Science and Mathematics")+($AL1465="Computer Science, IT and Allied Fields")+($AL1465="Life Sciences /Medicine and Healthcare")+($AL1465="Paramedical")+($AL1465="Architecture")+($AL1465="Environmental Service")+($AL1465="Agriculture, Food Industry and Forestry"))&gt;0,"Science",IF((($AL1465="Banking and Finance")+($AL1465="Management and Administration")+($AL1465="Marketing")+($AL1465="Sales")+($AL1465="Entrepreneurship")+($AL1465="Hospitality and Tourism"))&gt;0,"Commerce",IF((($AL1465="Social Sciences and Humanities")+($AL1465="Law Studies")+($AL1465="Education and Training")+($AL1465="Art, Design")+($AL1465="Entertainment and Mass Media")+($AL1465="Community and Social Service")+($AL1465="Personal Care and Services")+($AL1465="Government and Public Administration")+($AL1465="Defence/ Protective Service")+($AL1465="Sports"))&gt;0,"Arts / Humanities",""))))</f>
        <v/>
      </c>
      <c r="BD1465" s="5" t="str">
        <f aca="false">IF($B1465="","",--(F1465&gt;=10)+--(G1465&gt;=10)+--(H1465&gt;=10)+--(I1465&gt;=10)+--(J1465&gt;=10)+--(K1465&gt;=10)+--(L1465&gt;=10)+--(M1465&gt;=10)+--(N1465&gt;=10)+--(O1465&gt;=10))</f>
        <v/>
      </c>
      <c r="BE1465" s="5" t="str">
        <f aca="false">IF($B1465="","",--(AND(F1465&lt;&gt;"",F1465&lt;=8))+--(AND(G1465&lt;&gt;"",G1465&lt;=8))+--(AND(H1465&lt;&gt;"",H1465&lt;=8))+--(AND(I1465&lt;&gt;"",I1465&lt;=8))+--(AND(J1465&lt;&gt;"",J1465&lt;=8))+--(AND(K1465&lt;&gt;"",K1465&lt;=8))+--(AND(L1465&lt;&gt;"",L1465&lt;=8))+--(AND(M1465&lt;&gt;"",M1465&lt;=8))+--(AND(N1465&lt;&gt;"",N1465&lt;=8))+--(AND(O1465&lt;&gt;"",O1465&lt;=8)))</f>
        <v/>
      </c>
    </row>
    <row r="1466" customFormat="false" ht="15" hidden="false" customHeight="false" outlineLevel="0" collapsed="false">
      <c r="AZ1466" s="5" t="str">
        <f aca="false">IF($B1466="","",SUMPRODUCT(($AL1466:$AO1466&lt;&gt;"")*(COUNTIF($AP1466:$AX1466,$AL1466:$AO1466)&gt;0)))</f>
        <v/>
      </c>
      <c r="BA1466" s="5" t="str">
        <f aca="false">IF($B1466="","",IF(AZ1466&gt;0,1,0))</f>
        <v/>
      </c>
      <c r="BB1466" s="5" t="str">
        <f aca="false">IF($AP1466="","",IF((($AP1466="Engineering and Technology")+($AP1466="Science and Mathematics")+($AP1466="Computer Science, IT and Allied Fields")+($AP1466="Life Sciences /Medicine and Healthcare")+($AP1466="Paramedical")+($AP1466="Architecture")+($AP1466="Environmental Service")+($AP1466="Agriculture, Food Industry and Forestry"))&gt;0,"Science",IF((($AP1466="Banking and Finance")+($AP1466="Management and Administration")+($AP1466="Marketing")+($AP1466="Sales")+($AP1466="Entrepreneurship")+($AP1466="Hospitality and Tourism"))&gt;0,"Commerce",IF((($AP1466="Social Sciences and Humanities")+($AP1466="Law Studies")+($AP1466="Education and Training")+($AP1466="Art, Design")+($AP1466="Entertainment and Mass Media")+($AP1466="Community and Social Service")+($AP1466="Personal Care and Services")+($AP1466="Government and Public Administration")+($AP1466="Defence/ Protective Service")+($AP1466="Sports"))&gt;0,"Arts / Humanities",""))))</f>
        <v/>
      </c>
      <c r="BC1466" s="5" t="str">
        <f aca="false">IF($AL1466="","",IF((($AL1466="Engineering and Technology")+($AL1466="Science and Mathematics")+($AL1466="Computer Science, IT and Allied Fields")+($AL1466="Life Sciences /Medicine and Healthcare")+($AL1466="Paramedical")+($AL1466="Architecture")+($AL1466="Environmental Service")+($AL1466="Agriculture, Food Industry and Forestry"))&gt;0,"Science",IF((($AL1466="Banking and Finance")+($AL1466="Management and Administration")+($AL1466="Marketing")+($AL1466="Sales")+($AL1466="Entrepreneurship")+($AL1466="Hospitality and Tourism"))&gt;0,"Commerce",IF((($AL1466="Social Sciences and Humanities")+($AL1466="Law Studies")+($AL1466="Education and Training")+($AL1466="Art, Design")+($AL1466="Entertainment and Mass Media")+($AL1466="Community and Social Service")+($AL1466="Personal Care and Services")+($AL1466="Government and Public Administration")+($AL1466="Defence/ Protective Service")+($AL1466="Sports"))&gt;0,"Arts / Humanities",""))))</f>
        <v/>
      </c>
      <c r="BD1466" s="5" t="str">
        <f aca="false">IF($B1466="","",--(F1466&gt;=10)+--(G1466&gt;=10)+--(H1466&gt;=10)+--(I1466&gt;=10)+--(J1466&gt;=10)+--(K1466&gt;=10)+--(L1466&gt;=10)+--(M1466&gt;=10)+--(N1466&gt;=10)+--(O1466&gt;=10))</f>
        <v/>
      </c>
      <c r="BE1466" s="5" t="str">
        <f aca="false">IF($B1466="","",--(AND(F1466&lt;&gt;"",F1466&lt;=8))+--(AND(G1466&lt;&gt;"",G1466&lt;=8))+--(AND(H1466&lt;&gt;"",H1466&lt;=8))+--(AND(I1466&lt;&gt;"",I1466&lt;=8))+--(AND(J1466&lt;&gt;"",J1466&lt;=8))+--(AND(K1466&lt;&gt;"",K1466&lt;=8))+--(AND(L1466&lt;&gt;"",L1466&lt;=8))+--(AND(M1466&lt;&gt;"",M1466&lt;=8))+--(AND(N1466&lt;&gt;"",N1466&lt;=8))+--(AND(O1466&lt;&gt;"",O1466&lt;=8)))</f>
        <v/>
      </c>
    </row>
    <row r="1467" customFormat="false" ht="15" hidden="false" customHeight="false" outlineLevel="0" collapsed="false">
      <c r="AZ1467" s="5" t="str">
        <f aca="false">IF($B1467="","",SUMPRODUCT(($AL1467:$AO1467&lt;&gt;"")*(COUNTIF($AP1467:$AX1467,$AL1467:$AO1467)&gt;0)))</f>
        <v/>
      </c>
      <c r="BA1467" s="5" t="str">
        <f aca="false">IF($B1467="","",IF(AZ1467&gt;0,1,0))</f>
        <v/>
      </c>
      <c r="BB1467" s="5" t="str">
        <f aca="false">IF($AP1467="","",IF((($AP1467="Engineering and Technology")+($AP1467="Science and Mathematics")+($AP1467="Computer Science, IT and Allied Fields")+($AP1467="Life Sciences /Medicine and Healthcare")+($AP1467="Paramedical")+($AP1467="Architecture")+($AP1467="Environmental Service")+($AP1467="Agriculture, Food Industry and Forestry"))&gt;0,"Science",IF((($AP1467="Banking and Finance")+($AP1467="Management and Administration")+($AP1467="Marketing")+($AP1467="Sales")+($AP1467="Entrepreneurship")+($AP1467="Hospitality and Tourism"))&gt;0,"Commerce",IF((($AP1467="Social Sciences and Humanities")+($AP1467="Law Studies")+($AP1467="Education and Training")+($AP1467="Art, Design")+($AP1467="Entertainment and Mass Media")+($AP1467="Community and Social Service")+($AP1467="Personal Care and Services")+($AP1467="Government and Public Administration")+($AP1467="Defence/ Protective Service")+($AP1467="Sports"))&gt;0,"Arts / Humanities",""))))</f>
        <v/>
      </c>
      <c r="BC1467" s="5" t="str">
        <f aca="false">IF($AL1467="","",IF((($AL1467="Engineering and Technology")+($AL1467="Science and Mathematics")+($AL1467="Computer Science, IT and Allied Fields")+($AL1467="Life Sciences /Medicine and Healthcare")+($AL1467="Paramedical")+($AL1467="Architecture")+($AL1467="Environmental Service")+($AL1467="Agriculture, Food Industry and Forestry"))&gt;0,"Science",IF((($AL1467="Banking and Finance")+($AL1467="Management and Administration")+($AL1467="Marketing")+($AL1467="Sales")+($AL1467="Entrepreneurship")+($AL1467="Hospitality and Tourism"))&gt;0,"Commerce",IF((($AL1467="Social Sciences and Humanities")+($AL1467="Law Studies")+($AL1467="Education and Training")+($AL1467="Art, Design")+($AL1467="Entertainment and Mass Media")+($AL1467="Community and Social Service")+($AL1467="Personal Care and Services")+($AL1467="Government and Public Administration")+($AL1467="Defence/ Protective Service")+($AL1467="Sports"))&gt;0,"Arts / Humanities",""))))</f>
        <v/>
      </c>
      <c r="BD1467" s="5" t="str">
        <f aca="false">IF($B1467="","",--(F1467&gt;=10)+--(G1467&gt;=10)+--(H1467&gt;=10)+--(I1467&gt;=10)+--(J1467&gt;=10)+--(K1467&gt;=10)+--(L1467&gt;=10)+--(M1467&gt;=10)+--(N1467&gt;=10)+--(O1467&gt;=10))</f>
        <v/>
      </c>
      <c r="BE1467" s="5" t="str">
        <f aca="false">IF($B1467="","",--(AND(F1467&lt;&gt;"",F1467&lt;=8))+--(AND(G1467&lt;&gt;"",G1467&lt;=8))+--(AND(H1467&lt;&gt;"",H1467&lt;=8))+--(AND(I1467&lt;&gt;"",I1467&lt;=8))+--(AND(J1467&lt;&gt;"",J1467&lt;=8))+--(AND(K1467&lt;&gt;"",K1467&lt;=8))+--(AND(L1467&lt;&gt;"",L1467&lt;=8))+--(AND(M1467&lt;&gt;"",M1467&lt;=8))+--(AND(N1467&lt;&gt;"",N1467&lt;=8))+--(AND(O1467&lt;&gt;"",O1467&lt;=8)))</f>
        <v/>
      </c>
    </row>
    <row r="1468" customFormat="false" ht="15" hidden="false" customHeight="false" outlineLevel="0" collapsed="false">
      <c r="AZ1468" s="5" t="str">
        <f aca="false">IF($B1468="","",SUMPRODUCT(($AL1468:$AO1468&lt;&gt;"")*(COUNTIF($AP1468:$AX1468,$AL1468:$AO1468)&gt;0)))</f>
        <v/>
      </c>
      <c r="BA1468" s="5" t="str">
        <f aca="false">IF($B1468="","",IF(AZ1468&gt;0,1,0))</f>
        <v/>
      </c>
      <c r="BB1468" s="5" t="str">
        <f aca="false">IF($AP1468="","",IF((($AP1468="Engineering and Technology")+($AP1468="Science and Mathematics")+($AP1468="Computer Science, IT and Allied Fields")+($AP1468="Life Sciences /Medicine and Healthcare")+($AP1468="Paramedical")+($AP1468="Architecture")+($AP1468="Environmental Service")+($AP1468="Agriculture, Food Industry and Forestry"))&gt;0,"Science",IF((($AP1468="Banking and Finance")+($AP1468="Management and Administration")+($AP1468="Marketing")+($AP1468="Sales")+($AP1468="Entrepreneurship")+($AP1468="Hospitality and Tourism"))&gt;0,"Commerce",IF((($AP1468="Social Sciences and Humanities")+($AP1468="Law Studies")+($AP1468="Education and Training")+($AP1468="Art, Design")+($AP1468="Entertainment and Mass Media")+($AP1468="Community and Social Service")+($AP1468="Personal Care and Services")+($AP1468="Government and Public Administration")+($AP1468="Defence/ Protective Service")+($AP1468="Sports"))&gt;0,"Arts / Humanities",""))))</f>
        <v/>
      </c>
      <c r="BC1468" s="5" t="str">
        <f aca="false">IF($AL1468="","",IF((($AL1468="Engineering and Technology")+($AL1468="Science and Mathematics")+($AL1468="Computer Science, IT and Allied Fields")+($AL1468="Life Sciences /Medicine and Healthcare")+($AL1468="Paramedical")+($AL1468="Architecture")+($AL1468="Environmental Service")+($AL1468="Agriculture, Food Industry and Forestry"))&gt;0,"Science",IF((($AL1468="Banking and Finance")+($AL1468="Management and Administration")+($AL1468="Marketing")+($AL1468="Sales")+($AL1468="Entrepreneurship")+($AL1468="Hospitality and Tourism"))&gt;0,"Commerce",IF((($AL1468="Social Sciences and Humanities")+($AL1468="Law Studies")+($AL1468="Education and Training")+($AL1468="Art, Design")+($AL1468="Entertainment and Mass Media")+($AL1468="Community and Social Service")+($AL1468="Personal Care and Services")+($AL1468="Government and Public Administration")+($AL1468="Defence/ Protective Service")+($AL1468="Sports"))&gt;0,"Arts / Humanities",""))))</f>
        <v/>
      </c>
      <c r="BD1468" s="5" t="str">
        <f aca="false">IF($B1468="","",--(F1468&gt;=10)+--(G1468&gt;=10)+--(H1468&gt;=10)+--(I1468&gt;=10)+--(J1468&gt;=10)+--(K1468&gt;=10)+--(L1468&gt;=10)+--(M1468&gt;=10)+--(N1468&gt;=10)+--(O1468&gt;=10))</f>
        <v/>
      </c>
      <c r="BE1468" s="5" t="str">
        <f aca="false">IF($B1468="","",--(AND(F1468&lt;&gt;"",F1468&lt;=8))+--(AND(G1468&lt;&gt;"",G1468&lt;=8))+--(AND(H1468&lt;&gt;"",H1468&lt;=8))+--(AND(I1468&lt;&gt;"",I1468&lt;=8))+--(AND(J1468&lt;&gt;"",J1468&lt;=8))+--(AND(K1468&lt;&gt;"",K1468&lt;=8))+--(AND(L1468&lt;&gt;"",L1468&lt;=8))+--(AND(M1468&lt;&gt;"",M1468&lt;=8))+--(AND(N1468&lt;&gt;"",N1468&lt;=8))+--(AND(O1468&lt;&gt;"",O1468&lt;=8)))</f>
        <v/>
      </c>
    </row>
    <row r="1469" customFormat="false" ht="15" hidden="false" customHeight="false" outlineLevel="0" collapsed="false">
      <c r="AZ1469" s="5" t="str">
        <f aca="false">IF($B1469="","",SUMPRODUCT(($AL1469:$AO1469&lt;&gt;"")*(COUNTIF($AP1469:$AX1469,$AL1469:$AO1469)&gt;0)))</f>
        <v/>
      </c>
      <c r="BA1469" s="5" t="str">
        <f aca="false">IF($B1469="","",IF(AZ1469&gt;0,1,0))</f>
        <v/>
      </c>
      <c r="BB1469" s="5" t="str">
        <f aca="false">IF($AP1469="","",IF((($AP1469="Engineering and Technology")+($AP1469="Science and Mathematics")+($AP1469="Computer Science, IT and Allied Fields")+($AP1469="Life Sciences /Medicine and Healthcare")+($AP1469="Paramedical")+($AP1469="Architecture")+($AP1469="Environmental Service")+($AP1469="Agriculture, Food Industry and Forestry"))&gt;0,"Science",IF((($AP1469="Banking and Finance")+($AP1469="Management and Administration")+($AP1469="Marketing")+($AP1469="Sales")+($AP1469="Entrepreneurship")+($AP1469="Hospitality and Tourism"))&gt;0,"Commerce",IF((($AP1469="Social Sciences and Humanities")+($AP1469="Law Studies")+($AP1469="Education and Training")+($AP1469="Art, Design")+($AP1469="Entertainment and Mass Media")+($AP1469="Community and Social Service")+($AP1469="Personal Care and Services")+($AP1469="Government and Public Administration")+($AP1469="Defence/ Protective Service")+($AP1469="Sports"))&gt;0,"Arts / Humanities",""))))</f>
        <v/>
      </c>
      <c r="BC1469" s="5" t="str">
        <f aca="false">IF($AL1469="","",IF((($AL1469="Engineering and Technology")+($AL1469="Science and Mathematics")+($AL1469="Computer Science, IT and Allied Fields")+($AL1469="Life Sciences /Medicine and Healthcare")+($AL1469="Paramedical")+($AL1469="Architecture")+($AL1469="Environmental Service")+($AL1469="Agriculture, Food Industry and Forestry"))&gt;0,"Science",IF((($AL1469="Banking and Finance")+($AL1469="Management and Administration")+($AL1469="Marketing")+($AL1469="Sales")+($AL1469="Entrepreneurship")+($AL1469="Hospitality and Tourism"))&gt;0,"Commerce",IF((($AL1469="Social Sciences and Humanities")+($AL1469="Law Studies")+($AL1469="Education and Training")+($AL1469="Art, Design")+($AL1469="Entertainment and Mass Media")+($AL1469="Community and Social Service")+($AL1469="Personal Care and Services")+($AL1469="Government and Public Administration")+($AL1469="Defence/ Protective Service")+($AL1469="Sports"))&gt;0,"Arts / Humanities",""))))</f>
        <v/>
      </c>
      <c r="BD1469" s="5" t="str">
        <f aca="false">IF($B1469="","",--(F1469&gt;=10)+--(G1469&gt;=10)+--(H1469&gt;=10)+--(I1469&gt;=10)+--(J1469&gt;=10)+--(K1469&gt;=10)+--(L1469&gt;=10)+--(M1469&gt;=10)+--(N1469&gt;=10)+--(O1469&gt;=10))</f>
        <v/>
      </c>
      <c r="BE1469" s="5" t="str">
        <f aca="false">IF($B1469="","",--(AND(F1469&lt;&gt;"",F1469&lt;=8))+--(AND(G1469&lt;&gt;"",G1469&lt;=8))+--(AND(H1469&lt;&gt;"",H1469&lt;=8))+--(AND(I1469&lt;&gt;"",I1469&lt;=8))+--(AND(J1469&lt;&gt;"",J1469&lt;=8))+--(AND(K1469&lt;&gt;"",K1469&lt;=8))+--(AND(L1469&lt;&gt;"",L1469&lt;=8))+--(AND(M1469&lt;&gt;"",M1469&lt;=8))+--(AND(N1469&lt;&gt;"",N1469&lt;=8))+--(AND(O1469&lt;&gt;"",O1469&lt;=8)))</f>
        <v/>
      </c>
    </row>
    <row r="1470" customFormat="false" ht="15" hidden="false" customHeight="false" outlineLevel="0" collapsed="false">
      <c r="AZ1470" s="5" t="str">
        <f aca="false">IF($B1470="","",SUMPRODUCT(($AL1470:$AO1470&lt;&gt;"")*(COUNTIF($AP1470:$AX1470,$AL1470:$AO1470)&gt;0)))</f>
        <v/>
      </c>
      <c r="BA1470" s="5" t="str">
        <f aca="false">IF($B1470="","",IF(AZ1470&gt;0,1,0))</f>
        <v/>
      </c>
      <c r="BB1470" s="5" t="str">
        <f aca="false">IF($AP1470="","",IF((($AP1470="Engineering and Technology")+($AP1470="Science and Mathematics")+($AP1470="Computer Science, IT and Allied Fields")+($AP1470="Life Sciences /Medicine and Healthcare")+($AP1470="Paramedical")+($AP1470="Architecture")+($AP1470="Environmental Service")+($AP1470="Agriculture, Food Industry and Forestry"))&gt;0,"Science",IF((($AP1470="Banking and Finance")+($AP1470="Management and Administration")+($AP1470="Marketing")+($AP1470="Sales")+($AP1470="Entrepreneurship")+($AP1470="Hospitality and Tourism"))&gt;0,"Commerce",IF((($AP1470="Social Sciences and Humanities")+($AP1470="Law Studies")+($AP1470="Education and Training")+($AP1470="Art, Design")+($AP1470="Entertainment and Mass Media")+($AP1470="Community and Social Service")+($AP1470="Personal Care and Services")+($AP1470="Government and Public Administration")+($AP1470="Defence/ Protective Service")+($AP1470="Sports"))&gt;0,"Arts / Humanities",""))))</f>
        <v/>
      </c>
      <c r="BC1470" s="5" t="str">
        <f aca="false">IF($AL1470="","",IF((($AL1470="Engineering and Technology")+($AL1470="Science and Mathematics")+($AL1470="Computer Science, IT and Allied Fields")+($AL1470="Life Sciences /Medicine and Healthcare")+($AL1470="Paramedical")+($AL1470="Architecture")+($AL1470="Environmental Service")+($AL1470="Agriculture, Food Industry and Forestry"))&gt;0,"Science",IF((($AL1470="Banking and Finance")+($AL1470="Management and Administration")+($AL1470="Marketing")+($AL1470="Sales")+($AL1470="Entrepreneurship")+($AL1470="Hospitality and Tourism"))&gt;0,"Commerce",IF((($AL1470="Social Sciences and Humanities")+($AL1470="Law Studies")+($AL1470="Education and Training")+($AL1470="Art, Design")+($AL1470="Entertainment and Mass Media")+($AL1470="Community and Social Service")+($AL1470="Personal Care and Services")+($AL1470="Government and Public Administration")+($AL1470="Defence/ Protective Service")+($AL1470="Sports"))&gt;0,"Arts / Humanities",""))))</f>
        <v/>
      </c>
      <c r="BD1470" s="5" t="str">
        <f aca="false">IF($B1470="","",--(F1470&gt;=10)+--(G1470&gt;=10)+--(H1470&gt;=10)+--(I1470&gt;=10)+--(J1470&gt;=10)+--(K1470&gt;=10)+--(L1470&gt;=10)+--(M1470&gt;=10)+--(N1470&gt;=10)+--(O1470&gt;=10))</f>
        <v/>
      </c>
      <c r="BE1470" s="5" t="str">
        <f aca="false">IF($B1470="","",--(AND(F1470&lt;&gt;"",F1470&lt;=8))+--(AND(G1470&lt;&gt;"",G1470&lt;=8))+--(AND(H1470&lt;&gt;"",H1470&lt;=8))+--(AND(I1470&lt;&gt;"",I1470&lt;=8))+--(AND(J1470&lt;&gt;"",J1470&lt;=8))+--(AND(K1470&lt;&gt;"",K1470&lt;=8))+--(AND(L1470&lt;&gt;"",L1470&lt;=8))+--(AND(M1470&lt;&gt;"",M1470&lt;=8))+--(AND(N1470&lt;&gt;"",N1470&lt;=8))+--(AND(O1470&lt;&gt;"",O1470&lt;=8)))</f>
        <v/>
      </c>
    </row>
    <row r="1471" customFormat="false" ht="15" hidden="false" customHeight="false" outlineLevel="0" collapsed="false">
      <c r="AZ1471" s="5" t="str">
        <f aca="false">IF($B1471="","",SUMPRODUCT(($AL1471:$AO1471&lt;&gt;"")*(COUNTIF($AP1471:$AX1471,$AL1471:$AO1471)&gt;0)))</f>
        <v/>
      </c>
      <c r="BA1471" s="5" t="str">
        <f aca="false">IF($B1471="","",IF(AZ1471&gt;0,1,0))</f>
        <v/>
      </c>
      <c r="BB1471" s="5" t="str">
        <f aca="false">IF($AP1471="","",IF((($AP1471="Engineering and Technology")+($AP1471="Science and Mathematics")+($AP1471="Computer Science, IT and Allied Fields")+($AP1471="Life Sciences /Medicine and Healthcare")+($AP1471="Paramedical")+($AP1471="Architecture")+($AP1471="Environmental Service")+($AP1471="Agriculture, Food Industry and Forestry"))&gt;0,"Science",IF((($AP1471="Banking and Finance")+($AP1471="Management and Administration")+($AP1471="Marketing")+($AP1471="Sales")+($AP1471="Entrepreneurship")+($AP1471="Hospitality and Tourism"))&gt;0,"Commerce",IF((($AP1471="Social Sciences and Humanities")+($AP1471="Law Studies")+($AP1471="Education and Training")+($AP1471="Art, Design")+($AP1471="Entertainment and Mass Media")+($AP1471="Community and Social Service")+($AP1471="Personal Care and Services")+($AP1471="Government and Public Administration")+($AP1471="Defence/ Protective Service")+($AP1471="Sports"))&gt;0,"Arts / Humanities",""))))</f>
        <v/>
      </c>
      <c r="BC1471" s="5" t="str">
        <f aca="false">IF($AL1471="","",IF((($AL1471="Engineering and Technology")+($AL1471="Science and Mathematics")+($AL1471="Computer Science, IT and Allied Fields")+($AL1471="Life Sciences /Medicine and Healthcare")+($AL1471="Paramedical")+($AL1471="Architecture")+($AL1471="Environmental Service")+($AL1471="Agriculture, Food Industry and Forestry"))&gt;0,"Science",IF((($AL1471="Banking and Finance")+($AL1471="Management and Administration")+($AL1471="Marketing")+($AL1471="Sales")+($AL1471="Entrepreneurship")+($AL1471="Hospitality and Tourism"))&gt;0,"Commerce",IF((($AL1471="Social Sciences and Humanities")+($AL1471="Law Studies")+($AL1471="Education and Training")+($AL1471="Art, Design")+($AL1471="Entertainment and Mass Media")+($AL1471="Community and Social Service")+($AL1471="Personal Care and Services")+($AL1471="Government and Public Administration")+($AL1471="Defence/ Protective Service")+($AL1471="Sports"))&gt;0,"Arts / Humanities",""))))</f>
        <v/>
      </c>
      <c r="BD1471" s="5" t="str">
        <f aca="false">IF($B1471="","",--(F1471&gt;=10)+--(G1471&gt;=10)+--(H1471&gt;=10)+--(I1471&gt;=10)+--(J1471&gt;=10)+--(K1471&gt;=10)+--(L1471&gt;=10)+--(M1471&gt;=10)+--(N1471&gt;=10)+--(O1471&gt;=10))</f>
        <v/>
      </c>
      <c r="BE1471" s="5" t="str">
        <f aca="false">IF($B1471="","",--(AND(F1471&lt;&gt;"",F1471&lt;=8))+--(AND(G1471&lt;&gt;"",G1471&lt;=8))+--(AND(H1471&lt;&gt;"",H1471&lt;=8))+--(AND(I1471&lt;&gt;"",I1471&lt;=8))+--(AND(J1471&lt;&gt;"",J1471&lt;=8))+--(AND(K1471&lt;&gt;"",K1471&lt;=8))+--(AND(L1471&lt;&gt;"",L1471&lt;=8))+--(AND(M1471&lt;&gt;"",M1471&lt;=8))+--(AND(N1471&lt;&gt;"",N1471&lt;=8))+--(AND(O1471&lt;&gt;"",O1471&lt;=8)))</f>
        <v/>
      </c>
    </row>
    <row r="1472" customFormat="false" ht="15" hidden="false" customHeight="false" outlineLevel="0" collapsed="false">
      <c r="AZ1472" s="5" t="str">
        <f aca="false">IF($B1472="","",SUMPRODUCT(($AL1472:$AO1472&lt;&gt;"")*(COUNTIF($AP1472:$AX1472,$AL1472:$AO1472)&gt;0)))</f>
        <v/>
      </c>
      <c r="BA1472" s="5" t="str">
        <f aca="false">IF($B1472="","",IF(AZ1472&gt;0,1,0))</f>
        <v/>
      </c>
      <c r="BB1472" s="5" t="str">
        <f aca="false">IF($AP1472="","",IF((($AP1472="Engineering and Technology")+($AP1472="Science and Mathematics")+($AP1472="Computer Science, IT and Allied Fields")+($AP1472="Life Sciences /Medicine and Healthcare")+($AP1472="Paramedical")+($AP1472="Architecture")+($AP1472="Environmental Service")+($AP1472="Agriculture, Food Industry and Forestry"))&gt;0,"Science",IF((($AP1472="Banking and Finance")+($AP1472="Management and Administration")+($AP1472="Marketing")+($AP1472="Sales")+($AP1472="Entrepreneurship")+($AP1472="Hospitality and Tourism"))&gt;0,"Commerce",IF((($AP1472="Social Sciences and Humanities")+($AP1472="Law Studies")+($AP1472="Education and Training")+($AP1472="Art, Design")+($AP1472="Entertainment and Mass Media")+($AP1472="Community and Social Service")+($AP1472="Personal Care and Services")+($AP1472="Government and Public Administration")+($AP1472="Defence/ Protective Service")+($AP1472="Sports"))&gt;0,"Arts / Humanities",""))))</f>
        <v/>
      </c>
      <c r="BC1472" s="5" t="str">
        <f aca="false">IF($AL1472="","",IF((($AL1472="Engineering and Technology")+($AL1472="Science and Mathematics")+($AL1472="Computer Science, IT and Allied Fields")+($AL1472="Life Sciences /Medicine and Healthcare")+($AL1472="Paramedical")+($AL1472="Architecture")+($AL1472="Environmental Service")+($AL1472="Agriculture, Food Industry and Forestry"))&gt;0,"Science",IF((($AL1472="Banking and Finance")+($AL1472="Management and Administration")+($AL1472="Marketing")+($AL1472="Sales")+($AL1472="Entrepreneurship")+($AL1472="Hospitality and Tourism"))&gt;0,"Commerce",IF((($AL1472="Social Sciences and Humanities")+($AL1472="Law Studies")+($AL1472="Education and Training")+($AL1472="Art, Design")+($AL1472="Entertainment and Mass Media")+($AL1472="Community and Social Service")+($AL1472="Personal Care and Services")+($AL1472="Government and Public Administration")+($AL1472="Defence/ Protective Service")+($AL1472="Sports"))&gt;0,"Arts / Humanities",""))))</f>
        <v/>
      </c>
      <c r="BD1472" s="5" t="str">
        <f aca="false">IF($B1472="","",--(F1472&gt;=10)+--(G1472&gt;=10)+--(H1472&gt;=10)+--(I1472&gt;=10)+--(J1472&gt;=10)+--(K1472&gt;=10)+--(L1472&gt;=10)+--(M1472&gt;=10)+--(N1472&gt;=10)+--(O1472&gt;=10))</f>
        <v/>
      </c>
      <c r="BE1472" s="5" t="str">
        <f aca="false">IF($B1472="","",--(AND(F1472&lt;&gt;"",F1472&lt;=8))+--(AND(G1472&lt;&gt;"",G1472&lt;=8))+--(AND(H1472&lt;&gt;"",H1472&lt;=8))+--(AND(I1472&lt;&gt;"",I1472&lt;=8))+--(AND(J1472&lt;&gt;"",J1472&lt;=8))+--(AND(K1472&lt;&gt;"",K1472&lt;=8))+--(AND(L1472&lt;&gt;"",L1472&lt;=8))+--(AND(M1472&lt;&gt;"",M1472&lt;=8))+--(AND(N1472&lt;&gt;"",N1472&lt;=8))+--(AND(O1472&lt;&gt;"",O1472&lt;=8)))</f>
        <v/>
      </c>
    </row>
    <row r="1473" customFormat="false" ht="15" hidden="false" customHeight="false" outlineLevel="0" collapsed="false">
      <c r="AZ1473" s="5" t="str">
        <f aca="false">IF($B1473="","",SUMPRODUCT(($AL1473:$AO1473&lt;&gt;"")*(COUNTIF($AP1473:$AX1473,$AL1473:$AO1473)&gt;0)))</f>
        <v/>
      </c>
      <c r="BA1473" s="5" t="str">
        <f aca="false">IF($B1473="","",IF(AZ1473&gt;0,1,0))</f>
        <v/>
      </c>
      <c r="BB1473" s="5" t="str">
        <f aca="false">IF($AP1473="","",IF((($AP1473="Engineering and Technology")+($AP1473="Science and Mathematics")+($AP1473="Computer Science, IT and Allied Fields")+($AP1473="Life Sciences /Medicine and Healthcare")+($AP1473="Paramedical")+($AP1473="Architecture")+($AP1473="Environmental Service")+($AP1473="Agriculture, Food Industry and Forestry"))&gt;0,"Science",IF((($AP1473="Banking and Finance")+($AP1473="Management and Administration")+($AP1473="Marketing")+($AP1473="Sales")+($AP1473="Entrepreneurship")+($AP1473="Hospitality and Tourism"))&gt;0,"Commerce",IF((($AP1473="Social Sciences and Humanities")+($AP1473="Law Studies")+($AP1473="Education and Training")+($AP1473="Art, Design")+($AP1473="Entertainment and Mass Media")+($AP1473="Community and Social Service")+($AP1473="Personal Care and Services")+($AP1473="Government and Public Administration")+($AP1473="Defence/ Protective Service")+($AP1473="Sports"))&gt;0,"Arts / Humanities",""))))</f>
        <v/>
      </c>
      <c r="BC1473" s="5" t="str">
        <f aca="false">IF($AL1473="","",IF((($AL1473="Engineering and Technology")+($AL1473="Science and Mathematics")+($AL1473="Computer Science, IT and Allied Fields")+($AL1473="Life Sciences /Medicine and Healthcare")+($AL1473="Paramedical")+($AL1473="Architecture")+($AL1473="Environmental Service")+($AL1473="Agriculture, Food Industry and Forestry"))&gt;0,"Science",IF((($AL1473="Banking and Finance")+($AL1473="Management and Administration")+($AL1473="Marketing")+($AL1473="Sales")+($AL1473="Entrepreneurship")+($AL1473="Hospitality and Tourism"))&gt;0,"Commerce",IF((($AL1473="Social Sciences and Humanities")+($AL1473="Law Studies")+($AL1473="Education and Training")+($AL1473="Art, Design")+($AL1473="Entertainment and Mass Media")+($AL1473="Community and Social Service")+($AL1473="Personal Care and Services")+($AL1473="Government and Public Administration")+($AL1473="Defence/ Protective Service")+($AL1473="Sports"))&gt;0,"Arts / Humanities",""))))</f>
        <v/>
      </c>
      <c r="BD1473" s="5" t="str">
        <f aca="false">IF($B1473="","",--(F1473&gt;=10)+--(G1473&gt;=10)+--(H1473&gt;=10)+--(I1473&gt;=10)+--(J1473&gt;=10)+--(K1473&gt;=10)+--(L1473&gt;=10)+--(M1473&gt;=10)+--(N1473&gt;=10)+--(O1473&gt;=10))</f>
        <v/>
      </c>
      <c r="BE1473" s="5" t="str">
        <f aca="false">IF($B1473="","",--(AND(F1473&lt;&gt;"",F1473&lt;=8))+--(AND(G1473&lt;&gt;"",G1473&lt;=8))+--(AND(H1473&lt;&gt;"",H1473&lt;=8))+--(AND(I1473&lt;&gt;"",I1473&lt;=8))+--(AND(J1473&lt;&gt;"",J1473&lt;=8))+--(AND(K1473&lt;&gt;"",K1473&lt;=8))+--(AND(L1473&lt;&gt;"",L1473&lt;=8))+--(AND(M1473&lt;&gt;"",M1473&lt;=8))+--(AND(N1473&lt;&gt;"",N1473&lt;=8))+--(AND(O1473&lt;&gt;"",O1473&lt;=8)))</f>
        <v/>
      </c>
    </row>
    <row r="1474" customFormat="false" ht="15" hidden="false" customHeight="false" outlineLevel="0" collapsed="false">
      <c r="AZ1474" s="5" t="str">
        <f aca="false">IF($B1474="","",SUMPRODUCT(($AL1474:$AO1474&lt;&gt;"")*(COUNTIF($AP1474:$AX1474,$AL1474:$AO1474)&gt;0)))</f>
        <v/>
      </c>
      <c r="BA1474" s="5" t="str">
        <f aca="false">IF($B1474="","",IF(AZ1474&gt;0,1,0))</f>
        <v/>
      </c>
      <c r="BB1474" s="5" t="str">
        <f aca="false">IF($AP1474="","",IF((($AP1474="Engineering and Technology")+($AP1474="Science and Mathematics")+($AP1474="Computer Science, IT and Allied Fields")+($AP1474="Life Sciences /Medicine and Healthcare")+($AP1474="Paramedical")+($AP1474="Architecture")+($AP1474="Environmental Service")+($AP1474="Agriculture, Food Industry and Forestry"))&gt;0,"Science",IF((($AP1474="Banking and Finance")+($AP1474="Management and Administration")+($AP1474="Marketing")+($AP1474="Sales")+($AP1474="Entrepreneurship")+($AP1474="Hospitality and Tourism"))&gt;0,"Commerce",IF((($AP1474="Social Sciences and Humanities")+($AP1474="Law Studies")+($AP1474="Education and Training")+($AP1474="Art, Design")+($AP1474="Entertainment and Mass Media")+($AP1474="Community and Social Service")+($AP1474="Personal Care and Services")+($AP1474="Government and Public Administration")+($AP1474="Defence/ Protective Service")+($AP1474="Sports"))&gt;0,"Arts / Humanities",""))))</f>
        <v/>
      </c>
      <c r="BC1474" s="5" t="str">
        <f aca="false">IF($AL1474="","",IF((($AL1474="Engineering and Technology")+($AL1474="Science and Mathematics")+($AL1474="Computer Science, IT and Allied Fields")+($AL1474="Life Sciences /Medicine and Healthcare")+($AL1474="Paramedical")+($AL1474="Architecture")+($AL1474="Environmental Service")+($AL1474="Agriculture, Food Industry and Forestry"))&gt;0,"Science",IF((($AL1474="Banking and Finance")+($AL1474="Management and Administration")+($AL1474="Marketing")+($AL1474="Sales")+($AL1474="Entrepreneurship")+($AL1474="Hospitality and Tourism"))&gt;0,"Commerce",IF((($AL1474="Social Sciences and Humanities")+($AL1474="Law Studies")+($AL1474="Education and Training")+($AL1474="Art, Design")+($AL1474="Entertainment and Mass Media")+($AL1474="Community and Social Service")+($AL1474="Personal Care and Services")+($AL1474="Government and Public Administration")+($AL1474="Defence/ Protective Service")+($AL1474="Sports"))&gt;0,"Arts / Humanities",""))))</f>
        <v/>
      </c>
      <c r="BD1474" s="5" t="str">
        <f aca="false">IF($B1474="","",--(F1474&gt;=10)+--(G1474&gt;=10)+--(H1474&gt;=10)+--(I1474&gt;=10)+--(J1474&gt;=10)+--(K1474&gt;=10)+--(L1474&gt;=10)+--(M1474&gt;=10)+--(N1474&gt;=10)+--(O1474&gt;=10))</f>
        <v/>
      </c>
      <c r="BE1474" s="5" t="str">
        <f aca="false">IF($B1474="","",--(AND(F1474&lt;&gt;"",F1474&lt;=8))+--(AND(G1474&lt;&gt;"",G1474&lt;=8))+--(AND(H1474&lt;&gt;"",H1474&lt;=8))+--(AND(I1474&lt;&gt;"",I1474&lt;=8))+--(AND(J1474&lt;&gt;"",J1474&lt;=8))+--(AND(K1474&lt;&gt;"",K1474&lt;=8))+--(AND(L1474&lt;&gt;"",L1474&lt;=8))+--(AND(M1474&lt;&gt;"",M1474&lt;=8))+--(AND(N1474&lt;&gt;"",N1474&lt;=8))+--(AND(O1474&lt;&gt;"",O1474&lt;=8)))</f>
        <v/>
      </c>
    </row>
    <row r="1475" customFormat="false" ht="15" hidden="false" customHeight="false" outlineLevel="0" collapsed="false">
      <c r="AZ1475" s="5" t="str">
        <f aca="false">IF($B1475="","",SUMPRODUCT(($AL1475:$AO1475&lt;&gt;"")*(COUNTIF($AP1475:$AX1475,$AL1475:$AO1475)&gt;0)))</f>
        <v/>
      </c>
      <c r="BA1475" s="5" t="str">
        <f aca="false">IF($B1475="","",IF(AZ1475&gt;0,1,0))</f>
        <v/>
      </c>
      <c r="BB1475" s="5" t="str">
        <f aca="false">IF($AP1475="","",IF((($AP1475="Engineering and Technology")+($AP1475="Science and Mathematics")+($AP1475="Computer Science, IT and Allied Fields")+($AP1475="Life Sciences /Medicine and Healthcare")+($AP1475="Paramedical")+($AP1475="Architecture")+($AP1475="Environmental Service")+($AP1475="Agriculture, Food Industry and Forestry"))&gt;0,"Science",IF((($AP1475="Banking and Finance")+($AP1475="Management and Administration")+($AP1475="Marketing")+($AP1475="Sales")+($AP1475="Entrepreneurship")+($AP1475="Hospitality and Tourism"))&gt;0,"Commerce",IF((($AP1475="Social Sciences and Humanities")+($AP1475="Law Studies")+($AP1475="Education and Training")+($AP1475="Art, Design")+($AP1475="Entertainment and Mass Media")+($AP1475="Community and Social Service")+($AP1475="Personal Care and Services")+($AP1475="Government and Public Administration")+($AP1475="Defence/ Protective Service")+($AP1475="Sports"))&gt;0,"Arts / Humanities",""))))</f>
        <v/>
      </c>
      <c r="BC1475" s="5" t="str">
        <f aca="false">IF($AL1475="","",IF((($AL1475="Engineering and Technology")+($AL1475="Science and Mathematics")+($AL1475="Computer Science, IT and Allied Fields")+($AL1475="Life Sciences /Medicine and Healthcare")+($AL1475="Paramedical")+($AL1475="Architecture")+($AL1475="Environmental Service")+($AL1475="Agriculture, Food Industry and Forestry"))&gt;0,"Science",IF((($AL1475="Banking and Finance")+($AL1475="Management and Administration")+($AL1475="Marketing")+($AL1475="Sales")+($AL1475="Entrepreneurship")+($AL1475="Hospitality and Tourism"))&gt;0,"Commerce",IF((($AL1475="Social Sciences and Humanities")+($AL1475="Law Studies")+($AL1475="Education and Training")+($AL1475="Art, Design")+($AL1475="Entertainment and Mass Media")+($AL1475="Community and Social Service")+($AL1475="Personal Care and Services")+($AL1475="Government and Public Administration")+($AL1475="Defence/ Protective Service")+($AL1475="Sports"))&gt;0,"Arts / Humanities",""))))</f>
        <v/>
      </c>
      <c r="BD1475" s="5" t="str">
        <f aca="false">IF($B1475="","",--(F1475&gt;=10)+--(G1475&gt;=10)+--(H1475&gt;=10)+--(I1475&gt;=10)+--(J1475&gt;=10)+--(K1475&gt;=10)+--(L1475&gt;=10)+--(M1475&gt;=10)+--(N1475&gt;=10)+--(O1475&gt;=10))</f>
        <v/>
      </c>
      <c r="BE1475" s="5" t="str">
        <f aca="false">IF($B1475="","",--(AND(F1475&lt;&gt;"",F1475&lt;=8))+--(AND(G1475&lt;&gt;"",G1475&lt;=8))+--(AND(H1475&lt;&gt;"",H1475&lt;=8))+--(AND(I1475&lt;&gt;"",I1475&lt;=8))+--(AND(J1475&lt;&gt;"",J1475&lt;=8))+--(AND(K1475&lt;&gt;"",K1475&lt;=8))+--(AND(L1475&lt;&gt;"",L1475&lt;=8))+--(AND(M1475&lt;&gt;"",M1475&lt;=8))+--(AND(N1475&lt;&gt;"",N1475&lt;=8))+--(AND(O1475&lt;&gt;"",O1475&lt;=8)))</f>
        <v/>
      </c>
    </row>
    <row r="1476" customFormat="false" ht="15" hidden="false" customHeight="false" outlineLevel="0" collapsed="false">
      <c r="AZ1476" s="5" t="str">
        <f aca="false">IF($B1476="","",SUMPRODUCT(($AL1476:$AO1476&lt;&gt;"")*(COUNTIF($AP1476:$AX1476,$AL1476:$AO1476)&gt;0)))</f>
        <v/>
      </c>
      <c r="BA1476" s="5" t="str">
        <f aca="false">IF($B1476="","",IF(AZ1476&gt;0,1,0))</f>
        <v/>
      </c>
      <c r="BB1476" s="5" t="str">
        <f aca="false">IF($AP1476="","",IF((($AP1476="Engineering and Technology")+($AP1476="Science and Mathematics")+($AP1476="Computer Science, IT and Allied Fields")+($AP1476="Life Sciences /Medicine and Healthcare")+($AP1476="Paramedical")+($AP1476="Architecture")+($AP1476="Environmental Service")+($AP1476="Agriculture, Food Industry and Forestry"))&gt;0,"Science",IF((($AP1476="Banking and Finance")+($AP1476="Management and Administration")+($AP1476="Marketing")+($AP1476="Sales")+($AP1476="Entrepreneurship")+($AP1476="Hospitality and Tourism"))&gt;0,"Commerce",IF((($AP1476="Social Sciences and Humanities")+($AP1476="Law Studies")+($AP1476="Education and Training")+($AP1476="Art, Design")+($AP1476="Entertainment and Mass Media")+($AP1476="Community and Social Service")+($AP1476="Personal Care and Services")+($AP1476="Government and Public Administration")+($AP1476="Defence/ Protective Service")+($AP1476="Sports"))&gt;0,"Arts / Humanities",""))))</f>
        <v/>
      </c>
      <c r="BC1476" s="5" t="str">
        <f aca="false">IF($AL1476="","",IF((($AL1476="Engineering and Technology")+($AL1476="Science and Mathematics")+($AL1476="Computer Science, IT and Allied Fields")+($AL1476="Life Sciences /Medicine and Healthcare")+($AL1476="Paramedical")+($AL1476="Architecture")+($AL1476="Environmental Service")+($AL1476="Agriculture, Food Industry and Forestry"))&gt;0,"Science",IF((($AL1476="Banking and Finance")+($AL1476="Management and Administration")+($AL1476="Marketing")+($AL1476="Sales")+($AL1476="Entrepreneurship")+($AL1476="Hospitality and Tourism"))&gt;0,"Commerce",IF((($AL1476="Social Sciences and Humanities")+($AL1476="Law Studies")+($AL1476="Education and Training")+($AL1476="Art, Design")+($AL1476="Entertainment and Mass Media")+($AL1476="Community and Social Service")+($AL1476="Personal Care and Services")+($AL1476="Government and Public Administration")+($AL1476="Defence/ Protective Service")+($AL1476="Sports"))&gt;0,"Arts / Humanities",""))))</f>
        <v/>
      </c>
      <c r="BD1476" s="5" t="str">
        <f aca="false">IF($B1476="","",--(F1476&gt;=10)+--(G1476&gt;=10)+--(H1476&gt;=10)+--(I1476&gt;=10)+--(J1476&gt;=10)+--(K1476&gt;=10)+--(L1476&gt;=10)+--(M1476&gt;=10)+--(N1476&gt;=10)+--(O1476&gt;=10))</f>
        <v/>
      </c>
      <c r="BE1476" s="5" t="str">
        <f aca="false">IF($B1476="","",--(AND(F1476&lt;&gt;"",F1476&lt;=8))+--(AND(G1476&lt;&gt;"",G1476&lt;=8))+--(AND(H1476&lt;&gt;"",H1476&lt;=8))+--(AND(I1476&lt;&gt;"",I1476&lt;=8))+--(AND(J1476&lt;&gt;"",J1476&lt;=8))+--(AND(K1476&lt;&gt;"",K1476&lt;=8))+--(AND(L1476&lt;&gt;"",L1476&lt;=8))+--(AND(M1476&lt;&gt;"",M1476&lt;=8))+--(AND(N1476&lt;&gt;"",N1476&lt;=8))+--(AND(O1476&lt;&gt;"",O1476&lt;=8)))</f>
        <v/>
      </c>
    </row>
    <row r="1477" customFormat="false" ht="15" hidden="false" customHeight="false" outlineLevel="0" collapsed="false">
      <c r="AZ1477" s="5" t="str">
        <f aca="false">IF($B1477="","",SUMPRODUCT(($AL1477:$AO1477&lt;&gt;"")*(COUNTIF($AP1477:$AX1477,$AL1477:$AO1477)&gt;0)))</f>
        <v/>
      </c>
      <c r="BA1477" s="5" t="str">
        <f aca="false">IF($B1477="","",IF(AZ1477&gt;0,1,0))</f>
        <v/>
      </c>
      <c r="BB1477" s="5" t="str">
        <f aca="false">IF($AP1477="","",IF((($AP1477="Engineering and Technology")+($AP1477="Science and Mathematics")+($AP1477="Computer Science, IT and Allied Fields")+($AP1477="Life Sciences /Medicine and Healthcare")+($AP1477="Paramedical")+($AP1477="Architecture")+($AP1477="Environmental Service")+($AP1477="Agriculture, Food Industry and Forestry"))&gt;0,"Science",IF((($AP1477="Banking and Finance")+($AP1477="Management and Administration")+($AP1477="Marketing")+($AP1477="Sales")+($AP1477="Entrepreneurship")+($AP1477="Hospitality and Tourism"))&gt;0,"Commerce",IF((($AP1477="Social Sciences and Humanities")+($AP1477="Law Studies")+($AP1477="Education and Training")+($AP1477="Art, Design")+($AP1477="Entertainment and Mass Media")+($AP1477="Community and Social Service")+($AP1477="Personal Care and Services")+($AP1477="Government and Public Administration")+($AP1477="Defence/ Protective Service")+($AP1477="Sports"))&gt;0,"Arts / Humanities",""))))</f>
        <v/>
      </c>
      <c r="BC1477" s="5" t="str">
        <f aca="false">IF($AL1477="","",IF((($AL1477="Engineering and Technology")+($AL1477="Science and Mathematics")+($AL1477="Computer Science, IT and Allied Fields")+($AL1477="Life Sciences /Medicine and Healthcare")+($AL1477="Paramedical")+($AL1477="Architecture")+($AL1477="Environmental Service")+($AL1477="Agriculture, Food Industry and Forestry"))&gt;0,"Science",IF((($AL1477="Banking and Finance")+($AL1477="Management and Administration")+($AL1477="Marketing")+($AL1477="Sales")+($AL1477="Entrepreneurship")+($AL1477="Hospitality and Tourism"))&gt;0,"Commerce",IF((($AL1477="Social Sciences and Humanities")+($AL1477="Law Studies")+($AL1477="Education and Training")+($AL1477="Art, Design")+($AL1477="Entertainment and Mass Media")+($AL1477="Community and Social Service")+($AL1477="Personal Care and Services")+($AL1477="Government and Public Administration")+($AL1477="Defence/ Protective Service")+($AL1477="Sports"))&gt;0,"Arts / Humanities",""))))</f>
        <v/>
      </c>
      <c r="BD1477" s="5" t="str">
        <f aca="false">IF($B1477="","",--(F1477&gt;=10)+--(G1477&gt;=10)+--(H1477&gt;=10)+--(I1477&gt;=10)+--(J1477&gt;=10)+--(K1477&gt;=10)+--(L1477&gt;=10)+--(M1477&gt;=10)+--(N1477&gt;=10)+--(O1477&gt;=10))</f>
        <v/>
      </c>
      <c r="BE1477" s="5" t="str">
        <f aca="false">IF($B1477="","",--(AND(F1477&lt;&gt;"",F1477&lt;=8))+--(AND(G1477&lt;&gt;"",G1477&lt;=8))+--(AND(H1477&lt;&gt;"",H1477&lt;=8))+--(AND(I1477&lt;&gt;"",I1477&lt;=8))+--(AND(J1477&lt;&gt;"",J1477&lt;=8))+--(AND(K1477&lt;&gt;"",K1477&lt;=8))+--(AND(L1477&lt;&gt;"",L1477&lt;=8))+--(AND(M1477&lt;&gt;"",M1477&lt;=8))+--(AND(N1477&lt;&gt;"",N1477&lt;=8))+--(AND(O1477&lt;&gt;"",O1477&lt;=8)))</f>
        <v/>
      </c>
    </row>
    <row r="1478" customFormat="false" ht="15" hidden="false" customHeight="false" outlineLevel="0" collapsed="false">
      <c r="AZ1478" s="5" t="str">
        <f aca="false">IF($B1478="","",SUMPRODUCT(($AL1478:$AO1478&lt;&gt;"")*(COUNTIF($AP1478:$AX1478,$AL1478:$AO1478)&gt;0)))</f>
        <v/>
      </c>
      <c r="BA1478" s="5" t="str">
        <f aca="false">IF($B1478="","",IF(AZ1478&gt;0,1,0))</f>
        <v/>
      </c>
      <c r="BB1478" s="5" t="str">
        <f aca="false">IF($AP1478="","",IF((($AP1478="Engineering and Technology")+($AP1478="Science and Mathematics")+($AP1478="Computer Science, IT and Allied Fields")+($AP1478="Life Sciences /Medicine and Healthcare")+($AP1478="Paramedical")+($AP1478="Architecture")+($AP1478="Environmental Service")+($AP1478="Agriculture, Food Industry and Forestry"))&gt;0,"Science",IF((($AP1478="Banking and Finance")+($AP1478="Management and Administration")+($AP1478="Marketing")+($AP1478="Sales")+($AP1478="Entrepreneurship")+($AP1478="Hospitality and Tourism"))&gt;0,"Commerce",IF((($AP1478="Social Sciences and Humanities")+($AP1478="Law Studies")+($AP1478="Education and Training")+($AP1478="Art, Design")+($AP1478="Entertainment and Mass Media")+($AP1478="Community and Social Service")+($AP1478="Personal Care and Services")+($AP1478="Government and Public Administration")+($AP1478="Defence/ Protective Service")+($AP1478="Sports"))&gt;0,"Arts / Humanities",""))))</f>
        <v/>
      </c>
      <c r="BC1478" s="5" t="str">
        <f aca="false">IF($AL1478="","",IF((($AL1478="Engineering and Technology")+($AL1478="Science and Mathematics")+($AL1478="Computer Science, IT and Allied Fields")+($AL1478="Life Sciences /Medicine and Healthcare")+($AL1478="Paramedical")+($AL1478="Architecture")+($AL1478="Environmental Service")+($AL1478="Agriculture, Food Industry and Forestry"))&gt;0,"Science",IF((($AL1478="Banking and Finance")+($AL1478="Management and Administration")+($AL1478="Marketing")+($AL1478="Sales")+($AL1478="Entrepreneurship")+($AL1478="Hospitality and Tourism"))&gt;0,"Commerce",IF((($AL1478="Social Sciences and Humanities")+($AL1478="Law Studies")+($AL1478="Education and Training")+($AL1478="Art, Design")+($AL1478="Entertainment and Mass Media")+($AL1478="Community and Social Service")+($AL1478="Personal Care and Services")+($AL1478="Government and Public Administration")+($AL1478="Defence/ Protective Service")+($AL1478="Sports"))&gt;0,"Arts / Humanities",""))))</f>
        <v/>
      </c>
      <c r="BD1478" s="5" t="str">
        <f aca="false">IF($B1478="","",--(F1478&gt;=10)+--(G1478&gt;=10)+--(H1478&gt;=10)+--(I1478&gt;=10)+--(J1478&gt;=10)+--(K1478&gt;=10)+--(L1478&gt;=10)+--(M1478&gt;=10)+--(N1478&gt;=10)+--(O1478&gt;=10))</f>
        <v/>
      </c>
      <c r="BE1478" s="5" t="str">
        <f aca="false">IF($B1478="","",--(AND(F1478&lt;&gt;"",F1478&lt;=8))+--(AND(G1478&lt;&gt;"",G1478&lt;=8))+--(AND(H1478&lt;&gt;"",H1478&lt;=8))+--(AND(I1478&lt;&gt;"",I1478&lt;=8))+--(AND(J1478&lt;&gt;"",J1478&lt;=8))+--(AND(K1478&lt;&gt;"",K1478&lt;=8))+--(AND(L1478&lt;&gt;"",L1478&lt;=8))+--(AND(M1478&lt;&gt;"",M1478&lt;=8))+--(AND(N1478&lt;&gt;"",N1478&lt;=8))+--(AND(O1478&lt;&gt;"",O1478&lt;=8)))</f>
        <v/>
      </c>
    </row>
    <row r="1479" customFormat="false" ht="15" hidden="false" customHeight="false" outlineLevel="0" collapsed="false">
      <c r="AZ1479" s="5" t="str">
        <f aca="false">IF($B1479="","",SUMPRODUCT(($AL1479:$AO1479&lt;&gt;"")*(COUNTIF($AP1479:$AX1479,$AL1479:$AO1479)&gt;0)))</f>
        <v/>
      </c>
      <c r="BA1479" s="5" t="str">
        <f aca="false">IF($B1479="","",IF(AZ1479&gt;0,1,0))</f>
        <v/>
      </c>
      <c r="BB1479" s="5" t="str">
        <f aca="false">IF($AP1479="","",IF((($AP1479="Engineering and Technology")+($AP1479="Science and Mathematics")+($AP1479="Computer Science, IT and Allied Fields")+($AP1479="Life Sciences /Medicine and Healthcare")+($AP1479="Paramedical")+($AP1479="Architecture")+($AP1479="Environmental Service")+($AP1479="Agriculture, Food Industry and Forestry"))&gt;0,"Science",IF((($AP1479="Banking and Finance")+($AP1479="Management and Administration")+($AP1479="Marketing")+($AP1479="Sales")+($AP1479="Entrepreneurship")+($AP1479="Hospitality and Tourism"))&gt;0,"Commerce",IF((($AP1479="Social Sciences and Humanities")+($AP1479="Law Studies")+($AP1479="Education and Training")+($AP1479="Art, Design")+($AP1479="Entertainment and Mass Media")+($AP1479="Community and Social Service")+($AP1479="Personal Care and Services")+($AP1479="Government and Public Administration")+($AP1479="Defence/ Protective Service")+($AP1479="Sports"))&gt;0,"Arts / Humanities",""))))</f>
        <v/>
      </c>
      <c r="BC1479" s="5" t="str">
        <f aca="false">IF($AL1479="","",IF((($AL1479="Engineering and Technology")+($AL1479="Science and Mathematics")+($AL1479="Computer Science, IT and Allied Fields")+($AL1479="Life Sciences /Medicine and Healthcare")+($AL1479="Paramedical")+($AL1479="Architecture")+($AL1479="Environmental Service")+($AL1479="Agriculture, Food Industry and Forestry"))&gt;0,"Science",IF((($AL1479="Banking and Finance")+($AL1479="Management and Administration")+($AL1479="Marketing")+($AL1479="Sales")+($AL1479="Entrepreneurship")+($AL1479="Hospitality and Tourism"))&gt;0,"Commerce",IF((($AL1479="Social Sciences and Humanities")+($AL1479="Law Studies")+($AL1479="Education and Training")+($AL1479="Art, Design")+($AL1479="Entertainment and Mass Media")+($AL1479="Community and Social Service")+($AL1479="Personal Care and Services")+($AL1479="Government and Public Administration")+($AL1479="Defence/ Protective Service")+($AL1479="Sports"))&gt;0,"Arts / Humanities",""))))</f>
        <v/>
      </c>
      <c r="BD1479" s="5" t="str">
        <f aca="false">IF($B1479="","",--(F1479&gt;=10)+--(G1479&gt;=10)+--(H1479&gt;=10)+--(I1479&gt;=10)+--(J1479&gt;=10)+--(K1479&gt;=10)+--(L1479&gt;=10)+--(M1479&gt;=10)+--(N1479&gt;=10)+--(O1479&gt;=10))</f>
        <v/>
      </c>
      <c r="BE1479" s="5" t="str">
        <f aca="false">IF($B1479="","",--(AND(F1479&lt;&gt;"",F1479&lt;=8))+--(AND(G1479&lt;&gt;"",G1479&lt;=8))+--(AND(H1479&lt;&gt;"",H1479&lt;=8))+--(AND(I1479&lt;&gt;"",I1479&lt;=8))+--(AND(J1479&lt;&gt;"",J1479&lt;=8))+--(AND(K1479&lt;&gt;"",K1479&lt;=8))+--(AND(L1479&lt;&gt;"",L1479&lt;=8))+--(AND(M1479&lt;&gt;"",M1479&lt;=8))+--(AND(N1479&lt;&gt;"",N1479&lt;=8))+--(AND(O1479&lt;&gt;"",O1479&lt;=8)))</f>
        <v/>
      </c>
    </row>
    <row r="1480" customFormat="false" ht="15" hidden="false" customHeight="false" outlineLevel="0" collapsed="false">
      <c r="AZ1480" s="5" t="str">
        <f aca="false">IF($B1480="","",SUMPRODUCT(($AL1480:$AO1480&lt;&gt;"")*(COUNTIF($AP1480:$AX1480,$AL1480:$AO1480)&gt;0)))</f>
        <v/>
      </c>
      <c r="BA1480" s="5" t="str">
        <f aca="false">IF($B1480="","",IF(AZ1480&gt;0,1,0))</f>
        <v/>
      </c>
      <c r="BB1480" s="5" t="str">
        <f aca="false">IF($AP1480="","",IF((($AP1480="Engineering and Technology")+($AP1480="Science and Mathematics")+($AP1480="Computer Science, IT and Allied Fields")+($AP1480="Life Sciences /Medicine and Healthcare")+($AP1480="Paramedical")+($AP1480="Architecture")+($AP1480="Environmental Service")+($AP1480="Agriculture, Food Industry and Forestry"))&gt;0,"Science",IF((($AP1480="Banking and Finance")+($AP1480="Management and Administration")+($AP1480="Marketing")+($AP1480="Sales")+($AP1480="Entrepreneurship")+($AP1480="Hospitality and Tourism"))&gt;0,"Commerce",IF((($AP1480="Social Sciences and Humanities")+($AP1480="Law Studies")+($AP1480="Education and Training")+($AP1480="Art, Design")+($AP1480="Entertainment and Mass Media")+($AP1480="Community and Social Service")+($AP1480="Personal Care and Services")+($AP1480="Government and Public Administration")+($AP1480="Defence/ Protective Service")+($AP1480="Sports"))&gt;0,"Arts / Humanities",""))))</f>
        <v/>
      </c>
      <c r="BC1480" s="5" t="str">
        <f aca="false">IF($AL1480="","",IF((($AL1480="Engineering and Technology")+($AL1480="Science and Mathematics")+($AL1480="Computer Science, IT and Allied Fields")+($AL1480="Life Sciences /Medicine and Healthcare")+($AL1480="Paramedical")+($AL1480="Architecture")+($AL1480="Environmental Service")+($AL1480="Agriculture, Food Industry and Forestry"))&gt;0,"Science",IF((($AL1480="Banking and Finance")+($AL1480="Management and Administration")+($AL1480="Marketing")+($AL1480="Sales")+($AL1480="Entrepreneurship")+($AL1480="Hospitality and Tourism"))&gt;0,"Commerce",IF((($AL1480="Social Sciences and Humanities")+($AL1480="Law Studies")+($AL1480="Education and Training")+($AL1480="Art, Design")+($AL1480="Entertainment and Mass Media")+($AL1480="Community and Social Service")+($AL1480="Personal Care and Services")+($AL1480="Government and Public Administration")+($AL1480="Defence/ Protective Service")+($AL1480="Sports"))&gt;0,"Arts / Humanities",""))))</f>
        <v/>
      </c>
      <c r="BD1480" s="5" t="str">
        <f aca="false">IF($B1480="","",--(F1480&gt;=10)+--(G1480&gt;=10)+--(H1480&gt;=10)+--(I1480&gt;=10)+--(J1480&gt;=10)+--(K1480&gt;=10)+--(L1480&gt;=10)+--(M1480&gt;=10)+--(N1480&gt;=10)+--(O1480&gt;=10))</f>
        <v/>
      </c>
      <c r="BE1480" s="5" t="str">
        <f aca="false">IF($B1480="","",--(AND(F1480&lt;&gt;"",F1480&lt;=8))+--(AND(G1480&lt;&gt;"",G1480&lt;=8))+--(AND(H1480&lt;&gt;"",H1480&lt;=8))+--(AND(I1480&lt;&gt;"",I1480&lt;=8))+--(AND(J1480&lt;&gt;"",J1480&lt;=8))+--(AND(K1480&lt;&gt;"",K1480&lt;=8))+--(AND(L1480&lt;&gt;"",L1480&lt;=8))+--(AND(M1480&lt;&gt;"",M1480&lt;=8))+--(AND(N1480&lt;&gt;"",N1480&lt;=8))+--(AND(O1480&lt;&gt;"",O1480&lt;=8)))</f>
        <v/>
      </c>
    </row>
    <row r="1481" customFormat="false" ht="15" hidden="false" customHeight="false" outlineLevel="0" collapsed="false">
      <c r="AZ1481" s="5" t="str">
        <f aca="false">IF($B1481="","",SUMPRODUCT(($AL1481:$AO1481&lt;&gt;"")*(COUNTIF($AP1481:$AX1481,$AL1481:$AO1481)&gt;0)))</f>
        <v/>
      </c>
      <c r="BA1481" s="5" t="str">
        <f aca="false">IF($B1481="","",IF(AZ1481&gt;0,1,0))</f>
        <v/>
      </c>
      <c r="BB1481" s="5" t="str">
        <f aca="false">IF($AP1481="","",IF((($AP1481="Engineering and Technology")+($AP1481="Science and Mathematics")+($AP1481="Computer Science, IT and Allied Fields")+($AP1481="Life Sciences /Medicine and Healthcare")+($AP1481="Paramedical")+($AP1481="Architecture")+($AP1481="Environmental Service")+($AP1481="Agriculture, Food Industry and Forestry"))&gt;0,"Science",IF((($AP1481="Banking and Finance")+($AP1481="Management and Administration")+($AP1481="Marketing")+($AP1481="Sales")+($AP1481="Entrepreneurship")+($AP1481="Hospitality and Tourism"))&gt;0,"Commerce",IF((($AP1481="Social Sciences and Humanities")+($AP1481="Law Studies")+($AP1481="Education and Training")+($AP1481="Art, Design")+($AP1481="Entertainment and Mass Media")+($AP1481="Community and Social Service")+($AP1481="Personal Care and Services")+($AP1481="Government and Public Administration")+($AP1481="Defence/ Protective Service")+($AP1481="Sports"))&gt;0,"Arts / Humanities",""))))</f>
        <v/>
      </c>
      <c r="BC1481" s="5" t="str">
        <f aca="false">IF($AL1481="","",IF((($AL1481="Engineering and Technology")+($AL1481="Science and Mathematics")+($AL1481="Computer Science, IT and Allied Fields")+($AL1481="Life Sciences /Medicine and Healthcare")+($AL1481="Paramedical")+($AL1481="Architecture")+($AL1481="Environmental Service")+($AL1481="Agriculture, Food Industry and Forestry"))&gt;0,"Science",IF((($AL1481="Banking and Finance")+($AL1481="Management and Administration")+($AL1481="Marketing")+($AL1481="Sales")+($AL1481="Entrepreneurship")+($AL1481="Hospitality and Tourism"))&gt;0,"Commerce",IF((($AL1481="Social Sciences and Humanities")+($AL1481="Law Studies")+($AL1481="Education and Training")+($AL1481="Art, Design")+($AL1481="Entertainment and Mass Media")+($AL1481="Community and Social Service")+($AL1481="Personal Care and Services")+($AL1481="Government and Public Administration")+($AL1481="Defence/ Protective Service")+($AL1481="Sports"))&gt;0,"Arts / Humanities",""))))</f>
        <v/>
      </c>
      <c r="BD1481" s="5" t="str">
        <f aca="false">IF($B1481="","",--(F1481&gt;=10)+--(G1481&gt;=10)+--(H1481&gt;=10)+--(I1481&gt;=10)+--(J1481&gt;=10)+--(K1481&gt;=10)+--(L1481&gt;=10)+--(M1481&gt;=10)+--(N1481&gt;=10)+--(O1481&gt;=10))</f>
        <v/>
      </c>
      <c r="BE1481" s="5" t="str">
        <f aca="false">IF($B1481="","",--(AND(F1481&lt;&gt;"",F1481&lt;=8))+--(AND(G1481&lt;&gt;"",G1481&lt;=8))+--(AND(H1481&lt;&gt;"",H1481&lt;=8))+--(AND(I1481&lt;&gt;"",I1481&lt;=8))+--(AND(J1481&lt;&gt;"",J1481&lt;=8))+--(AND(K1481&lt;&gt;"",K1481&lt;=8))+--(AND(L1481&lt;&gt;"",L1481&lt;=8))+--(AND(M1481&lt;&gt;"",M1481&lt;=8))+--(AND(N1481&lt;&gt;"",N1481&lt;=8))+--(AND(O1481&lt;&gt;"",O1481&lt;=8)))</f>
        <v/>
      </c>
    </row>
    <row r="1482" customFormat="false" ht="15" hidden="false" customHeight="false" outlineLevel="0" collapsed="false">
      <c r="AZ1482" s="5" t="str">
        <f aca="false">IF($B1482="","",SUMPRODUCT(($AL1482:$AO1482&lt;&gt;"")*(COUNTIF($AP1482:$AX1482,$AL1482:$AO1482)&gt;0)))</f>
        <v/>
      </c>
      <c r="BA1482" s="5" t="str">
        <f aca="false">IF($B1482="","",IF(AZ1482&gt;0,1,0))</f>
        <v/>
      </c>
      <c r="BB1482" s="5" t="str">
        <f aca="false">IF($AP1482="","",IF((($AP1482="Engineering and Technology")+($AP1482="Science and Mathematics")+($AP1482="Computer Science, IT and Allied Fields")+($AP1482="Life Sciences /Medicine and Healthcare")+($AP1482="Paramedical")+($AP1482="Architecture")+($AP1482="Environmental Service")+($AP1482="Agriculture, Food Industry and Forestry"))&gt;0,"Science",IF((($AP1482="Banking and Finance")+($AP1482="Management and Administration")+($AP1482="Marketing")+($AP1482="Sales")+($AP1482="Entrepreneurship")+($AP1482="Hospitality and Tourism"))&gt;0,"Commerce",IF((($AP1482="Social Sciences and Humanities")+($AP1482="Law Studies")+($AP1482="Education and Training")+($AP1482="Art, Design")+($AP1482="Entertainment and Mass Media")+($AP1482="Community and Social Service")+($AP1482="Personal Care and Services")+($AP1482="Government and Public Administration")+($AP1482="Defence/ Protective Service")+($AP1482="Sports"))&gt;0,"Arts / Humanities",""))))</f>
        <v/>
      </c>
      <c r="BC1482" s="5" t="str">
        <f aca="false">IF($AL1482="","",IF((($AL1482="Engineering and Technology")+($AL1482="Science and Mathematics")+($AL1482="Computer Science, IT and Allied Fields")+($AL1482="Life Sciences /Medicine and Healthcare")+($AL1482="Paramedical")+($AL1482="Architecture")+($AL1482="Environmental Service")+($AL1482="Agriculture, Food Industry and Forestry"))&gt;0,"Science",IF((($AL1482="Banking and Finance")+($AL1482="Management and Administration")+($AL1482="Marketing")+($AL1482="Sales")+($AL1482="Entrepreneurship")+($AL1482="Hospitality and Tourism"))&gt;0,"Commerce",IF((($AL1482="Social Sciences and Humanities")+($AL1482="Law Studies")+($AL1482="Education and Training")+($AL1482="Art, Design")+($AL1482="Entertainment and Mass Media")+($AL1482="Community and Social Service")+($AL1482="Personal Care and Services")+($AL1482="Government and Public Administration")+($AL1482="Defence/ Protective Service")+($AL1482="Sports"))&gt;0,"Arts / Humanities",""))))</f>
        <v/>
      </c>
      <c r="BD1482" s="5" t="str">
        <f aca="false">IF($B1482="","",--(F1482&gt;=10)+--(G1482&gt;=10)+--(H1482&gt;=10)+--(I1482&gt;=10)+--(J1482&gt;=10)+--(K1482&gt;=10)+--(L1482&gt;=10)+--(M1482&gt;=10)+--(N1482&gt;=10)+--(O1482&gt;=10))</f>
        <v/>
      </c>
      <c r="BE1482" s="5" t="str">
        <f aca="false">IF($B1482="","",--(AND(F1482&lt;&gt;"",F1482&lt;=8))+--(AND(G1482&lt;&gt;"",G1482&lt;=8))+--(AND(H1482&lt;&gt;"",H1482&lt;=8))+--(AND(I1482&lt;&gt;"",I1482&lt;=8))+--(AND(J1482&lt;&gt;"",J1482&lt;=8))+--(AND(K1482&lt;&gt;"",K1482&lt;=8))+--(AND(L1482&lt;&gt;"",L1482&lt;=8))+--(AND(M1482&lt;&gt;"",M1482&lt;=8))+--(AND(N1482&lt;&gt;"",N1482&lt;=8))+--(AND(O1482&lt;&gt;"",O1482&lt;=8)))</f>
        <v/>
      </c>
    </row>
    <row r="1483" customFormat="false" ht="15" hidden="false" customHeight="false" outlineLevel="0" collapsed="false">
      <c r="AZ1483" s="5" t="str">
        <f aca="false">IF($B1483="","",SUMPRODUCT(($AL1483:$AO1483&lt;&gt;"")*(COUNTIF($AP1483:$AX1483,$AL1483:$AO1483)&gt;0)))</f>
        <v/>
      </c>
      <c r="BA1483" s="5" t="str">
        <f aca="false">IF($B1483="","",IF(AZ1483&gt;0,1,0))</f>
        <v/>
      </c>
      <c r="BB1483" s="5" t="str">
        <f aca="false">IF($AP1483="","",IF((($AP1483="Engineering and Technology")+($AP1483="Science and Mathematics")+($AP1483="Computer Science, IT and Allied Fields")+($AP1483="Life Sciences /Medicine and Healthcare")+($AP1483="Paramedical")+($AP1483="Architecture")+($AP1483="Environmental Service")+($AP1483="Agriculture, Food Industry and Forestry"))&gt;0,"Science",IF((($AP1483="Banking and Finance")+($AP1483="Management and Administration")+($AP1483="Marketing")+($AP1483="Sales")+($AP1483="Entrepreneurship")+($AP1483="Hospitality and Tourism"))&gt;0,"Commerce",IF((($AP1483="Social Sciences and Humanities")+($AP1483="Law Studies")+($AP1483="Education and Training")+($AP1483="Art, Design")+($AP1483="Entertainment and Mass Media")+($AP1483="Community and Social Service")+($AP1483="Personal Care and Services")+($AP1483="Government and Public Administration")+($AP1483="Defence/ Protective Service")+($AP1483="Sports"))&gt;0,"Arts / Humanities",""))))</f>
        <v/>
      </c>
      <c r="BC1483" s="5" t="str">
        <f aca="false">IF($AL1483="","",IF((($AL1483="Engineering and Technology")+($AL1483="Science and Mathematics")+($AL1483="Computer Science, IT and Allied Fields")+($AL1483="Life Sciences /Medicine and Healthcare")+($AL1483="Paramedical")+($AL1483="Architecture")+($AL1483="Environmental Service")+($AL1483="Agriculture, Food Industry and Forestry"))&gt;0,"Science",IF((($AL1483="Banking and Finance")+($AL1483="Management and Administration")+($AL1483="Marketing")+($AL1483="Sales")+($AL1483="Entrepreneurship")+($AL1483="Hospitality and Tourism"))&gt;0,"Commerce",IF((($AL1483="Social Sciences and Humanities")+($AL1483="Law Studies")+($AL1483="Education and Training")+($AL1483="Art, Design")+($AL1483="Entertainment and Mass Media")+($AL1483="Community and Social Service")+($AL1483="Personal Care and Services")+($AL1483="Government and Public Administration")+($AL1483="Defence/ Protective Service")+($AL1483="Sports"))&gt;0,"Arts / Humanities",""))))</f>
        <v/>
      </c>
      <c r="BD1483" s="5" t="str">
        <f aca="false">IF($B1483="","",--(F1483&gt;=10)+--(G1483&gt;=10)+--(H1483&gt;=10)+--(I1483&gt;=10)+--(J1483&gt;=10)+--(K1483&gt;=10)+--(L1483&gt;=10)+--(M1483&gt;=10)+--(N1483&gt;=10)+--(O1483&gt;=10))</f>
        <v/>
      </c>
      <c r="BE1483" s="5" t="str">
        <f aca="false">IF($B1483="","",--(AND(F1483&lt;&gt;"",F1483&lt;=8))+--(AND(G1483&lt;&gt;"",G1483&lt;=8))+--(AND(H1483&lt;&gt;"",H1483&lt;=8))+--(AND(I1483&lt;&gt;"",I1483&lt;=8))+--(AND(J1483&lt;&gt;"",J1483&lt;=8))+--(AND(K1483&lt;&gt;"",K1483&lt;=8))+--(AND(L1483&lt;&gt;"",L1483&lt;=8))+--(AND(M1483&lt;&gt;"",M1483&lt;=8))+--(AND(N1483&lt;&gt;"",N1483&lt;=8))+--(AND(O1483&lt;&gt;"",O1483&lt;=8)))</f>
        <v/>
      </c>
    </row>
    <row r="1484" customFormat="false" ht="15" hidden="false" customHeight="false" outlineLevel="0" collapsed="false">
      <c r="AZ1484" s="5" t="str">
        <f aca="false">IF($B1484="","",SUMPRODUCT(($AL1484:$AO1484&lt;&gt;"")*(COUNTIF($AP1484:$AX1484,$AL1484:$AO1484)&gt;0)))</f>
        <v/>
      </c>
      <c r="BA1484" s="5" t="str">
        <f aca="false">IF($B1484="","",IF(AZ1484&gt;0,1,0))</f>
        <v/>
      </c>
      <c r="BB1484" s="5" t="str">
        <f aca="false">IF($AP1484="","",IF((($AP1484="Engineering and Technology")+($AP1484="Science and Mathematics")+($AP1484="Computer Science, IT and Allied Fields")+($AP1484="Life Sciences /Medicine and Healthcare")+($AP1484="Paramedical")+($AP1484="Architecture")+($AP1484="Environmental Service")+($AP1484="Agriculture, Food Industry and Forestry"))&gt;0,"Science",IF((($AP1484="Banking and Finance")+($AP1484="Management and Administration")+($AP1484="Marketing")+($AP1484="Sales")+($AP1484="Entrepreneurship")+($AP1484="Hospitality and Tourism"))&gt;0,"Commerce",IF((($AP1484="Social Sciences and Humanities")+($AP1484="Law Studies")+($AP1484="Education and Training")+($AP1484="Art, Design")+($AP1484="Entertainment and Mass Media")+($AP1484="Community and Social Service")+($AP1484="Personal Care and Services")+($AP1484="Government and Public Administration")+($AP1484="Defence/ Protective Service")+($AP1484="Sports"))&gt;0,"Arts / Humanities",""))))</f>
        <v/>
      </c>
      <c r="BC1484" s="5" t="str">
        <f aca="false">IF($AL1484="","",IF((($AL1484="Engineering and Technology")+($AL1484="Science and Mathematics")+($AL1484="Computer Science, IT and Allied Fields")+($AL1484="Life Sciences /Medicine and Healthcare")+($AL1484="Paramedical")+($AL1484="Architecture")+($AL1484="Environmental Service")+($AL1484="Agriculture, Food Industry and Forestry"))&gt;0,"Science",IF((($AL1484="Banking and Finance")+($AL1484="Management and Administration")+($AL1484="Marketing")+($AL1484="Sales")+($AL1484="Entrepreneurship")+($AL1484="Hospitality and Tourism"))&gt;0,"Commerce",IF((($AL1484="Social Sciences and Humanities")+($AL1484="Law Studies")+($AL1484="Education and Training")+($AL1484="Art, Design")+($AL1484="Entertainment and Mass Media")+($AL1484="Community and Social Service")+($AL1484="Personal Care and Services")+($AL1484="Government and Public Administration")+($AL1484="Defence/ Protective Service")+($AL1484="Sports"))&gt;0,"Arts / Humanities",""))))</f>
        <v/>
      </c>
      <c r="BD1484" s="5" t="str">
        <f aca="false">IF($B1484="","",--(F1484&gt;=10)+--(G1484&gt;=10)+--(H1484&gt;=10)+--(I1484&gt;=10)+--(J1484&gt;=10)+--(K1484&gt;=10)+--(L1484&gt;=10)+--(M1484&gt;=10)+--(N1484&gt;=10)+--(O1484&gt;=10))</f>
        <v/>
      </c>
      <c r="BE1484" s="5" t="str">
        <f aca="false">IF($B1484="","",--(AND(F1484&lt;&gt;"",F1484&lt;=8))+--(AND(G1484&lt;&gt;"",G1484&lt;=8))+--(AND(H1484&lt;&gt;"",H1484&lt;=8))+--(AND(I1484&lt;&gt;"",I1484&lt;=8))+--(AND(J1484&lt;&gt;"",J1484&lt;=8))+--(AND(K1484&lt;&gt;"",K1484&lt;=8))+--(AND(L1484&lt;&gt;"",L1484&lt;=8))+--(AND(M1484&lt;&gt;"",M1484&lt;=8))+--(AND(N1484&lt;&gt;"",N1484&lt;=8))+--(AND(O1484&lt;&gt;"",O1484&lt;=8)))</f>
        <v/>
      </c>
    </row>
    <row r="1485" customFormat="false" ht="15" hidden="false" customHeight="false" outlineLevel="0" collapsed="false">
      <c r="AZ1485" s="5" t="str">
        <f aca="false">IF($B1485="","",SUMPRODUCT(($AL1485:$AO1485&lt;&gt;"")*(COUNTIF($AP1485:$AX1485,$AL1485:$AO1485)&gt;0)))</f>
        <v/>
      </c>
      <c r="BA1485" s="5" t="str">
        <f aca="false">IF($B1485="","",IF(AZ1485&gt;0,1,0))</f>
        <v/>
      </c>
      <c r="BB1485" s="5" t="str">
        <f aca="false">IF($AP1485="","",IF((($AP1485="Engineering and Technology")+($AP1485="Science and Mathematics")+($AP1485="Computer Science, IT and Allied Fields")+($AP1485="Life Sciences /Medicine and Healthcare")+($AP1485="Paramedical")+($AP1485="Architecture")+($AP1485="Environmental Service")+($AP1485="Agriculture, Food Industry and Forestry"))&gt;0,"Science",IF((($AP1485="Banking and Finance")+($AP1485="Management and Administration")+($AP1485="Marketing")+($AP1485="Sales")+($AP1485="Entrepreneurship")+($AP1485="Hospitality and Tourism"))&gt;0,"Commerce",IF((($AP1485="Social Sciences and Humanities")+($AP1485="Law Studies")+($AP1485="Education and Training")+($AP1485="Art, Design")+($AP1485="Entertainment and Mass Media")+($AP1485="Community and Social Service")+($AP1485="Personal Care and Services")+($AP1485="Government and Public Administration")+($AP1485="Defence/ Protective Service")+($AP1485="Sports"))&gt;0,"Arts / Humanities",""))))</f>
        <v/>
      </c>
      <c r="BC1485" s="5" t="str">
        <f aca="false">IF($AL1485="","",IF((($AL1485="Engineering and Technology")+($AL1485="Science and Mathematics")+($AL1485="Computer Science, IT and Allied Fields")+($AL1485="Life Sciences /Medicine and Healthcare")+($AL1485="Paramedical")+($AL1485="Architecture")+($AL1485="Environmental Service")+($AL1485="Agriculture, Food Industry and Forestry"))&gt;0,"Science",IF((($AL1485="Banking and Finance")+($AL1485="Management and Administration")+($AL1485="Marketing")+($AL1485="Sales")+($AL1485="Entrepreneurship")+($AL1485="Hospitality and Tourism"))&gt;0,"Commerce",IF((($AL1485="Social Sciences and Humanities")+($AL1485="Law Studies")+($AL1485="Education and Training")+($AL1485="Art, Design")+($AL1485="Entertainment and Mass Media")+($AL1485="Community and Social Service")+($AL1485="Personal Care and Services")+($AL1485="Government and Public Administration")+($AL1485="Defence/ Protective Service")+($AL1485="Sports"))&gt;0,"Arts / Humanities",""))))</f>
        <v/>
      </c>
      <c r="BD1485" s="5" t="str">
        <f aca="false">IF($B1485="","",--(F1485&gt;=10)+--(G1485&gt;=10)+--(H1485&gt;=10)+--(I1485&gt;=10)+--(J1485&gt;=10)+--(K1485&gt;=10)+--(L1485&gt;=10)+--(M1485&gt;=10)+--(N1485&gt;=10)+--(O1485&gt;=10))</f>
        <v/>
      </c>
      <c r="BE1485" s="5" t="str">
        <f aca="false">IF($B1485="","",--(AND(F1485&lt;&gt;"",F1485&lt;=8))+--(AND(G1485&lt;&gt;"",G1485&lt;=8))+--(AND(H1485&lt;&gt;"",H1485&lt;=8))+--(AND(I1485&lt;&gt;"",I1485&lt;=8))+--(AND(J1485&lt;&gt;"",J1485&lt;=8))+--(AND(K1485&lt;&gt;"",K1485&lt;=8))+--(AND(L1485&lt;&gt;"",L1485&lt;=8))+--(AND(M1485&lt;&gt;"",M1485&lt;=8))+--(AND(N1485&lt;&gt;"",N1485&lt;=8))+--(AND(O1485&lt;&gt;"",O1485&lt;=8)))</f>
        <v/>
      </c>
    </row>
    <row r="1486" customFormat="false" ht="15" hidden="false" customHeight="false" outlineLevel="0" collapsed="false">
      <c r="AZ1486" s="5" t="str">
        <f aca="false">IF($B1486="","",SUMPRODUCT(($AL1486:$AO1486&lt;&gt;"")*(COUNTIF($AP1486:$AX1486,$AL1486:$AO1486)&gt;0)))</f>
        <v/>
      </c>
      <c r="BA1486" s="5" t="str">
        <f aca="false">IF($B1486="","",IF(AZ1486&gt;0,1,0))</f>
        <v/>
      </c>
      <c r="BB1486" s="5" t="str">
        <f aca="false">IF($AP1486="","",IF((($AP1486="Engineering and Technology")+($AP1486="Science and Mathematics")+($AP1486="Computer Science, IT and Allied Fields")+($AP1486="Life Sciences /Medicine and Healthcare")+($AP1486="Paramedical")+($AP1486="Architecture")+($AP1486="Environmental Service")+($AP1486="Agriculture, Food Industry and Forestry"))&gt;0,"Science",IF((($AP1486="Banking and Finance")+($AP1486="Management and Administration")+($AP1486="Marketing")+($AP1486="Sales")+($AP1486="Entrepreneurship")+($AP1486="Hospitality and Tourism"))&gt;0,"Commerce",IF((($AP1486="Social Sciences and Humanities")+($AP1486="Law Studies")+($AP1486="Education and Training")+($AP1486="Art, Design")+($AP1486="Entertainment and Mass Media")+($AP1486="Community and Social Service")+($AP1486="Personal Care and Services")+($AP1486="Government and Public Administration")+($AP1486="Defence/ Protective Service")+($AP1486="Sports"))&gt;0,"Arts / Humanities",""))))</f>
        <v/>
      </c>
      <c r="BC1486" s="5" t="str">
        <f aca="false">IF($AL1486="","",IF((($AL1486="Engineering and Technology")+($AL1486="Science and Mathematics")+($AL1486="Computer Science, IT and Allied Fields")+($AL1486="Life Sciences /Medicine and Healthcare")+($AL1486="Paramedical")+($AL1486="Architecture")+($AL1486="Environmental Service")+($AL1486="Agriculture, Food Industry and Forestry"))&gt;0,"Science",IF((($AL1486="Banking and Finance")+($AL1486="Management and Administration")+($AL1486="Marketing")+($AL1486="Sales")+($AL1486="Entrepreneurship")+($AL1486="Hospitality and Tourism"))&gt;0,"Commerce",IF((($AL1486="Social Sciences and Humanities")+($AL1486="Law Studies")+($AL1486="Education and Training")+($AL1486="Art, Design")+($AL1486="Entertainment and Mass Media")+($AL1486="Community and Social Service")+($AL1486="Personal Care and Services")+($AL1486="Government and Public Administration")+($AL1486="Defence/ Protective Service")+($AL1486="Sports"))&gt;0,"Arts / Humanities",""))))</f>
        <v/>
      </c>
      <c r="BD1486" s="5" t="str">
        <f aca="false">IF($B1486="","",--(F1486&gt;=10)+--(G1486&gt;=10)+--(H1486&gt;=10)+--(I1486&gt;=10)+--(J1486&gt;=10)+--(K1486&gt;=10)+--(L1486&gt;=10)+--(M1486&gt;=10)+--(N1486&gt;=10)+--(O1486&gt;=10))</f>
        <v/>
      </c>
      <c r="BE1486" s="5" t="str">
        <f aca="false">IF($B1486="","",--(AND(F1486&lt;&gt;"",F1486&lt;=8))+--(AND(G1486&lt;&gt;"",G1486&lt;=8))+--(AND(H1486&lt;&gt;"",H1486&lt;=8))+--(AND(I1486&lt;&gt;"",I1486&lt;=8))+--(AND(J1486&lt;&gt;"",J1486&lt;=8))+--(AND(K1486&lt;&gt;"",K1486&lt;=8))+--(AND(L1486&lt;&gt;"",L1486&lt;=8))+--(AND(M1486&lt;&gt;"",M1486&lt;=8))+--(AND(N1486&lt;&gt;"",N1486&lt;=8))+--(AND(O1486&lt;&gt;"",O1486&lt;=8)))</f>
        <v/>
      </c>
    </row>
    <row r="1487" customFormat="false" ht="15" hidden="false" customHeight="false" outlineLevel="0" collapsed="false">
      <c r="AZ1487" s="5" t="str">
        <f aca="false">IF($B1487="","",SUMPRODUCT(($AL1487:$AO1487&lt;&gt;"")*(COUNTIF($AP1487:$AX1487,$AL1487:$AO1487)&gt;0)))</f>
        <v/>
      </c>
      <c r="BA1487" s="5" t="str">
        <f aca="false">IF($B1487="","",IF(AZ1487&gt;0,1,0))</f>
        <v/>
      </c>
      <c r="BB1487" s="5" t="str">
        <f aca="false">IF($AP1487="","",IF((($AP1487="Engineering and Technology")+($AP1487="Science and Mathematics")+($AP1487="Computer Science, IT and Allied Fields")+($AP1487="Life Sciences /Medicine and Healthcare")+($AP1487="Paramedical")+($AP1487="Architecture")+($AP1487="Environmental Service")+($AP1487="Agriculture, Food Industry and Forestry"))&gt;0,"Science",IF((($AP1487="Banking and Finance")+($AP1487="Management and Administration")+($AP1487="Marketing")+($AP1487="Sales")+($AP1487="Entrepreneurship")+($AP1487="Hospitality and Tourism"))&gt;0,"Commerce",IF((($AP1487="Social Sciences and Humanities")+($AP1487="Law Studies")+($AP1487="Education and Training")+($AP1487="Art, Design")+($AP1487="Entertainment and Mass Media")+($AP1487="Community and Social Service")+($AP1487="Personal Care and Services")+($AP1487="Government and Public Administration")+($AP1487="Defence/ Protective Service")+($AP1487="Sports"))&gt;0,"Arts / Humanities",""))))</f>
        <v/>
      </c>
      <c r="BC1487" s="5" t="str">
        <f aca="false">IF($AL1487="","",IF((($AL1487="Engineering and Technology")+($AL1487="Science and Mathematics")+($AL1487="Computer Science, IT and Allied Fields")+($AL1487="Life Sciences /Medicine and Healthcare")+($AL1487="Paramedical")+($AL1487="Architecture")+($AL1487="Environmental Service")+($AL1487="Agriculture, Food Industry and Forestry"))&gt;0,"Science",IF((($AL1487="Banking and Finance")+($AL1487="Management and Administration")+($AL1487="Marketing")+($AL1487="Sales")+($AL1487="Entrepreneurship")+($AL1487="Hospitality and Tourism"))&gt;0,"Commerce",IF((($AL1487="Social Sciences and Humanities")+($AL1487="Law Studies")+($AL1487="Education and Training")+($AL1487="Art, Design")+($AL1487="Entertainment and Mass Media")+($AL1487="Community and Social Service")+($AL1487="Personal Care and Services")+($AL1487="Government and Public Administration")+($AL1487="Defence/ Protective Service")+($AL1487="Sports"))&gt;0,"Arts / Humanities",""))))</f>
        <v/>
      </c>
      <c r="BD1487" s="5" t="str">
        <f aca="false">IF($B1487="","",--(F1487&gt;=10)+--(G1487&gt;=10)+--(H1487&gt;=10)+--(I1487&gt;=10)+--(J1487&gt;=10)+--(K1487&gt;=10)+--(L1487&gt;=10)+--(M1487&gt;=10)+--(N1487&gt;=10)+--(O1487&gt;=10))</f>
        <v/>
      </c>
      <c r="BE1487" s="5" t="str">
        <f aca="false">IF($B1487="","",--(AND(F1487&lt;&gt;"",F1487&lt;=8))+--(AND(G1487&lt;&gt;"",G1487&lt;=8))+--(AND(H1487&lt;&gt;"",H1487&lt;=8))+--(AND(I1487&lt;&gt;"",I1487&lt;=8))+--(AND(J1487&lt;&gt;"",J1487&lt;=8))+--(AND(K1487&lt;&gt;"",K1487&lt;=8))+--(AND(L1487&lt;&gt;"",L1487&lt;=8))+--(AND(M1487&lt;&gt;"",M1487&lt;=8))+--(AND(N1487&lt;&gt;"",N1487&lt;=8))+--(AND(O1487&lt;&gt;"",O1487&lt;=8)))</f>
        <v/>
      </c>
    </row>
    <row r="1488" customFormat="false" ht="15" hidden="false" customHeight="false" outlineLevel="0" collapsed="false">
      <c r="AZ1488" s="5" t="str">
        <f aca="false">IF($B1488="","",SUMPRODUCT(($AL1488:$AO1488&lt;&gt;"")*(COUNTIF($AP1488:$AX1488,$AL1488:$AO1488)&gt;0)))</f>
        <v/>
      </c>
      <c r="BA1488" s="5" t="str">
        <f aca="false">IF($B1488="","",IF(AZ1488&gt;0,1,0))</f>
        <v/>
      </c>
      <c r="BB1488" s="5" t="str">
        <f aca="false">IF($AP1488="","",IF((($AP1488="Engineering and Technology")+($AP1488="Science and Mathematics")+($AP1488="Computer Science, IT and Allied Fields")+($AP1488="Life Sciences /Medicine and Healthcare")+($AP1488="Paramedical")+($AP1488="Architecture")+($AP1488="Environmental Service")+($AP1488="Agriculture, Food Industry and Forestry"))&gt;0,"Science",IF((($AP1488="Banking and Finance")+($AP1488="Management and Administration")+($AP1488="Marketing")+($AP1488="Sales")+($AP1488="Entrepreneurship")+($AP1488="Hospitality and Tourism"))&gt;0,"Commerce",IF((($AP1488="Social Sciences and Humanities")+($AP1488="Law Studies")+($AP1488="Education and Training")+($AP1488="Art, Design")+($AP1488="Entertainment and Mass Media")+($AP1488="Community and Social Service")+($AP1488="Personal Care and Services")+($AP1488="Government and Public Administration")+($AP1488="Defence/ Protective Service")+($AP1488="Sports"))&gt;0,"Arts / Humanities",""))))</f>
        <v/>
      </c>
      <c r="BC1488" s="5" t="str">
        <f aca="false">IF($AL1488="","",IF((($AL1488="Engineering and Technology")+($AL1488="Science and Mathematics")+($AL1488="Computer Science, IT and Allied Fields")+($AL1488="Life Sciences /Medicine and Healthcare")+($AL1488="Paramedical")+($AL1488="Architecture")+($AL1488="Environmental Service")+($AL1488="Agriculture, Food Industry and Forestry"))&gt;0,"Science",IF((($AL1488="Banking and Finance")+($AL1488="Management and Administration")+($AL1488="Marketing")+($AL1488="Sales")+($AL1488="Entrepreneurship")+($AL1488="Hospitality and Tourism"))&gt;0,"Commerce",IF((($AL1488="Social Sciences and Humanities")+($AL1488="Law Studies")+($AL1488="Education and Training")+($AL1488="Art, Design")+($AL1488="Entertainment and Mass Media")+($AL1488="Community and Social Service")+($AL1488="Personal Care and Services")+($AL1488="Government and Public Administration")+($AL1488="Defence/ Protective Service")+($AL1488="Sports"))&gt;0,"Arts / Humanities",""))))</f>
        <v/>
      </c>
      <c r="BD1488" s="5" t="str">
        <f aca="false">IF($B1488="","",--(F1488&gt;=10)+--(G1488&gt;=10)+--(H1488&gt;=10)+--(I1488&gt;=10)+--(J1488&gt;=10)+--(K1488&gt;=10)+--(L1488&gt;=10)+--(M1488&gt;=10)+--(N1488&gt;=10)+--(O1488&gt;=10))</f>
        <v/>
      </c>
      <c r="BE1488" s="5" t="str">
        <f aca="false">IF($B1488="","",--(AND(F1488&lt;&gt;"",F1488&lt;=8))+--(AND(G1488&lt;&gt;"",G1488&lt;=8))+--(AND(H1488&lt;&gt;"",H1488&lt;=8))+--(AND(I1488&lt;&gt;"",I1488&lt;=8))+--(AND(J1488&lt;&gt;"",J1488&lt;=8))+--(AND(K1488&lt;&gt;"",K1488&lt;=8))+--(AND(L1488&lt;&gt;"",L1488&lt;=8))+--(AND(M1488&lt;&gt;"",M1488&lt;=8))+--(AND(N1488&lt;&gt;"",N1488&lt;=8))+--(AND(O1488&lt;&gt;"",O1488&lt;=8)))</f>
        <v/>
      </c>
    </row>
    <row r="1489" customFormat="false" ht="15" hidden="false" customHeight="false" outlineLevel="0" collapsed="false">
      <c r="AZ1489" s="5" t="str">
        <f aca="false">IF($B1489="","",SUMPRODUCT(($AL1489:$AO1489&lt;&gt;"")*(COUNTIF($AP1489:$AX1489,$AL1489:$AO1489)&gt;0)))</f>
        <v/>
      </c>
      <c r="BA1489" s="5" t="str">
        <f aca="false">IF($B1489="","",IF(AZ1489&gt;0,1,0))</f>
        <v/>
      </c>
      <c r="BB1489" s="5" t="str">
        <f aca="false">IF($AP1489="","",IF((($AP1489="Engineering and Technology")+($AP1489="Science and Mathematics")+($AP1489="Computer Science, IT and Allied Fields")+($AP1489="Life Sciences /Medicine and Healthcare")+($AP1489="Paramedical")+($AP1489="Architecture")+($AP1489="Environmental Service")+($AP1489="Agriculture, Food Industry and Forestry"))&gt;0,"Science",IF((($AP1489="Banking and Finance")+($AP1489="Management and Administration")+($AP1489="Marketing")+($AP1489="Sales")+($AP1489="Entrepreneurship")+($AP1489="Hospitality and Tourism"))&gt;0,"Commerce",IF((($AP1489="Social Sciences and Humanities")+($AP1489="Law Studies")+($AP1489="Education and Training")+($AP1489="Art, Design")+($AP1489="Entertainment and Mass Media")+($AP1489="Community and Social Service")+($AP1489="Personal Care and Services")+($AP1489="Government and Public Administration")+($AP1489="Defence/ Protective Service")+($AP1489="Sports"))&gt;0,"Arts / Humanities",""))))</f>
        <v/>
      </c>
      <c r="BC1489" s="5" t="str">
        <f aca="false">IF($AL1489="","",IF((($AL1489="Engineering and Technology")+($AL1489="Science and Mathematics")+($AL1489="Computer Science, IT and Allied Fields")+($AL1489="Life Sciences /Medicine and Healthcare")+($AL1489="Paramedical")+($AL1489="Architecture")+($AL1489="Environmental Service")+($AL1489="Agriculture, Food Industry and Forestry"))&gt;0,"Science",IF((($AL1489="Banking and Finance")+($AL1489="Management and Administration")+($AL1489="Marketing")+($AL1489="Sales")+($AL1489="Entrepreneurship")+($AL1489="Hospitality and Tourism"))&gt;0,"Commerce",IF((($AL1489="Social Sciences and Humanities")+($AL1489="Law Studies")+($AL1489="Education and Training")+($AL1489="Art, Design")+($AL1489="Entertainment and Mass Media")+($AL1489="Community and Social Service")+($AL1489="Personal Care and Services")+($AL1489="Government and Public Administration")+($AL1489="Defence/ Protective Service")+($AL1489="Sports"))&gt;0,"Arts / Humanities",""))))</f>
        <v/>
      </c>
      <c r="BD1489" s="5" t="str">
        <f aca="false">IF($B1489="","",--(F1489&gt;=10)+--(G1489&gt;=10)+--(H1489&gt;=10)+--(I1489&gt;=10)+--(J1489&gt;=10)+--(K1489&gt;=10)+--(L1489&gt;=10)+--(M1489&gt;=10)+--(N1489&gt;=10)+--(O1489&gt;=10))</f>
        <v/>
      </c>
      <c r="BE1489" s="5" t="str">
        <f aca="false">IF($B1489="","",--(AND(F1489&lt;&gt;"",F1489&lt;=8))+--(AND(G1489&lt;&gt;"",G1489&lt;=8))+--(AND(H1489&lt;&gt;"",H1489&lt;=8))+--(AND(I1489&lt;&gt;"",I1489&lt;=8))+--(AND(J1489&lt;&gt;"",J1489&lt;=8))+--(AND(K1489&lt;&gt;"",K1489&lt;=8))+--(AND(L1489&lt;&gt;"",L1489&lt;=8))+--(AND(M1489&lt;&gt;"",M1489&lt;=8))+--(AND(N1489&lt;&gt;"",N1489&lt;=8))+--(AND(O1489&lt;&gt;"",O1489&lt;=8)))</f>
        <v/>
      </c>
    </row>
    <row r="1490" customFormat="false" ht="15" hidden="false" customHeight="false" outlineLevel="0" collapsed="false">
      <c r="AZ1490" s="5" t="str">
        <f aca="false">IF($B1490="","",SUMPRODUCT(($AL1490:$AO1490&lt;&gt;"")*(COUNTIF($AP1490:$AX1490,$AL1490:$AO1490)&gt;0)))</f>
        <v/>
      </c>
      <c r="BA1490" s="5" t="str">
        <f aca="false">IF($B1490="","",IF(AZ1490&gt;0,1,0))</f>
        <v/>
      </c>
      <c r="BB1490" s="5" t="str">
        <f aca="false">IF($AP1490="","",IF((($AP1490="Engineering and Technology")+($AP1490="Science and Mathematics")+($AP1490="Computer Science, IT and Allied Fields")+($AP1490="Life Sciences /Medicine and Healthcare")+($AP1490="Paramedical")+($AP1490="Architecture")+($AP1490="Environmental Service")+($AP1490="Agriculture, Food Industry and Forestry"))&gt;0,"Science",IF((($AP1490="Banking and Finance")+($AP1490="Management and Administration")+($AP1490="Marketing")+($AP1490="Sales")+($AP1490="Entrepreneurship")+($AP1490="Hospitality and Tourism"))&gt;0,"Commerce",IF((($AP1490="Social Sciences and Humanities")+($AP1490="Law Studies")+($AP1490="Education and Training")+($AP1490="Art, Design")+($AP1490="Entertainment and Mass Media")+($AP1490="Community and Social Service")+($AP1490="Personal Care and Services")+($AP1490="Government and Public Administration")+($AP1490="Defence/ Protective Service")+($AP1490="Sports"))&gt;0,"Arts / Humanities",""))))</f>
        <v/>
      </c>
      <c r="BC1490" s="5" t="str">
        <f aca="false">IF($AL1490="","",IF((($AL1490="Engineering and Technology")+($AL1490="Science and Mathematics")+($AL1490="Computer Science, IT and Allied Fields")+($AL1490="Life Sciences /Medicine and Healthcare")+($AL1490="Paramedical")+($AL1490="Architecture")+($AL1490="Environmental Service")+($AL1490="Agriculture, Food Industry and Forestry"))&gt;0,"Science",IF((($AL1490="Banking and Finance")+($AL1490="Management and Administration")+($AL1490="Marketing")+($AL1490="Sales")+($AL1490="Entrepreneurship")+($AL1490="Hospitality and Tourism"))&gt;0,"Commerce",IF((($AL1490="Social Sciences and Humanities")+($AL1490="Law Studies")+($AL1490="Education and Training")+($AL1490="Art, Design")+($AL1490="Entertainment and Mass Media")+($AL1490="Community and Social Service")+($AL1490="Personal Care and Services")+($AL1490="Government and Public Administration")+($AL1490="Defence/ Protective Service")+($AL1490="Sports"))&gt;0,"Arts / Humanities",""))))</f>
        <v/>
      </c>
      <c r="BD1490" s="5" t="str">
        <f aca="false">IF($B1490="","",--(F1490&gt;=10)+--(G1490&gt;=10)+--(H1490&gt;=10)+--(I1490&gt;=10)+--(J1490&gt;=10)+--(K1490&gt;=10)+--(L1490&gt;=10)+--(M1490&gt;=10)+--(N1490&gt;=10)+--(O1490&gt;=10))</f>
        <v/>
      </c>
      <c r="BE1490" s="5" t="str">
        <f aca="false">IF($B1490="","",--(AND(F1490&lt;&gt;"",F1490&lt;=8))+--(AND(G1490&lt;&gt;"",G1490&lt;=8))+--(AND(H1490&lt;&gt;"",H1490&lt;=8))+--(AND(I1490&lt;&gt;"",I1490&lt;=8))+--(AND(J1490&lt;&gt;"",J1490&lt;=8))+--(AND(K1490&lt;&gt;"",K1490&lt;=8))+--(AND(L1490&lt;&gt;"",L1490&lt;=8))+--(AND(M1490&lt;&gt;"",M1490&lt;=8))+--(AND(N1490&lt;&gt;"",N1490&lt;=8))+--(AND(O1490&lt;&gt;"",O1490&lt;=8)))</f>
        <v/>
      </c>
    </row>
    <row r="1491" customFormat="false" ht="15" hidden="false" customHeight="false" outlineLevel="0" collapsed="false">
      <c r="AZ1491" s="5" t="str">
        <f aca="false">IF($B1491="","",SUMPRODUCT(($AL1491:$AO1491&lt;&gt;"")*(COUNTIF($AP1491:$AX1491,$AL1491:$AO1491)&gt;0)))</f>
        <v/>
      </c>
      <c r="BA1491" s="5" t="str">
        <f aca="false">IF($B1491="","",IF(AZ1491&gt;0,1,0))</f>
        <v/>
      </c>
      <c r="BB1491" s="5" t="str">
        <f aca="false">IF($AP1491="","",IF((($AP1491="Engineering and Technology")+($AP1491="Science and Mathematics")+($AP1491="Computer Science, IT and Allied Fields")+($AP1491="Life Sciences /Medicine and Healthcare")+($AP1491="Paramedical")+($AP1491="Architecture")+($AP1491="Environmental Service")+($AP1491="Agriculture, Food Industry and Forestry"))&gt;0,"Science",IF((($AP1491="Banking and Finance")+($AP1491="Management and Administration")+($AP1491="Marketing")+($AP1491="Sales")+($AP1491="Entrepreneurship")+($AP1491="Hospitality and Tourism"))&gt;0,"Commerce",IF((($AP1491="Social Sciences and Humanities")+($AP1491="Law Studies")+($AP1491="Education and Training")+($AP1491="Art, Design")+($AP1491="Entertainment and Mass Media")+($AP1491="Community and Social Service")+($AP1491="Personal Care and Services")+($AP1491="Government and Public Administration")+($AP1491="Defence/ Protective Service")+($AP1491="Sports"))&gt;0,"Arts / Humanities",""))))</f>
        <v/>
      </c>
      <c r="BC1491" s="5" t="str">
        <f aca="false">IF($AL1491="","",IF((($AL1491="Engineering and Technology")+($AL1491="Science and Mathematics")+($AL1491="Computer Science, IT and Allied Fields")+($AL1491="Life Sciences /Medicine and Healthcare")+($AL1491="Paramedical")+($AL1491="Architecture")+($AL1491="Environmental Service")+($AL1491="Agriculture, Food Industry and Forestry"))&gt;0,"Science",IF((($AL1491="Banking and Finance")+($AL1491="Management and Administration")+($AL1491="Marketing")+($AL1491="Sales")+($AL1491="Entrepreneurship")+($AL1491="Hospitality and Tourism"))&gt;0,"Commerce",IF((($AL1491="Social Sciences and Humanities")+($AL1491="Law Studies")+($AL1491="Education and Training")+($AL1491="Art, Design")+($AL1491="Entertainment and Mass Media")+($AL1491="Community and Social Service")+($AL1491="Personal Care and Services")+($AL1491="Government and Public Administration")+($AL1491="Defence/ Protective Service")+($AL1491="Sports"))&gt;0,"Arts / Humanities",""))))</f>
        <v/>
      </c>
      <c r="BD1491" s="5" t="str">
        <f aca="false">IF($B1491="","",--(F1491&gt;=10)+--(G1491&gt;=10)+--(H1491&gt;=10)+--(I1491&gt;=10)+--(J1491&gt;=10)+--(K1491&gt;=10)+--(L1491&gt;=10)+--(M1491&gt;=10)+--(N1491&gt;=10)+--(O1491&gt;=10))</f>
        <v/>
      </c>
      <c r="BE1491" s="5" t="str">
        <f aca="false">IF($B1491="","",--(AND(F1491&lt;&gt;"",F1491&lt;=8))+--(AND(G1491&lt;&gt;"",G1491&lt;=8))+--(AND(H1491&lt;&gt;"",H1491&lt;=8))+--(AND(I1491&lt;&gt;"",I1491&lt;=8))+--(AND(J1491&lt;&gt;"",J1491&lt;=8))+--(AND(K1491&lt;&gt;"",K1491&lt;=8))+--(AND(L1491&lt;&gt;"",L1491&lt;=8))+--(AND(M1491&lt;&gt;"",M1491&lt;=8))+--(AND(N1491&lt;&gt;"",N1491&lt;=8))+--(AND(O1491&lt;&gt;"",O1491&lt;=8)))</f>
        <v/>
      </c>
    </row>
    <row r="1492" customFormat="false" ht="15" hidden="false" customHeight="false" outlineLevel="0" collapsed="false">
      <c r="AZ1492" s="5" t="str">
        <f aca="false">IF($B1492="","",SUMPRODUCT(($AL1492:$AO1492&lt;&gt;"")*(COUNTIF($AP1492:$AX1492,$AL1492:$AO1492)&gt;0)))</f>
        <v/>
      </c>
      <c r="BA1492" s="5" t="str">
        <f aca="false">IF($B1492="","",IF(AZ1492&gt;0,1,0))</f>
        <v/>
      </c>
      <c r="BB1492" s="5" t="str">
        <f aca="false">IF($AP1492="","",IF((($AP1492="Engineering and Technology")+($AP1492="Science and Mathematics")+($AP1492="Computer Science, IT and Allied Fields")+($AP1492="Life Sciences /Medicine and Healthcare")+($AP1492="Paramedical")+($AP1492="Architecture")+($AP1492="Environmental Service")+($AP1492="Agriculture, Food Industry and Forestry"))&gt;0,"Science",IF((($AP1492="Banking and Finance")+($AP1492="Management and Administration")+($AP1492="Marketing")+($AP1492="Sales")+($AP1492="Entrepreneurship")+($AP1492="Hospitality and Tourism"))&gt;0,"Commerce",IF((($AP1492="Social Sciences and Humanities")+($AP1492="Law Studies")+($AP1492="Education and Training")+($AP1492="Art, Design")+($AP1492="Entertainment and Mass Media")+($AP1492="Community and Social Service")+($AP1492="Personal Care and Services")+($AP1492="Government and Public Administration")+($AP1492="Defence/ Protective Service")+($AP1492="Sports"))&gt;0,"Arts / Humanities",""))))</f>
        <v/>
      </c>
      <c r="BC1492" s="5" t="str">
        <f aca="false">IF($AL1492="","",IF((($AL1492="Engineering and Technology")+($AL1492="Science and Mathematics")+($AL1492="Computer Science, IT and Allied Fields")+($AL1492="Life Sciences /Medicine and Healthcare")+($AL1492="Paramedical")+($AL1492="Architecture")+($AL1492="Environmental Service")+($AL1492="Agriculture, Food Industry and Forestry"))&gt;0,"Science",IF((($AL1492="Banking and Finance")+($AL1492="Management and Administration")+($AL1492="Marketing")+($AL1492="Sales")+($AL1492="Entrepreneurship")+($AL1492="Hospitality and Tourism"))&gt;0,"Commerce",IF((($AL1492="Social Sciences and Humanities")+($AL1492="Law Studies")+($AL1492="Education and Training")+($AL1492="Art, Design")+($AL1492="Entertainment and Mass Media")+($AL1492="Community and Social Service")+($AL1492="Personal Care and Services")+($AL1492="Government and Public Administration")+($AL1492="Defence/ Protective Service")+($AL1492="Sports"))&gt;0,"Arts / Humanities",""))))</f>
        <v/>
      </c>
      <c r="BD1492" s="5" t="str">
        <f aca="false">IF($B1492="","",--(F1492&gt;=10)+--(G1492&gt;=10)+--(H1492&gt;=10)+--(I1492&gt;=10)+--(J1492&gt;=10)+--(K1492&gt;=10)+--(L1492&gt;=10)+--(M1492&gt;=10)+--(N1492&gt;=10)+--(O1492&gt;=10))</f>
        <v/>
      </c>
      <c r="BE1492" s="5" t="str">
        <f aca="false">IF($B1492="","",--(AND(F1492&lt;&gt;"",F1492&lt;=8))+--(AND(G1492&lt;&gt;"",G1492&lt;=8))+--(AND(H1492&lt;&gt;"",H1492&lt;=8))+--(AND(I1492&lt;&gt;"",I1492&lt;=8))+--(AND(J1492&lt;&gt;"",J1492&lt;=8))+--(AND(K1492&lt;&gt;"",K1492&lt;=8))+--(AND(L1492&lt;&gt;"",L1492&lt;=8))+--(AND(M1492&lt;&gt;"",M1492&lt;=8))+--(AND(N1492&lt;&gt;"",N1492&lt;=8))+--(AND(O1492&lt;&gt;"",O1492&lt;=8)))</f>
        <v/>
      </c>
    </row>
    <row r="1493" customFormat="false" ht="15" hidden="false" customHeight="false" outlineLevel="0" collapsed="false">
      <c r="AZ1493" s="5" t="str">
        <f aca="false">IF($B1493="","",SUMPRODUCT(($AL1493:$AO1493&lt;&gt;"")*(COUNTIF($AP1493:$AX1493,$AL1493:$AO1493)&gt;0)))</f>
        <v/>
      </c>
      <c r="BA1493" s="5" t="str">
        <f aca="false">IF($B1493="","",IF(AZ1493&gt;0,1,0))</f>
        <v/>
      </c>
      <c r="BB1493" s="5" t="str">
        <f aca="false">IF($AP1493="","",IF((($AP1493="Engineering and Technology")+($AP1493="Science and Mathematics")+($AP1493="Computer Science, IT and Allied Fields")+($AP1493="Life Sciences /Medicine and Healthcare")+($AP1493="Paramedical")+($AP1493="Architecture")+($AP1493="Environmental Service")+($AP1493="Agriculture, Food Industry and Forestry"))&gt;0,"Science",IF((($AP1493="Banking and Finance")+($AP1493="Management and Administration")+($AP1493="Marketing")+($AP1493="Sales")+($AP1493="Entrepreneurship")+($AP1493="Hospitality and Tourism"))&gt;0,"Commerce",IF((($AP1493="Social Sciences and Humanities")+($AP1493="Law Studies")+($AP1493="Education and Training")+($AP1493="Art, Design")+($AP1493="Entertainment and Mass Media")+($AP1493="Community and Social Service")+($AP1493="Personal Care and Services")+($AP1493="Government and Public Administration")+($AP1493="Defence/ Protective Service")+($AP1493="Sports"))&gt;0,"Arts / Humanities",""))))</f>
        <v/>
      </c>
      <c r="BC1493" s="5" t="str">
        <f aca="false">IF($AL1493="","",IF((($AL1493="Engineering and Technology")+($AL1493="Science and Mathematics")+($AL1493="Computer Science, IT and Allied Fields")+($AL1493="Life Sciences /Medicine and Healthcare")+($AL1493="Paramedical")+($AL1493="Architecture")+($AL1493="Environmental Service")+($AL1493="Agriculture, Food Industry and Forestry"))&gt;0,"Science",IF((($AL1493="Banking and Finance")+($AL1493="Management and Administration")+($AL1493="Marketing")+($AL1493="Sales")+($AL1493="Entrepreneurship")+($AL1493="Hospitality and Tourism"))&gt;0,"Commerce",IF((($AL1493="Social Sciences and Humanities")+($AL1493="Law Studies")+($AL1493="Education and Training")+($AL1493="Art, Design")+($AL1493="Entertainment and Mass Media")+($AL1493="Community and Social Service")+($AL1493="Personal Care and Services")+($AL1493="Government and Public Administration")+($AL1493="Defence/ Protective Service")+($AL1493="Sports"))&gt;0,"Arts / Humanities",""))))</f>
        <v/>
      </c>
      <c r="BD1493" s="5" t="str">
        <f aca="false">IF($B1493="","",--(F1493&gt;=10)+--(G1493&gt;=10)+--(H1493&gt;=10)+--(I1493&gt;=10)+--(J1493&gt;=10)+--(K1493&gt;=10)+--(L1493&gt;=10)+--(M1493&gt;=10)+--(N1493&gt;=10)+--(O1493&gt;=10))</f>
        <v/>
      </c>
      <c r="BE1493" s="5" t="str">
        <f aca="false">IF($B1493="","",--(AND(F1493&lt;&gt;"",F1493&lt;=8))+--(AND(G1493&lt;&gt;"",G1493&lt;=8))+--(AND(H1493&lt;&gt;"",H1493&lt;=8))+--(AND(I1493&lt;&gt;"",I1493&lt;=8))+--(AND(J1493&lt;&gt;"",J1493&lt;=8))+--(AND(K1493&lt;&gt;"",K1493&lt;=8))+--(AND(L1493&lt;&gt;"",L1493&lt;=8))+--(AND(M1493&lt;&gt;"",M1493&lt;=8))+--(AND(N1493&lt;&gt;"",N1493&lt;=8))+--(AND(O1493&lt;&gt;"",O1493&lt;=8)))</f>
        <v/>
      </c>
    </row>
    <row r="1494" customFormat="false" ht="15" hidden="false" customHeight="false" outlineLevel="0" collapsed="false">
      <c r="AZ1494" s="5" t="str">
        <f aca="false">IF($B1494="","",SUMPRODUCT(($AL1494:$AO1494&lt;&gt;"")*(COUNTIF($AP1494:$AX1494,$AL1494:$AO1494)&gt;0)))</f>
        <v/>
      </c>
      <c r="BA1494" s="5" t="str">
        <f aca="false">IF($B1494="","",IF(AZ1494&gt;0,1,0))</f>
        <v/>
      </c>
      <c r="BB1494" s="5" t="str">
        <f aca="false">IF($AP1494="","",IF((($AP1494="Engineering and Technology")+($AP1494="Science and Mathematics")+($AP1494="Computer Science, IT and Allied Fields")+($AP1494="Life Sciences /Medicine and Healthcare")+($AP1494="Paramedical")+($AP1494="Architecture")+($AP1494="Environmental Service")+($AP1494="Agriculture, Food Industry and Forestry"))&gt;0,"Science",IF((($AP1494="Banking and Finance")+($AP1494="Management and Administration")+($AP1494="Marketing")+($AP1494="Sales")+($AP1494="Entrepreneurship")+($AP1494="Hospitality and Tourism"))&gt;0,"Commerce",IF((($AP1494="Social Sciences and Humanities")+($AP1494="Law Studies")+($AP1494="Education and Training")+($AP1494="Art, Design")+($AP1494="Entertainment and Mass Media")+($AP1494="Community and Social Service")+($AP1494="Personal Care and Services")+($AP1494="Government and Public Administration")+($AP1494="Defence/ Protective Service")+($AP1494="Sports"))&gt;0,"Arts / Humanities",""))))</f>
        <v/>
      </c>
      <c r="BC1494" s="5" t="str">
        <f aca="false">IF($AL1494="","",IF((($AL1494="Engineering and Technology")+($AL1494="Science and Mathematics")+($AL1494="Computer Science, IT and Allied Fields")+($AL1494="Life Sciences /Medicine and Healthcare")+($AL1494="Paramedical")+($AL1494="Architecture")+($AL1494="Environmental Service")+($AL1494="Agriculture, Food Industry and Forestry"))&gt;0,"Science",IF((($AL1494="Banking and Finance")+($AL1494="Management and Administration")+($AL1494="Marketing")+($AL1494="Sales")+($AL1494="Entrepreneurship")+($AL1494="Hospitality and Tourism"))&gt;0,"Commerce",IF((($AL1494="Social Sciences and Humanities")+($AL1494="Law Studies")+($AL1494="Education and Training")+($AL1494="Art, Design")+($AL1494="Entertainment and Mass Media")+($AL1494="Community and Social Service")+($AL1494="Personal Care and Services")+($AL1494="Government and Public Administration")+($AL1494="Defence/ Protective Service")+($AL1494="Sports"))&gt;0,"Arts / Humanities",""))))</f>
        <v/>
      </c>
      <c r="BD1494" s="5" t="str">
        <f aca="false">IF($B1494="","",--(F1494&gt;=10)+--(G1494&gt;=10)+--(H1494&gt;=10)+--(I1494&gt;=10)+--(J1494&gt;=10)+--(K1494&gt;=10)+--(L1494&gt;=10)+--(M1494&gt;=10)+--(N1494&gt;=10)+--(O1494&gt;=10))</f>
        <v/>
      </c>
      <c r="BE1494" s="5" t="str">
        <f aca="false">IF($B1494="","",--(AND(F1494&lt;&gt;"",F1494&lt;=8))+--(AND(G1494&lt;&gt;"",G1494&lt;=8))+--(AND(H1494&lt;&gt;"",H1494&lt;=8))+--(AND(I1494&lt;&gt;"",I1494&lt;=8))+--(AND(J1494&lt;&gt;"",J1494&lt;=8))+--(AND(K1494&lt;&gt;"",K1494&lt;=8))+--(AND(L1494&lt;&gt;"",L1494&lt;=8))+--(AND(M1494&lt;&gt;"",M1494&lt;=8))+--(AND(N1494&lt;&gt;"",N1494&lt;=8))+--(AND(O1494&lt;&gt;"",O1494&lt;=8)))</f>
        <v/>
      </c>
    </row>
    <row r="1495" customFormat="false" ht="15" hidden="false" customHeight="false" outlineLevel="0" collapsed="false">
      <c r="AZ1495" s="5" t="str">
        <f aca="false">IF($B1495="","",SUMPRODUCT(($AL1495:$AO1495&lt;&gt;"")*(COUNTIF($AP1495:$AX1495,$AL1495:$AO1495)&gt;0)))</f>
        <v/>
      </c>
      <c r="BA1495" s="5" t="str">
        <f aca="false">IF($B1495="","",IF(AZ1495&gt;0,1,0))</f>
        <v/>
      </c>
      <c r="BB1495" s="5" t="str">
        <f aca="false">IF($AP1495="","",IF((($AP1495="Engineering and Technology")+($AP1495="Science and Mathematics")+($AP1495="Computer Science, IT and Allied Fields")+($AP1495="Life Sciences /Medicine and Healthcare")+($AP1495="Paramedical")+($AP1495="Architecture")+($AP1495="Environmental Service")+($AP1495="Agriculture, Food Industry and Forestry"))&gt;0,"Science",IF((($AP1495="Banking and Finance")+($AP1495="Management and Administration")+($AP1495="Marketing")+($AP1495="Sales")+($AP1495="Entrepreneurship")+($AP1495="Hospitality and Tourism"))&gt;0,"Commerce",IF((($AP1495="Social Sciences and Humanities")+($AP1495="Law Studies")+($AP1495="Education and Training")+($AP1495="Art, Design")+($AP1495="Entertainment and Mass Media")+($AP1495="Community and Social Service")+($AP1495="Personal Care and Services")+($AP1495="Government and Public Administration")+($AP1495="Defence/ Protective Service")+($AP1495="Sports"))&gt;0,"Arts / Humanities",""))))</f>
        <v/>
      </c>
      <c r="BC1495" s="5" t="str">
        <f aca="false">IF($AL1495="","",IF((($AL1495="Engineering and Technology")+($AL1495="Science and Mathematics")+($AL1495="Computer Science, IT and Allied Fields")+($AL1495="Life Sciences /Medicine and Healthcare")+($AL1495="Paramedical")+($AL1495="Architecture")+($AL1495="Environmental Service")+($AL1495="Agriculture, Food Industry and Forestry"))&gt;0,"Science",IF((($AL1495="Banking and Finance")+($AL1495="Management and Administration")+($AL1495="Marketing")+($AL1495="Sales")+($AL1495="Entrepreneurship")+($AL1495="Hospitality and Tourism"))&gt;0,"Commerce",IF((($AL1495="Social Sciences and Humanities")+($AL1495="Law Studies")+($AL1495="Education and Training")+($AL1495="Art, Design")+($AL1495="Entertainment and Mass Media")+($AL1495="Community and Social Service")+($AL1495="Personal Care and Services")+($AL1495="Government and Public Administration")+($AL1495="Defence/ Protective Service")+($AL1495="Sports"))&gt;0,"Arts / Humanities",""))))</f>
        <v/>
      </c>
      <c r="BD1495" s="5" t="str">
        <f aca="false">IF($B1495="","",--(F1495&gt;=10)+--(G1495&gt;=10)+--(H1495&gt;=10)+--(I1495&gt;=10)+--(J1495&gt;=10)+--(K1495&gt;=10)+--(L1495&gt;=10)+--(M1495&gt;=10)+--(N1495&gt;=10)+--(O1495&gt;=10))</f>
        <v/>
      </c>
      <c r="BE1495" s="5" t="str">
        <f aca="false">IF($B1495="","",--(AND(F1495&lt;&gt;"",F1495&lt;=8))+--(AND(G1495&lt;&gt;"",G1495&lt;=8))+--(AND(H1495&lt;&gt;"",H1495&lt;=8))+--(AND(I1495&lt;&gt;"",I1495&lt;=8))+--(AND(J1495&lt;&gt;"",J1495&lt;=8))+--(AND(K1495&lt;&gt;"",K1495&lt;=8))+--(AND(L1495&lt;&gt;"",L1495&lt;=8))+--(AND(M1495&lt;&gt;"",M1495&lt;=8))+--(AND(N1495&lt;&gt;"",N1495&lt;=8))+--(AND(O1495&lt;&gt;"",O1495&lt;=8)))</f>
        <v/>
      </c>
    </row>
    <row r="1496" customFormat="false" ht="15" hidden="false" customHeight="false" outlineLevel="0" collapsed="false">
      <c r="AZ1496" s="5" t="str">
        <f aca="false">IF($B1496="","",SUMPRODUCT(($AL1496:$AO1496&lt;&gt;"")*(COUNTIF($AP1496:$AX1496,$AL1496:$AO1496)&gt;0)))</f>
        <v/>
      </c>
      <c r="BA1496" s="5" t="str">
        <f aca="false">IF($B1496="","",IF(AZ1496&gt;0,1,0))</f>
        <v/>
      </c>
      <c r="BB1496" s="5" t="str">
        <f aca="false">IF($AP1496="","",IF((($AP1496="Engineering and Technology")+($AP1496="Science and Mathematics")+($AP1496="Computer Science, IT and Allied Fields")+($AP1496="Life Sciences /Medicine and Healthcare")+($AP1496="Paramedical")+($AP1496="Architecture")+($AP1496="Environmental Service")+($AP1496="Agriculture, Food Industry and Forestry"))&gt;0,"Science",IF((($AP1496="Banking and Finance")+($AP1496="Management and Administration")+($AP1496="Marketing")+($AP1496="Sales")+($AP1496="Entrepreneurship")+($AP1496="Hospitality and Tourism"))&gt;0,"Commerce",IF((($AP1496="Social Sciences and Humanities")+($AP1496="Law Studies")+($AP1496="Education and Training")+($AP1496="Art, Design")+($AP1496="Entertainment and Mass Media")+($AP1496="Community and Social Service")+($AP1496="Personal Care and Services")+($AP1496="Government and Public Administration")+($AP1496="Defence/ Protective Service")+($AP1496="Sports"))&gt;0,"Arts / Humanities",""))))</f>
        <v/>
      </c>
      <c r="BC1496" s="5" t="str">
        <f aca="false">IF($AL1496="","",IF((($AL1496="Engineering and Technology")+($AL1496="Science and Mathematics")+($AL1496="Computer Science, IT and Allied Fields")+($AL1496="Life Sciences /Medicine and Healthcare")+($AL1496="Paramedical")+($AL1496="Architecture")+($AL1496="Environmental Service")+($AL1496="Agriculture, Food Industry and Forestry"))&gt;0,"Science",IF((($AL1496="Banking and Finance")+($AL1496="Management and Administration")+($AL1496="Marketing")+($AL1496="Sales")+($AL1496="Entrepreneurship")+($AL1496="Hospitality and Tourism"))&gt;0,"Commerce",IF((($AL1496="Social Sciences and Humanities")+($AL1496="Law Studies")+($AL1496="Education and Training")+($AL1496="Art, Design")+($AL1496="Entertainment and Mass Media")+($AL1496="Community and Social Service")+($AL1496="Personal Care and Services")+($AL1496="Government and Public Administration")+($AL1496="Defence/ Protective Service")+($AL1496="Sports"))&gt;0,"Arts / Humanities",""))))</f>
        <v/>
      </c>
      <c r="BD1496" s="5" t="str">
        <f aca="false">IF($B1496="","",--(F1496&gt;=10)+--(G1496&gt;=10)+--(H1496&gt;=10)+--(I1496&gt;=10)+--(J1496&gt;=10)+--(K1496&gt;=10)+--(L1496&gt;=10)+--(M1496&gt;=10)+--(N1496&gt;=10)+--(O1496&gt;=10))</f>
        <v/>
      </c>
      <c r="BE1496" s="5" t="str">
        <f aca="false">IF($B1496="","",--(AND(F1496&lt;&gt;"",F1496&lt;=8))+--(AND(G1496&lt;&gt;"",G1496&lt;=8))+--(AND(H1496&lt;&gt;"",H1496&lt;=8))+--(AND(I1496&lt;&gt;"",I1496&lt;=8))+--(AND(J1496&lt;&gt;"",J1496&lt;=8))+--(AND(K1496&lt;&gt;"",K1496&lt;=8))+--(AND(L1496&lt;&gt;"",L1496&lt;=8))+--(AND(M1496&lt;&gt;"",M1496&lt;=8))+--(AND(N1496&lt;&gt;"",N1496&lt;=8))+--(AND(O1496&lt;&gt;"",O1496&lt;=8)))</f>
        <v/>
      </c>
    </row>
    <row r="1497" customFormat="false" ht="15" hidden="false" customHeight="false" outlineLevel="0" collapsed="false">
      <c r="AZ1497" s="5" t="str">
        <f aca="false">IF($B1497="","",SUMPRODUCT(($AL1497:$AO1497&lt;&gt;"")*(COUNTIF($AP1497:$AX1497,$AL1497:$AO1497)&gt;0)))</f>
        <v/>
      </c>
      <c r="BA1497" s="5" t="str">
        <f aca="false">IF($B1497="","",IF(AZ1497&gt;0,1,0))</f>
        <v/>
      </c>
      <c r="BB1497" s="5" t="str">
        <f aca="false">IF($AP1497="","",IF((($AP1497="Engineering and Technology")+($AP1497="Science and Mathematics")+($AP1497="Computer Science, IT and Allied Fields")+($AP1497="Life Sciences /Medicine and Healthcare")+($AP1497="Paramedical")+($AP1497="Architecture")+($AP1497="Environmental Service")+($AP1497="Agriculture, Food Industry and Forestry"))&gt;0,"Science",IF((($AP1497="Banking and Finance")+($AP1497="Management and Administration")+($AP1497="Marketing")+($AP1497="Sales")+($AP1497="Entrepreneurship")+($AP1497="Hospitality and Tourism"))&gt;0,"Commerce",IF((($AP1497="Social Sciences and Humanities")+($AP1497="Law Studies")+($AP1497="Education and Training")+($AP1497="Art, Design")+($AP1497="Entertainment and Mass Media")+($AP1497="Community and Social Service")+($AP1497="Personal Care and Services")+($AP1497="Government and Public Administration")+($AP1497="Defence/ Protective Service")+($AP1497="Sports"))&gt;0,"Arts / Humanities",""))))</f>
        <v/>
      </c>
      <c r="BC1497" s="5" t="str">
        <f aca="false">IF($AL1497="","",IF((($AL1497="Engineering and Technology")+($AL1497="Science and Mathematics")+($AL1497="Computer Science, IT and Allied Fields")+($AL1497="Life Sciences /Medicine and Healthcare")+($AL1497="Paramedical")+($AL1497="Architecture")+($AL1497="Environmental Service")+($AL1497="Agriculture, Food Industry and Forestry"))&gt;0,"Science",IF((($AL1497="Banking and Finance")+($AL1497="Management and Administration")+($AL1497="Marketing")+($AL1497="Sales")+($AL1497="Entrepreneurship")+($AL1497="Hospitality and Tourism"))&gt;0,"Commerce",IF((($AL1497="Social Sciences and Humanities")+($AL1497="Law Studies")+($AL1497="Education and Training")+($AL1497="Art, Design")+($AL1497="Entertainment and Mass Media")+($AL1497="Community and Social Service")+($AL1497="Personal Care and Services")+($AL1497="Government and Public Administration")+($AL1497="Defence/ Protective Service")+($AL1497="Sports"))&gt;0,"Arts / Humanities",""))))</f>
        <v/>
      </c>
      <c r="BD1497" s="5" t="str">
        <f aca="false">IF($B1497="","",--(F1497&gt;=10)+--(G1497&gt;=10)+--(H1497&gt;=10)+--(I1497&gt;=10)+--(J1497&gt;=10)+--(K1497&gt;=10)+--(L1497&gt;=10)+--(M1497&gt;=10)+--(N1497&gt;=10)+--(O1497&gt;=10))</f>
        <v/>
      </c>
      <c r="BE1497" s="5" t="str">
        <f aca="false">IF($B1497="","",--(AND(F1497&lt;&gt;"",F1497&lt;=8))+--(AND(G1497&lt;&gt;"",G1497&lt;=8))+--(AND(H1497&lt;&gt;"",H1497&lt;=8))+--(AND(I1497&lt;&gt;"",I1497&lt;=8))+--(AND(J1497&lt;&gt;"",J1497&lt;=8))+--(AND(K1497&lt;&gt;"",K1497&lt;=8))+--(AND(L1497&lt;&gt;"",L1497&lt;=8))+--(AND(M1497&lt;&gt;"",M1497&lt;=8))+--(AND(N1497&lt;&gt;"",N1497&lt;=8))+--(AND(O1497&lt;&gt;"",O1497&lt;=8)))</f>
        <v/>
      </c>
    </row>
    <row r="1498" customFormat="false" ht="15" hidden="false" customHeight="false" outlineLevel="0" collapsed="false">
      <c r="AZ1498" s="5" t="str">
        <f aca="false">IF($B1498="","",SUMPRODUCT(($AL1498:$AO1498&lt;&gt;"")*(COUNTIF($AP1498:$AX1498,$AL1498:$AO1498)&gt;0)))</f>
        <v/>
      </c>
      <c r="BA1498" s="5" t="str">
        <f aca="false">IF($B1498="","",IF(AZ1498&gt;0,1,0))</f>
        <v/>
      </c>
      <c r="BB1498" s="5" t="str">
        <f aca="false">IF($AP1498="","",IF((($AP1498="Engineering and Technology")+($AP1498="Science and Mathematics")+($AP1498="Computer Science, IT and Allied Fields")+($AP1498="Life Sciences /Medicine and Healthcare")+($AP1498="Paramedical")+($AP1498="Architecture")+($AP1498="Environmental Service")+($AP1498="Agriculture, Food Industry and Forestry"))&gt;0,"Science",IF((($AP1498="Banking and Finance")+($AP1498="Management and Administration")+($AP1498="Marketing")+($AP1498="Sales")+($AP1498="Entrepreneurship")+($AP1498="Hospitality and Tourism"))&gt;0,"Commerce",IF((($AP1498="Social Sciences and Humanities")+($AP1498="Law Studies")+($AP1498="Education and Training")+($AP1498="Art, Design")+($AP1498="Entertainment and Mass Media")+($AP1498="Community and Social Service")+($AP1498="Personal Care and Services")+($AP1498="Government and Public Administration")+($AP1498="Defence/ Protective Service")+($AP1498="Sports"))&gt;0,"Arts / Humanities",""))))</f>
        <v/>
      </c>
      <c r="BC1498" s="5" t="str">
        <f aca="false">IF($AL1498="","",IF((($AL1498="Engineering and Technology")+($AL1498="Science and Mathematics")+($AL1498="Computer Science, IT and Allied Fields")+($AL1498="Life Sciences /Medicine and Healthcare")+($AL1498="Paramedical")+($AL1498="Architecture")+($AL1498="Environmental Service")+($AL1498="Agriculture, Food Industry and Forestry"))&gt;0,"Science",IF((($AL1498="Banking and Finance")+($AL1498="Management and Administration")+($AL1498="Marketing")+($AL1498="Sales")+($AL1498="Entrepreneurship")+($AL1498="Hospitality and Tourism"))&gt;0,"Commerce",IF((($AL1498="Social Sciences and Humanities")+($AL1498="Law Studies")+($AL1498="Education and Training")+($AL1498="Art, Design")+($AL1498="Entertainment and Mass Media")+($AL1498="Community and Social Service")+($AL1498="Personal Care and Services")+($AL1498="Government and Public Administration")+($AL1498="Defence/ Protective Service")+($AL1498="Sports"))&gt;0,"Arts / Humanities",""))))</f>
        <v/>
      </c>
      <c r="BD1498" s="5" t="str">
        <f aca="false">IF($B1498="","",--(F1498&gt;=10)+--(G1498&gt;=10)+--(H1498&gt;=10)+--(I1498&gt;=10)+--(J1498&gt;=10)+--(K1498&gt;=10)+--(L1498&gt;=10)+--(M1498&gt;=10)+--(N1498&gt;=10)+--(O1498&gt;=10))</f>
        <v/>
      </c>
      <c r="BE1498" s="5" t="str">
        <f aca="false">IF($B1498="","",--(AND(F1498&lt;&gt;"",F1498&lt;=8))+--(AND(G1498&lt;&gt;"",G1498&lt;=8))+--(AND(H1498&lt;&gt;"",H1498&lt;=8))+--(AND(I1498&lt;&gt;"",I1498&lt;=8))+--(AND(J1498&lt;&gt;"",J1498&lt;=8))+--(AND(K1498&lt;&gt;"",K1498&lt;=8))+--(AND(L1498&lt;&gt;"",L1498&lt;=8))+--(AND(M1498&lt;&gt;"",M1498&lt;=8))+--(AND(N1498&lt;&gt;"",N1498&lt;=8))+--(AND(O1498&lt;&gt;"",O1498&lt;=8)))</f>
        <v/>
      </c>
    </row>
    <row r="1499" customFormat="false" ht="15" hidden="false" customHeight="false" outlineLevel="0" collapsed="false">
      <c r="AZ1499" s="5" t="str">
        <f aca="false">IF($B1499="","",SUMPRODUCT(($AL1499:$AO1499&lt;&gt;"")*(COUNTIF($AP1499:$AX1499,$AL1499:$AO1499)&gt;0)))</f>
        <v/>
      </c>
      <c r="BA1499" s="5" t="str">
        <f aca="false">IF($B1499="","",IF(AZ1499&gt;0,1,0))</f>
        <v/>
      </c>
      <c r="BB1499" s="5" t="str">
        <f aca="false">IF($AP1499="","",IF((($AP1499="Engineering and Technology")+($AP1499="Science and Mathematics")+($AP1499="Computer Science, IT and Allied Fields")+($AP1499="Life Sciences /Medicine and Healthcare")+($AP1499="Paramedical")+($AP1499="Architecture")+($AP1499="Environmental Service")+($AP1499="Agriculture, Food Industry and Forestry"))&gt;0,"Science",IF((($AP1499="Banking and Finance")+($AP1499="Management and Administration")+($AP1499="Marketing")+($AP1499="Sales")+($AP1499="Entrepreneurship")+($AP1499="Hospitality and Tourism"))&gt;0,"Commerce",IF((($AP1499="Social Sciences and Humanities")+($AP1499="Law Studies")+($AP1499="Education and Training")+($AP1499="Art, Design")+($AP1499="Entertainment and Mass Media")+($AP1499="Community and Social Service")+($AP1499="Personal Care and Services")+($AP1499="Government and Public Administration")+($AP1499="Defence/ Protective Service")+($AP1499="Sports"))&gt;0,"Arts / Humanities",""))))</f>
        <v/>
      </c>
      <c r="BC1499" s="5" t="str">
        <f aca="false">IF($AL1499="","",IF((($AL1499="Engineering and Technology")+($AL1499="Science and Mathematics")+($AL1499="Computer Science, IT and Allied Fields")+($AL1499="Life Sciences /Medicine and Healthcare")+($AL1499="Paramedical")+($AL1499="Architecture")+($AL1499="Environmental Service")+($AL1499="Agriculture, Food Industry and Forestry"))&gt;0,"Science",IF((($AL1499="Banking and Finance")+($AL1499="Management and Administration")+($AL1499="Marketing")+($AL1499="Sales")+($AL1499="Entrepreneurship")+($AL1499="Hospitality and Tourism"))&gt;0,"Commerce",IF((($AL1499="Social Sciences and Humanities")+($AL1499="Law Studies")+($AL1499="Education and Training")+($AL1499="Art, Design")+($AL1499="Entertainment and Mass Media")+($AL1499="Community and Social Service")+($AL1499="Personal Care and Services")+($AL1499="Government and Public Administration")+($AL1499="Defence/ Protective Service")+($AL1499="Sports"))&gt;0,"Arts / Humanities",""))))</f>
        <v/>
      </c>
      <c r="BD1499" s="5" t="str">
        <f aca="false">IF($B1499="","",--(F1499&gt;=10)+--(G1499&gt;=10)+--(H1499&gt;=10)+--(I1499&gt;=10)+--(J1499&gt;=10)+--(K1499&gt;=10)+--(L1499&gt;=10)+--(M1499&gt;=10)+--(N1499&gt;=10)+--(O1499&gt;=10))</f>
        <v/>
      </c>
      <c r="BE1499" s="5" t="str">
        <f aca="false">IF($B1499="","",--(AND(F1499&lt;&gt;"",F1499&lt;=8))+--(AND(G1499&lt;&gt;"",G1499&lt;=8))+--(AND(H1499&lt;&gt;"",H1499&lt;=8))+--(AND(I1499&lt;&gt;"",I1499&lt;=8))+--(AND(J1499&lt;&gt;"",J1499&lt;=8))+--(AND(K1499&lt;&gt;"",K1499&lt;=8))+--(AND(L1499&lt;&gt;"",L1499&lt;=8))+--(AND(M1499&lt;&gt;"",M1499&lt;=8))+--(AND(N1499&lt;&gt;"",N1499&lt;=8))+--(AND(O1499&lt;&gt;"",O1499&lt;=8)))</f>
        <v/>
      </c>
    </row>
    <row r="1500" customFormat="false" ht="15" hidden="false" customHeight="false" outlineLevel="0" collapsed="false">
      <c r="AZ1500" s="5" t="str">
        <f aca="false">IF($B1500="","",SUMPRODUCT(($AL1500:$AO1500&lt;&gt;"")*(COUNTIF($AP1500:$AX1500,$AL1500:$AO1500)&gt;0)))</f>
        <v/>
      </c>
      <c r="BA1500" s="5" t="str">
        <f aca="false">IF($B1500="","",IF(AZ1500&gt;0,1,0))</f>
        <v/>
      </c>
      <c r="BB1500" s="5" t="str">
        <f aca="false">IF($AP1500="","",IF((($AP1500="Engineering and Technology")+($AP1500="Science and Mathematics")+($AP1500="Computer Science, IT and Allied Fields")+($AP1500="Life Sciences /Medicine and Healthcare")+($AP1500="Paramedical")+($AP1500="Architecture")+($AP1500="Environmental Service")+($AP1500="Agriculture, Food Industry and Forestry"))&gt;0,"Science",IF((($AP1500="Banking and Finance")+($AP1500="Management and Administration")+($AP1500="Marketing")+($AP1500="Sales")+($AP1500="Entrepreneurship")+($AP1500="Hospitality and Tourism"))&gt;0,"Commerce",IF((($AP1500="Social Sciences and Humanities")+($AP1500="Law Studies")+($AP1500="Education and Training")+($AP1500="Art, Design")+($AP1500="Entertainment and Mass Media")+($AP1500="Community and Social Service")+($AP1500="Personal Care and Services")+($AP1500="Government and Public Administration")+($AP1500="Defence/ Protective Service")+($AP1500="Sports"))&gt;0,"Arts / Humanities",""))))</f>
        <v/>
      </c>
      <c r="BC1500" s="5" t="str">
        <f aca="false">IF($AL1500="","",IF((($AL1500="Engineering and Technology")+($AL1500="Science and Mathematics")+($AL1500="Computer Science, IT and Allied Fields")+($AL1500="Life Sciences /Medicine and Healthcare")+($AL1500="Paramedical")+($AL1500="Architecture")+($AL1500="Environmental Service")+($AL1500="Agriculture, Food Industry and Forestry"))&gt;0,"Science",IF((($AL1500="Banking and Finance")+($AL1500="Management and Administration")+($AL1500="Marketing")+($AL1500="Sales")+($AL1500="Entrepreneurship")+($AL1500="Hospitality and Tourism"))&gt;0,"Commerce",IF((($AL1500="Social Sciences and Humanities")+($AL1500="Law Studies")+($AL1500="Education and Training")+($AL1500="Art, Design")+($AL1500="Entertainment and Mass Media")+($AL1500="Community and Social Service")+($AL1500="Personal Care and Services")+($AL1500="Government and Public Administration")+($AL1500="Defence/ Protective Service")+($AL1500="Sports"))&gt;0,"Arts / Humanities",""))))</f>
        <v/>
      </c>
      <c r="BD1500" s="5" t="str">
        <f aca="false">IF($B1500="","",--(F1500&gt;=10)+--(G1500&gt;=10)+--(H1500&gt;=10)+--(I1500&gt;=10)+--(J1500&gt;=10)+--(K1500&gt;=10)+--(L1500&gt;=10)+--(M1500&gt;=10)+--(N1500&gt;=10)+--(O1500&gt;=10))</f>
        <v/>
      </c>
      <c r="BE1500" s="5" t="str">
        <f aca="false">IF($B1500="","",--(AND(F1500&lt;&gt;"",F1500&lt;=8))+--(AND(G1500&lt;&gt;"",G1500&lt;=8))+--(AND(H1500&lt;&gt;"",H1500&lt;=8))+--(AND(I1500&lt;&gt;"",I1500&lt;=8))+--(AND(J1500&lt;&gt;"",J1500&lt;=8))+--(AND(K1500&lt;&gt;"",K1500&lt;=8))+--(AND(L1500&lt;&gt;"",L1500&lt;=8))+--(AND(M1500&lt;&gt;"",M1500&lt;=8))+--(AND(N1500&lt;&gt;"",N1500&lt;=8))+--(AND(O1500&lt;&gt;"",O1500&lt;=8)))</f>
        <v/>
      </c>
    </row>
    <row r="1501" customFormat="false" ht="15" hidden="false" customHeight="false" outlineLevel="0" collapsed="false">
      <c r="AZ1501" s="5" t="str">
        <f aca="false">IF($B1501="","",SUMPRODUCT(($AL1501:$AO1501&lt;&gt;"")*(COUNTIF($AP1501:$AX1501,$AL1501:$AO1501)&gt;0)))</f>
        <v/>
      </c>
      <c r="BA1501" s="5" t="str">
        <f aca="false">IF($B1501="","",IF(AZ1501&gt;0,1,0))</f>
        <v/>
      </c>
      <c r="BB1501" s="5" t="str">
        <f aca="false">IF($AP1501="","",IF((($AP1501="Engineering and Technology")+($AP1501="Science and Mathematics")+($AP1501="Computer Science, IT and Allied Fields")+($AP1501="Life Sciences /Medicine and Healthcare")+($AP1501="Paramedical")+($AP1501="Architecture")+($AP1501="Environmental Service")+($AP1501="Agriculture, Food Industry and Forestry"))&gt;0,"Science",IF((($AP1501="Banking and Finance")+($AP1501="Management and Administration")+($AP1501="Marketing")+($AP1501="Sales")+($AP1501="Entrepreneurship")+($AP1501="Hospitality and Tourism"))&gt;0,"Commerce",IF((($AP1501="Social Sciences and Humanities")+($AP1501="Law Studies")+($AP1501="Education and Training")+($AP1501="Art, Design")+($AP1501="Entertainment and Mass Media")+($AP1501="Community and Social Service")+($AP1501="Personal Care and Services")+($AP1501="Government and Public Administration")+($AP1501="Defence/ Protective Service")+($AP1501="Sports"))&gt;0,"Arts / Humanities",""))))</f>
        <v/>
      </c>
      <c r="BC1501" s="5" t="str">
        <f aca="false">IF($AL1501="","",IF((($AL1501="Engineering and Technology")+($AL1501="Science and Mathematics")+($AL1501="Computer Science, IT and Allied Fields")+($AL1501="Life Sciences /Medicine and Healthcare")+($AL1501="Paramedical")+($AL1501="Architecture")+($AL1501="Environmental Service")+($AL1501="Agriculture, Food Industry and Forestry"))&gt;0,"Science",IF((($AL1501="Banking and Finance")+($AL1501="Management and Administration")+($AL1501="Marketing")+($AL1501="Sales")+($AL1501="Entrepreneurship")+($AL1501="Hospitality and Tourism"))&gt;0,"Commerce",IF((($AL1501="Social Sciences and Humanities")+($AL1501="Law Studies")+($AL1501="Education and Training")+($AL1501="Art, Design")+($AL1501="Entertainment and Mass Media")+($AL1501="Community and Social Service")+($AL1501="Personal Care and Services")+($AL1501="Government and Public Administration")+($AL1501="Defence/ Protective Service")+($AL1501="Sports"))&gt;0,"Arts / Humanities",""))))</f>
        <v/>
      </c>
      <c r="BD1501" s="5" t="str">
        <f aca="false">IF($B1501="","",--(F1501&gt;=10)+--(G1501&gt;=10)+--(H1501&gt;=10)+--(I1501&gt;=10)+--(J1501&gt;=10)+--(K1501&gt;=10)+--(L1501&gt;=10)+--(M1501&gt;=10)+--(N1501&gt;=10)+--(O1501&gt;=10))</f>
        <v/>
      </c>
      <c r="BE1501" s="5" t="str">
        <f aca="false">IF($B1501="","",--(AND(F1501&lt;&gt;"",F1501&lt;=8))+--(AND(G1501&lt;&gt;"",G1501&lt;=8))+--(AND(H1501&lt;&gt;"",H1501&lt;=8))+--(AND(I1501&lt;&gt;"",I1501&lt;=8))+--(AND(J1501&lt;&gt;"",J1501&lt;=8))+--(AND(K1501&lt;&gt;"",K1501&lt;=8))+--(AND(L1501&lt;&gt;"",L1501&lt;=8))+--(AND(M1501&lt;&gt;"",M1501&lt;=8))+--(AND(N1501&lt;&gt;"",N1501&lt;=8))+--(AND(O1501&lt;&gt;"",O1501&lt;=8)))</f>
        <v/>
      </c>
    </row>
    <row r="1502" customFormat="false" ht="15" hidden="false" customHeight="false" outlineLevel="0" collapsed="false">
      <c r="AZ1502" s="5" t="str">
        <f aca="false">IF($B1502="","",SUMPRODUCT(($AL1502:$AO1502&lt;&gt;"")*(COUNTIF($AP1502:$AX1502,$AL1502:$AO1502)&gt;0)))</f>
        <v/>
      </c>
      <c r="BA1502" s="5" t="str">
        <f aca="false">IF($B1502="","",IF(AZ1502&gt;0,1,0))</f>
        <v/>
      </c>
      <c r="BB1502" s="5" t="str">
        <f aca="false">IF($AP1502="","",IF((($AP1502="Engineering and Technology")+($AP1502="Science and Mathematics")+($AP1502="Computer Science, IT and Allied Fields")+($AP1502="Life Sciences /Medicine and Healthcare")+($AP1502="Paramedical")+($AP1502="Architecture")+($AP1502="Environmental Service")+($AP1502="Agriculture, Food Industry and Forestry"))&gt;0,"Science",IF((($AP1502="Banking and Finance")+($AP1502="Management and Administration")+($AP1502="Marketing")+($AP1502="Sales")+($AP1502="Entrepreneurship")+($AP1502="Hospitality and Tourism"))&gt;0,"Commerce",IF((($AP1502="Social Sciences and Humanities")+($AP1502="Law Studies")+($AP1502="Education and Training")+($AP1502="Art, Design")+($AP1502="Entertainment and Mass Media")+($AP1502="Community and Social Service")+($AP1502="Personal Care and Services")+($AP1502="Government and Public Administration")+($AP1502="Defence/ Protective Service")+($AP1502="Sports"))&gt;0,"Arts / Humanities",""))))</f>
        <v/>
      </c>
      <c r="BC1502" s="5" t="str">
        <f aca="false">IF($AL1502="","",IF((($AL1502="Engineering and Technology")+($AL1502="Science and Mathematics")+($AL1502="Computer Science, IT and Allied Fields")+($AL1502="Life Sciences /Medicine and Healthcare")+($AL1502="Paramedical")+($AL1502="Architecture")+($AL1502="Environmental Service")+($AL1502="Agriculture, Food Industry and Forestry"))&gt;0,"Science",IF((($AL1502="Banking and Finance")+($AL1502="Management and Administration")+($AL1502="Marketing")+($AL1502="Sales")+($AL1502="Entrepreneurship")+($AL1502="Hospitality and Tourism"))&gt;0,"Commerce",IF((($AL1502="Social Sciences and Humanities")+($AL1502="Law Studies")+($AL1502="Education and Training")+($AL1502="Art, Design")+($AL1502="Entertainment and Mass Media")+($AL1502="Community and Social Service")+($AL1502="Personal Care and Services")+($AL1502="Government and Public Administration")+($AL1502="Defence/ Protective Service")+($AL1502="Sports"))&gt;0,"Arts / Humanities",""))))</f>
        <v/>
      </c>
      <c r="BD1502" s="5" t="str">
        <f aca="false">IF($B1502="","",--(F1502&gt;=10)+--(G1502&gt;=10)+--(H1502&gt;=10)+--(I1502&gt;=10)+--(J1502&gt;=10)+--(K1502&gt;=10)+--(L1502&gt;=10)+--(M1502&gt;=10)+--(N1502&gt;=10)+--(O1502&gt;=10))</f>
        <v/>
      </c>
      <c r="BE1502" s="5" t="str">
        <f aca="false">IF($B1502="","",--(AND(F1502&lt;&gt;"",F1502&lt;=8))+--(AND(G1502&lt;&gt;"",G1502&lt;=8))+--(AND(H1502&lt;&gt;"",H1502&lt;=8))+--(AND(I1502&lt;&gt;"",I1502&lt;=8))+--(AND(J1502&lt;&gt;"",J1502&lt;=8))+--(AND(K1502&lt;&gt;"",K1502&lt;=8))+--(AND(L1502&lt;&gt;"",L1502&lt;=8))+--(AND(M1502&lt;&gt;"",M1502&lt;=8))+--(AND(N1502&lt;&gt;"",N1502&lt;=8))+--(AND(O1502&lt;&gt;"",O1502&lt;=8)))</f>
        <v/>
      </c>
    </row>
    <row r="1503" customFormat="false" ht="15" hidden="false" customHeight="false" outlineLevel="0" collapsed="false">
      <c r="AZ1503" s="5" t="str">
        <f aca="false">IF($B1503="","",SUMPRODUCT(($AL1503:$AO1503&lt;&gt;"")*(COUNTIF($AP1503:$AX1503,$AL1503:$AO1503)&gt;0)))</f>
        <v/>
      </c>
      <c r="BA1503" s="5" t="str">
        <f aca="false">IF($B1503="","",IF(AZ1503&gt;0,1,0))</f>
        <v/>
      </c>
      <c r="BB1503" s="5" t="str">
        <f aca="false">IF($AP1503="","",IF((($AP1503="Engineering and Technology")+($AP1503="Science and Mathematics")+($AP1503="Computer Science, IT and Allied Fields")+($AP1503="Life Sciences /Medicine and Healthcare")+($AP1503="Paramedical")+($AP1503="Architecture")+($AP1503="Environmental Service")+($AP1503="Agriculture, Food Industry and Forestry"))&gt;0,"Science",IF((($AP1503="Banking and Finance")+($AP1503="Management and Administration")+($AP1503="Marketing")+($AP1503="Sales")+($AP1503="Entrepreneurship")+($AP1503="Hospitality and Tourism"))&gt;0,"Commerce",IF((($AP1503="Social Sciences and Humanities")+($AP1503="Law Studies")+($AP1503="Education and Training")+($AP1503="Art, Design")+($AP1503="Entertainment and Mass Media")+($AP1503="Community and Social Service")+($AP1503="Personal Care and Services")+($AP1503="Government and Public Administration")+($AP1503="Defence/ Protective Service")+($AP1503="Sports"))&gt;0,"Arts / Humanities",""))))</f>
        <v/>
      </c>
      <c r="BC1503" s="5" t="str">
        <f aca="false">IF($AL1503="","",IF((($AL1503="Engineering and Technology")+($AL1503="Science and Mathematics")+($AL1503="Computer Science, IT and Allied Fields")+($AL1503="Life Sciences /Medicine and Healthcare")+($AL1503="Paramedical")+($AL1503="Architecture")+($AL1503="Environmental Service")+($AL1503="Agriculture, Food Industry and Forestry"))&gt;0,"Science",IF((($AL1503="Banking and Finance")+($AL1503="Management and Administration")+($AL1503="Marketing")+($AL1503="Sales")+($AL1503="Entrepreneurship")+($AL1503="Hospitality and Tourism"))&gt;0,"Commerce",IF((($AL1503="Social Sciences and Humanities")+($AL1503="Law Studies")+($AL1503="Education and Training")+($AL1503="Art, Design")+($AL1503="Entertainment and Mass Media")+($AL1503="Community and Social Service")+($AL1503="Personal Care and Services")+($AL1503="Government and Public Administration")+($AL1503="Defence/ Protective Service")+($AL1503="Sports"))&gt;0,"Arts / Humanities",""))))</f>
        <v/>
      </c>
      <c r="BD1503" s="5" t="str">
        <f aca="false">IF($B1503="","",--(F1503&gt;=10)+--(G1503&gt;=10)+--(H1503&gt;=10)+--(I1503&gt;=10)+--(J1503&gt;=10)+--(K1503&gt;=10)+--(L1503&gt;=10)+--(M1503&gt;=10)+--(N1503&gt;=10)+--(O1503&gt;=10))</f>
        <v/>
      </c>
      <c r="BE1503" s="5" t="str">
        <f aca="false">IF($B1503="","",--(AND(F1503&lt;&gt;"",F1503&lt;=8))+--(AND(G1503&lt;&gt;"",G1503&lt;=8))+--(AND(H1503&lt;&gt;"",H1503&lt;=8))+--(AND(I1503&lt;&gt;"",I1503&lt;=8))+--(AND(J1503&lt;&gt;"",J1503&lt;=8))+--(AND(K1503&lt;&gt;"",K1503&lt;=8))+--(AND(L1503&lt;&gt;"",L1503&lt;=8))+--(AND(M1503&lt;&gt;"",M1503&lt;=8))+--(AND(N1503&lt;&gt;"",N1503&lt;=8))+--(AND(O1503&lt;&gt;"",O1503&lt;=8)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B37"/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4"/>
    <col collapsed="false" customWidth="true" hidden="false" outlineLevel="0" max="8" min="8" style="0" width="30"/>
    <col collapsed="false" customWidth="true" hidden="false" outlineLevel="0" max="11" min="9" style="0" width="14"/>
  </cols>
  <sheetData>
    <row r="1" customFormat="false" ht="18.55" hidden="false" customHeight="false" outlineLevel="0" collapsed="false">
      <c r="B1" s="1" t="s">
        <v>58</v>
      </c>
    </row>
    <row r="2" customFormat="false" ht="15" hidden="false" customHeight="false" outlineLevel="0" collapsed="false">
      <c r="B2" s="2" t="s">
        <v>59</v>
      </c>
    </row>
    <row r="3" customFormat="false" ht="15" hidden="false" customHeight="false" outlineLevel="0" collapsed="false">
      <c r="D3" s="6" t="s">
        <v>60</v>
      </c>
      <c r="E3" s="6" t="s">
        <v>61</v>
      </c>
    </row>
    <row r="4" customFormat="false" ht="15" hidden="false" customHeight="false" outlineLevel="0" collapsed="false">
      <c r="B4" s="7" t="s">
        <v>62</v>
      </c>
      <c r="C4" s="8" t="s">
        <v>63</v>
      </c>
      <c r="D4" s="6" t="n">
        <f aca="false">IF(C4="All",1,C4)</f>
        <v>1</v>
      </c>
      <c r="E4" s="6" t="n">
        <f aca="false">IF(C4="All",99,C4)</f>
        <v>99</v>
      </c>
    </row>
    <row r="6" customFormat="false" ht="15" hidden="false" customHeight="false" outlineLevel="0" collapsed="false">
      <c r="A6" s="9" t="s">
        <v>64</v>
      </c>
    </row>
    <row r="7" customFormat="false" ht="25.5" hidden="false" customHeight="true" outlineLevel="0" collapsed="false">
      <c r="A7" s="3"/>
      <c r="B7" s="3" t="s">
        <v>65</v>
      </c>
      <c r="C7" s="3" t="s">
        <v>66</v>
      </c>
      <c r="D7" s="3"/>
      <c r="E7" s="3"/>
      <c r="F7" s="3"/>
    </row>
    <row r="8" customFormat="false" ht="15" hidden="false" customHeight="false" outlineLevel="0" collapsed="false">
      <c r="B8" s="10" t="s">
        <v>67</v>
      </c>
      <c r="C8" s="11" t="n">
        <f aca="false">COUNTIFS('1. PASTE DATA'!$B$4:$B$1503,"&lt;&gt;",'1. PASTE DATA'!$C$4:$C$1503,"&gt;="&amp;'2. SUMMARY'!$D$4,'1. PASTE DATA'!$C$4:$C$1503,"&lt;="&amp;'2. SUMMARY'!$E$4)</f>
        <v>0</v>
      </c>
    </row>
    <row r="9" customFormat="false" ht="15" hidden="false" customHeight="false" outlineLevel="0" collapsed="false">
      <c r="B9" s="10" t="s">
        <v>68</v>
      </c>
      <c r="C9" s="11" t="n">
        <f aca="false">COUNTIFS('1. PASTE DATA'!$E$4:$E$1503,"F",'1. PASTE DATA'!$C$4:$C$1503,"&gt;="&amp;'2. SUMMARY'!$D$4,'1. PASTE DATA'!$C$4:$C$1503,"&lt;="&amp;'2. SUMMARY'!$E$4)</f>
        <v>0</v>
      </c>
    </row>
    <row r="10" customFormat="false" ht="15" hidden="false" customHeight="false" outlineLevel="0" collapsed="false">
      <c r="B10" s="10" t="s">
        <v>69</v>
      </c>
      <c r="C10" s="11" t="n">
        <f aca="false">COUNTIFS('1. PASTE DATA'!$E$4:$E$1503,"M",'1. PASTE DATA'!$C$4:$C$1503,"&gt;="&amp;'2. SUMMARY'!$D$4,'1. PASTE DATA'!$C$4:$C$1503,"&lt;="&amp;'2. SUMMARY'!$E$4)</f>
        <v>0</v>
      </c>
    </row>
    <row r="11" customFormat="false" ht="35.05" hidden="false" customHeight="false" outlineLevel="0" collapsed="false">
      <c r="B11" s="12" t="s">
        <v>70</v>
      </c>
      <c r="C11" s="13" t="n">
        <f aca="false">IFERROR(ROUND(SUMIFS('1. PASTE DATA'!$BA$4:$BA$1503,'1. PASTE DATA'!$C$4:$C$1503,"&gt;="&amp;'2. SUMMARY'!$D$4,'1. PASTE DATA'!$C$4:$C$1503,"&lt;="&amp;'2. SUMMARY'!$E$4)/COUNTIFS('1. PASTE DATA'!$B$4:$B$1503,"&lt;&gt;",'1. PASTE DATA'!$C$4:$C$1503,"&gt;="&amp;'2. SUMMARY'!$D$4,'1. PASTE DATA'!$C$4:$C$1503,"&lt;="&amp;'2. SUMMARY'!$E$4)*100,0),0)</f>
        <v>0</v>
      </c>
    </row>
    <row r="12" customFormat="false" ht="15" hidden="false" customHeight="false" outlineLevel="0" collapsed="false">
      <c r="B12" s="10" t="s">
        <v>71</v>
      </c>
      <c r="C12" s="11" t="n">
        <f aca="false">IFERROR(ROUND(SUMIFS('1. PASTE DATA'!$AZ$4:$AZ$1503,'1. PASTE DATA'!$C$4:$C$1503,"&gt;="&amp;'2. SUMMARY'!$D$4,'1. PASTE DATA'!$C$4:$C$1503,"&lt;="&amp;'2. SUMMARY'!$E$4)/COUNTIFS('1. PASTE DATA'!$B$4:$B$1503,"&lt;&gt;",'1. PASTE DATA'!$C$4:$C$1503,"&gt;="&amp;'2. SUMMARY'!$D$4,'1. PASTE DATA'!$C$4:$C$1503,"&lt;="&amp;'2. SUMMARY'!$E$4),2),0)</f>
        <v>0</v>
      </c>
    </row>
    <row r="14" customFormat="false" ht="15" hidden="false" customHeight="false" outlineLevel="0" collapsed="false">
      <c r="A14" s="9" t="s">
        <v>72</v>
      </c>
    </row>
    <row r="15" customFormat="false" ht="25.5" hidden="false" customHeight="true" outlineLevel="0" collapsed="false">
      <c r="A15" s="3"/>
      <c r="B15" s="3" t="s">
        <v>4</v>
      </c>
      <c r="C15" s="3" t="s">
        <v>73</v>
      </c>
      <c r="D15" s="3" t="s">
        <v>74</v>
      </c>
      <c r="E15" s="3"/>
      <c r="F15" s="3"/>
    </row>
    <row r="16" customFormat="false" ht="15" hidden="false" customHeight="false" outlineLevel="0" collapsed="false">
      <c r="B16" s="10" t="s">
        <v>75</v>
      </c>
      <c r="C16" s="10" t="n">
        <f aca="false">COUNTIFS('1. PASTE DATA'!$C$4:$C$1503,6,'1. PASTE DATA'!$B$4:$B$1503,"&lt;&gt;")</f>
        <v>0</v>
      </c>
      <c r="D16" s="14" t="n">
        <f aca="false">IFERROR(ROUND(C16/SUM($C$16:$C$22)*100,0),0)</f>
        <v>0</v>
      </c>
    </row>
    <row r="17" customFormat="false" ht="15" hidden="false" customHeight="false" outlineLevel="0" collapsed="false">
      <c r="B17" s="10" t="s">
        <v>76</v>
      </c>
      <c r="C17" s="10" t="n">
        <f aca="false">COUNTIFS('1. PASTE DATA'!$C$4:$C$1503,7,'1. PASTE DATA'!$B$4:$B$1503,"&lt;&gt;")</f>
        <v>0</v>
      </c>
      <c r="D17" s="14" t="n">
        <f aca="false">IFERROR(ROUND(C17/SUM($C$16:$C$22)*100,0),0)</f>
        <v>0</v>
      </c>
    </row>
    <row r="18" customFormat="false" ht="15" hidden="false" customHeight="false" outlineLevel="0" collapsed="false">
      <c r="B18" s="10" t="s">
        <v>77</v>
      </c>
      <c r="C18" s="10" t="n">
        <f aca="false">COUNTIFS('1. PASTE DATA'!$C$4:$C$1503,8,'1. PASTE DATA'!$B$4:$B$1503,"&lt;&gt;")</f>
        <v>0</v>
      </c>
      <c r="D18" s="14" t="n">
        <f aca="false">IFERROR(ROUND(C18/SUM($C$16:$C$22)*100,0),0)</f>
        <v>0</v>
      </c>
    </row>
    <row r="19" customFormat="false" ht="15" hidden="false" customHeight="false" outlineLevel="0" collapsed="false">
      <c r="B19" s="10" t="s">
        <v>78</v>
      </c>
      <c r="C19" s="10" t="n">
        <f aca="false">COUNTIFS('1. PASTE DATA'!$C$4:$C$1503,9,'1. PASTE DATA'!$B$4:$B$1503,"&lt;&gt;")</f>
        <v>0</v>
      </c>
      <c r="D19" s="14" t="n">
        <f aca="false">IFERROR(ROUND(C19/SUM($C$16:$C$22)*100,0),0)</f>
        <v>0</v>
      </c>
    </row>
    <row r="20" customFormat="false" ht="15" hidden="false" customHeight="false" outlineLevel="0" collapsed="false">
      <c r="B20" s="10" t="s">
        <v>79</v>
      </c>
      <c r="C20" s="10" t="n">
        <f aca="false">COUNTIFS('1. PASTE DATA'!$C$4:$C$1503,10,'1. PASTE DATA'!$B$4:$B$1503,"&lt;&gt;")</f>
        <v>0</v>
      </c>
      <c r="D20" s="14" t="n">
        <f aca="false">IFERROR(ROUND(C20/SUM($C$16:$C$22)*100,0),0)</f>
        <v>0</v>
      </c>
    </row>
    <row r="21" customFormat="false" ht="15" hidden="false" customHeight="false" outlineLevel="0" collapsed="false">
      <c r="B21" s="10" t="s">
        <v>80</v>
      </c>
      <c r="C21" s="10" t="n">
        <f aca="false">COUNTIFS('1. PASTE DATA'!$C$4:$C$1503,11,'1. PASTE DATA'!$B$4:$B$1503,"&lt;&gt;")</f>
        <v>0</v>
      </c>
      <c r="D21" s="14" t="n">
        <f aca="false">IFERROR(ROUND(C21/SUM($C$16:$C$22)*100,0),0)</f>
        <v>0</v>
      </c>
    </row>
    <row r="22" customFormat="false" ht="15" hidden="false" customHeight="false" outlineLevel="0" collapsed="false">
      <c r="B22" s="10" t="s">
        <v>81</v>
      </c>
      <c r="C22" s="10" t="n">
        <f aca="false">COUNTIFS('1. PASTE DATA'!$C$4:$C$1503,12,'1. PASTE DATA'!$B$4:$B$1503,"&lt;&gt;")</f>
        <v>0</v>
      </c>
      <c r="D22" s="14" t="n">
        <f aca="false">IFERROR(ROUND(C22/SUM($C$16:$C$22)*100,0),0)</f>
        <v>0</v>
      </c>
    </row>
    <row r="23" customFormat="false" ht="15" hidden="false" customHeight="false" outlineLevel="0" collapsed="false">
      <c r="B23" s="7" t="s">
        <v>82</v>
      </c>
      <c r="C23" s="7" t="n">
        <f aca="false">SUM(C16:C22)</f>
        <v>0</v>
      </c>
    </row>
    <row r="25" customFormat="false" ht="15" hidden="false" customHeight="false" outlineLevel="0" collapsed="false">
      <c r="A25" s="9" t="s">
        <v>83</v>
      </c>
      <c r="B25" s="10" t="s">
        <v>84</v>
      </c>
      <c r="C25" s="15" t="str">
        <f aca="false">INDEX('3. PERSONALITY'!$B$6:$B$11,MATCH(MAX('3. PERSONALITY'!$D$6:$D$11),'3. PERSONALITY'!$D$6:$D$11,0))</f>
        <v>Doer  (Realistic)</v>
      </c>
      <c r="D25" s="15"/>
    </row>
    <row r="26" customFormat="false" ht="25.5" hidden="false" customHeight="true" outlineLevel="0" collapsed="false">
      <c r="A26" s="3"/>
      <c r="B26" s="16" t="s">
        <v>85</v>
      </c>
      <c r="C26" s="17" t="str">
        <f aca="false">INDEX('3. PERSONALITY'!$B$6:$B$11,MATCH(LARGE('3. PERSONALITY'!$D$6:$D$11,2),'3. PERSONALITY'!$D$6:$D$11,0))</f>
        <v>Doer  (Realistic)</v>
      </c>
      <c r="D26" s="17"/>
      <c r="E26" s="3"/>
      <c r="F26" s="3"/>
    </row>
    <row r="27" customFormat="false" ht="15" hidden="false" customHeight="false" outlineLevel="0" collapsed="false">
      <c r="B27" s="10" t="s">
        <v>86</v>
      </c>
      <c r="C27" s="15" t="str">
        <f aca="false">INDEX('4. LEARNING STYLE'!$B$6:$B$13,MATCH(MAX('4. LEARNING STYLE'!$C$6:$C$13),'4. LEARNING STYLE'!$C$6:$C$13,0))</f>
        <v>Body smart  (Bodily-Kinesthetic)</v>
      </c>
      <c r="D27" s="15"/>
    </row>
    <row r="28" customFormat="false" ht="15" hidden="false" customHeight="false" outlineLevel="0" collapsed="false">
      <c r="B28" s="10" t="s">
        <v>87</v>
      </c>
      <c r="C28" s="15" t="str">
        <f aca="false">INDEX('4. LEARNING STYLE'!$B$6:$B$13,MATCH(MIN('4. LEARNING STYLE'!$C$6:$C$13),'4. LEARNING STYLE'!$C$6:$C$13,0))</f>
        <v>Body smart  (Bodily-Kinesthetic)</v>
      </c>
      <c r="D28" s="15"/>
    </row>
    <row r="29" customFormat="false" ht="15" hidden="false" customHeight="false" outlineLevel="0" collapsed="false">
      <c r="B29" s="10" t="s">
        <v>88</v>
      </c>
      <c r="C29" s="15" t="str">
        <f aca="false">INDEX('5. ABILITIES'!$B$6:$B$15,MATCH(MAX('5. ABILITIES'!$C$6:$C$15),'5. ABILITIES'!$C$6:$C$15,0))</f>
        <v>Speed and accuracy</v>
      </c>
      <c r="D29" s="15"/>
    </row>
    <row r="30" customFormat="false" ht="15" hidden="false" customHeight="false" outlineLevel="0" collapsed="false">
      <c r="B30" s="10" t="s">
        <v>89</v>
      </c>
      <c r="C30" s="15" t="str">
        <f aca="false">INDEX('5. ABILITIES'!$B$6:$B$15,MATCH(MAX('5. ABILITIES'!$D$6:$D$15),'5. ABILITIES'!$D$6:$D$15,0))</f>
        <v>Speed and accuracy</v>
      </c>
      <c r="D30" s="15"/>
    </row>
    <row r="31" customFormat="false" ht="15" hidden="false" customHeight="false" outlineLevel="0" collapsed="false">
      <c r="B31" s="10" t="s">
        <v>90</v>
      </c>
      <c r="C31" s="15" t="str">
        <f aca="false">INDEX('6. VALUES'!$B$6:$B$20,MATCH(MAX('6. VALUES'!$C$6:$C$20),'6. VALUES'!$C$6:$C$20,0))</f>
        <v>Lucrative Salary</v>
      </c>
      <c r="D31" s="15"/>
    </row>
    <row r="32" customFormat="false" ht="15" hidden="false" customHeight="false" outlineLevel="0" collapsed="false">
      <c r="B32" s="10" t="s">
        <v>91</v>
      </c>
      <c r="C32" s="15" t="str">
        <f aca="false">'7. CAREER GAP'!$B$6</f>
        <v>Science</v>
      </c>
      <c r="D32" s="15"/>
    </row>
    <row r="33" customFormat="false" ht="15" hidden="false" customHeight="false" outlineLevel="0" collapsed="false">
      <c r="B33" s="10" t="s">
        <v>92</v>
      </c>
      <c r="C33" s="15" t="str">
        <f aca="false">'7. CAREER GAP'!$B$7</f>
        <v>Commerce</v>
      </c>
      <c r="D33" s="15"/>
    </row>
  </sheetData>
  <mergeCells count="9"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</mergeCells>
  <dataValidations count="1">
    <dataValidation allowBlank="false" errorStyle="stop" operator="between" showDropDown="false" showErrorMessage="false" showInputMessage="false" sqref="C4" type="list">
      <formula1>"All,6,7,8,9,10,11,12"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5" min="3" style="0" width="15"/>
    <col collapsed="false" customWidth="true" hidden="false" outlineLevel="0" max="6" min="6" style="0" width="17"/>
    <col collapsed="false" customWidth="true" hidden="false" outlineLevel="0" max="7" min="7" style="0" width="19"/>
  </cols>
  <sheetData>
    <row r="1" customFormat="false" ht="18.5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5" customFormat="false" ht="30" hidden="false" customHeight="true" outlineLevel="0" collapsed="false">
      <c r="A5" s="3"/>
      <c r="B5" s="3" t="s">
        <v>95</v>
      </c>
      <c r="C5" s="3" t="s">
        <v>96</v>
      </c>
      <c r="D5" s="3" t="s">
        <v>97</v>
      </c>
      <c r="E5" s="3" t="s">
        <v>98</v>
      </c>
      <c r="F5" s="3" t="s">
        <v>99</v>
      </c>
      <c r="G5" s="3" t="s">
        <v>100</v>
      </c>
    </row>
    <row r="6" customFormat="false" ht="15" hidden="false" customHeight="false" outlineLevel="0" collapsed="false">
      <c r="B6" s="10" t="s">
        <v>101</v>
      </c>
      <c r="C6" s="10" t="n">
        <f aca="false">IFERROR(ROUND(AVERAGEIFS('1. PASTE DATA'!$X$4:$X$1503,'1. PASTE DATA'!$C$4:$C$1503,"&gt;="&amp;'2. SUMMARY'!$D$4,'1. PASTE DATA'!$C$4:$C$1503,"&lt;="&amp;'2. SUMMARY'!$E$4),1),0)</f>
        <v>0</v>
      </c>
      <c r="D6" s="13" t="n">
        <f aca="false">IFERROR(ROUND((COUNTIFS('1. PASTE DATA'!$AD$4:$AD$1503,"Realistic",'1.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6" s="14" t="n">
        <f aca="false">IFERROR(ROUND((COUNTIFS('1. PASTE DATA'!$AD$4:$AD$1503,"Realistic",'1. PASTE DATA'!$C$4:$C$1503,"&gt;="&amp;'2. SUMMARY'!$D$4,'1. PASTE DATA'!$C$4:$C$1503,"&lt;="&amp;'2. SUMMARY'!$E$4)+COUNTIFS('1. PASTE DATA'!$AE$4:$AE$1503,"Realistic",'1. PASTE DATA'!$C$4:$C$1503,"&gt;="&amp;'2. SUMMARY'!$D$4,'1. PASTE DATA'!$C$4:$C$1503,"&lt;="&amp;'2. SUMMARY'!$E$4)+COUNTIFS('1. PASTE DATA'!$AF$4:$AF$1503,"Realistic",'1.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F6" s="10" t="n">
        <f aca="false">COUNTIFS('1. PASTE DATA'!$AD$4:$AD$1503,"Realistic",'1. PASTE DATA'!$C$4:$C$1503,"&gt;="&amp;'2. SUMMARY'!$D$4,'1. PASTE DATA'!$C$4:$C$1503,"&lt;="&amp;'2. SUMMARY'!$E$4)</f>
        <v>0</v>
      </c>
      <c r="G6" s="10" t="n">
        <f aca="false">COUNTIFS('1. PASTE DATA'!$AD$4:$AD$1503,"Realistic",'1. PASTE DATA'!$C$4:$C$1503,"&gt;="&amp;'2. SUMMARY'!$D$4,'1. PASTE DATA'!$C$4:$C$1503,"&lt;="&amp;'2. SUMMARY'!$E$4)+COUNTIFS('1. PASTE DATA'!$AE$4:$AE$1503,"Realistic",'1. PASTE DATA'!$C$4:$C$1503,"&gt;="&amp;'2. SUMMARY'!$D$4,'1. PASTE DATA'!$C$4:$C$1503,"&lt;="&amp;'2. SUMMARY'!$E$4)+COUNTIFS('1. PASTE DATA'!$AF$4:$AF$1503,"Realistic",'1. PASTE DATA'!$C$4:$C$1503,"&gt;="&amp;'2. SUMMARY'!$D$4,'1. PASTE DATA'!$C$4:$C$1503,"&lt;="&amp;'2. SUMMARY'!$E$4)</f>
        <v>0</v>
      </c>
    </row>
    <row r="7" customFormat="false" ht="15" hidden="false" customHeight="false" outlineLevel="0" collapsed="false">
      <c r="B7" s="10" t="s">
        <v>102</v>
      </c>
      <c r="C7" s="10" t="n">
        <f aca="false">IFERROR(ROUND(AVERAGEIFS('1. PASTE DATA'!$Y$4:$Y$1503,'1. PASTE DATA'!$C$4:$C$1503,"&gt;="&amp;'2. SUMMARY'!$D$4,'1. PASTE DATA'!$C$4:$C$1503,"&lt;="&amp;'2. SUMMARY'!$E$4),1),0)</f>
        <v>0</v>
      </c>
      <c r="D7" s="13" t="n">
        <f aca="false">IFERROR(ROUND((COUNTIFS('1. PASTE DATA'!$AD$4:$AD$1503,"Investigative",'1.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7" s="14" t="n">
        <f aca="false">IFERROR(ROUND((COUNTIFS('1. PASTE DATA'!$AD$4:$AD$1503,"Investigative",'1. PASTE DATA'!$C$4:$C$1503,"&gt;="&amp;'2. SUMMARY'!$D$4,'1. PASTE DATA'!$C$4:$C$1503,"&lt;="&amp;'2. SUMMARY'!$E$4)+COUNTIFS('1. PASTE DATA'!$AE$4:$AE$1503,"Investigative",'1. PASTE DATA'!$C$4:$C$1503,"&gt;="&amp;'2. SUMMARY'!$D$4,'1. PASTE DATA'!$C$4:$C$1503,"&lt;="&amp;'2. SUMMARY'!$E$4)+COUNTIFS('1. PASTE DATA'!$AF$4:$AF$1503,"Investigative",'1.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F7" s="10" t="n">
        <f aca="false">COUNTIFS('1. PASTE DATA'!$AD$4:$AD$1503,"Investigative",'1. PASTE DATA'!$C$4:$C$1503,"&gt;="&amp;'2. SUMMARY'!$D$4,'1. PASTE DATA'!$C$4:$C$1503,"&lt;="&amp;'2. SUMMARY'!$E$4)</f>
        <v>0</v>
      </c>
      <c r="G7" s="10" t="n">
        <f aca="false">COUNTIFS('1. PASTE DATA'!$AD$4:$AD$1503,"Investigative",'1. PASTE DATA'!$C$4:$C$1503,"&gt;="&amp;'2. SUMMARY'!$D$4,'1. PASTE DATA'!$C$4:$C$1503,"&lt;="&amp;'2. SUMMARY'!$E$4)+COUNTIFS('1. PASTE DATA'!$AE$4:$AE$1503,"Investigative",'1. PASTE DATA'!$C$4:$C$1503,"&gt;="&amp;'2. SUMMARY'!$D$4,'1. PASTE DATA'!$C$4:$C$1503,"&lt;="&amp;'2. SUMMARY'!$E$4)+COUNTIFS('1. PASTE DATA'!$AF$4:$AF$1503,"Investigative",'1. PASTE DATA'!$C$4:$C$1503,"&gt;="&amp;'2. SUMMARY'!$D$4,'1. PASTE DATA'!$C$4:$C$1503,"&lt;="&amp;'2. SUMMARY'!$E$4)</f>
        <v>0</v>
      </c>
    </row>
    <row r="8" customFormat="false" ht="15" hidden="false" customHeight="false" outlineLevel="0" collapsed="false">
      <c r="B8" s="10" t="s">
        <v>103</v>
      </c>
      <c r="C8" s="10" t="n">
        <f aca="false">IFERROR(ROUND(AVERAGEIFS('1. PASTE DATA'!$Z$4:$Z$1503,'1. PASTE DATA'!$C$4:$C$1503,"&gt;="&amp;'2. SUMMARY'!$D$4,'1. PASTE DATA'!$C$4:$C$1503,"&lt;="&amp;'2. SUMMARY'!$E$4),1),0)</f>
        <v>0</v>
      </c>
      <c r="D8" s="13" t="n">
        <f aca="false">IFERROR(ROUND((COUNTIFS('1. PASTE DATA'!$AD$4:$AD$1503,"Artistic",'1.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8" s="14" t="n">
        <f aca="false">IFERROR(ROUND((COUNTIFS('1. PASTE DATA'!$AD$4:$AD$1503,"Artistic",'1. PASTE DATA'!$C$4:$C$1503,"&gt;="&amp;'2. SUMMARY'!$D$4,'1. PASTE DATA'!$C$4:$C$1503,"&lt;="&amp;'2. SUMMARY'!$E$4)+COUNTIFS('1. PASTE DATA'!$AE$4:$AE$1503,"Artistic",'1. PASTE DATA'!$C$4:$C$1503,"&gt;="&amp;'2. SUMMARY'!$D$4,'1. PASTE DATA'!$C$4:$C$1503,"&lt;="&amp;'2. SUMMARY'!$E$4)+COUNTIFS('1. PASTE DATA'!$AF$4:$AF$1503,"Artistic",'1.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F8" s="10" t="n">
        <f aca="false">COUNTIFS('1. PASTE DATA'!$AD$4:$AD$1503,"Artistic",'1. PASTE DATA'!$C$4:$C$1503,"&gt;="&amp;'2. SUMMARY'!$D$4,'1. PASTE DATA'!$C$4:$C$1503,"&lt;="&amp;'2. SUMMARY'!$E$4)</f>
        <v>0</v>
      </c>
      <c r="G8" s="10" t="n">
        <f aca="false">COUNTIFS('1. PASTE DATA'!$AD$4:$AD$1503,"Artistic",'1. PASTE DATA'!$C$4:$C$1503,"&gt;="&amp;'2. SUMMARY'!$D$4,'1. PASTE DATA'!$C$4:$C$1503,"&lt;="&amp;'2. SUMMARY'!$E$4)+COUNTIFS('1. PASTE DATA'!$AE$4:$AE$1503,"Artistic",'1. PASTE DATA'!$C$4:$C$1503,"&gt;="&amp;'2. SUMMARY'!$D$4,'1. PASTE DATA'!$C$4:$C$1503,"&lt;="&amp;'2. SUMMARY'!$E$4)+COUNTIFS('1. PASTE DATA'!$AF$4:$AF$1503,"Artistic",'1. PASTE DATA'!$C$4:$C$1503,"&gt;="&amp;'2. SUMMARY'!$D$4,'1. PASTE DATA'!$C$4:$C$1503,"&lt;="&amp;'2. SUMMARY'!$E$4)</f>
        <v>0</v>
      </c>
    </row>
    <row r="9" customFormat="false" ht="15" hidden="false" customHeight="false" outlineLevel="0" collapsed="false">
      <c r="B9" s="10" t="s">
        <v>104</v>
      </c>
      <c r="C9" s="10" t="n">
        <f aca="false">IFERROR(ROUND(AVERAGEIFS('1. PASTE DATA'!$AA$4:$AA$1503,'1. PASTE DATA'!$C$4:$C$1503,"&gt;="&amp;'2. SUMMARY'!$D$4,'1. PASTE DATA'!$C$4:$C$1503,"&lt;="&amp;'2. SUMMARY'!$E$4),1),0)</f>
        <v>0</v>
      </c>
      <c r="D9" s="13" t="n">
        <f aca="false">IFERROR(ROUND((COUNTIFS('1. PASTE DATA'!$AD$4:$AD$1503,"Social",'1.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9" s="14" t="n">
        <f aca="false">IFERROR(ROUND((COUNTIFS('1. PASTE DATA'!$AD$4:$AD$1503,"Social",'1. PASTE DATA'!$C$4:$C$1503,"&gt;="&amp;'2. SUMMARY'!$D$4,'1. PASTE DATA'!$C$4:$C$1503,"&lt;="&amp;'2. SUMMARY'!$E$4)+COUNTIFS('1. PASTE DATA'!$AE$4:$AE$1503,"Social",'1. PASTE DATA'!$C$4:$C$1503,"&gt;="&amp;'2. SUMMARY'!$D$4,'1. PASTE DATA'!$C$4:$C$1503,"&lt;="&amp;'2. SUMMARY'!$E$4)+COUNTIFS('1. PASTE DATA'!$AF$4:$AF$1503,"Social",'1.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F9" s="10" t="n">
        <f aca="false">COUNTIFS('1. PASTE DATA'!$AD$4:$AD$1503,"Social",'1. PASTE DATA'!$C$4:$C$1503,"&gt;="&amp;'2. SUMMARY'!$D$4,'1. PASTE DATA'!$C$4:$C$1503,"&lt;="&amp;'2. SUMMARY'!$E$4)</f>
        <v>0</v>
      </c>
      <c r="G9" s="10" t="n">
        <f aca="false">COUNTIFS('1. PASTE DATA'!$AD$4:$AD$1503,"Social",'1. PASTE DATA'!$C$4:$C$1503,"&gt;="&amp;'2. SUMMARY'!$D$4,'1. PASTE DATA'!$C$4:$C$1503,"&lt;="&amp;'2. SUMMARY'!$E$4)+COUNTIFS('1. PASTE DATA'!$AE$4:$AE$1503,"Social",'1. PASTE DATA'!$C$4:$C$1503,"&gt;="&amp;'2. SUMMARY'!$D$4,'1. PASTE DATA'!$C$4:$C$1503,"&lt;="&amp;'2. SUMMARY'!$E$4)+COUNTIFS('1. PASTE DATA'!$AF$4:$AF$1503,"Social",'1. PASTE DATA'!$C$4:$C$1503,"&gt;="&amp;'2. SUMMARY'!$D$4,'1. PASTE DATA'!$C$4:$C$1503,"&lt;="&amp;'2. SUMMARY'!$E$4)</f>
        <v>0</v>
      </c>
    </row>
    <row r="10" customFormat="false" ht="15" hidden="false" customHeight="false" outlineLevel="0" collapsed="false">
      <c r="B10" s="10" t="s">
        <v>105</v>
      </c>
      <c r="C10" s="10" t="n">
        <f aca="false">IFERROR(ROUND(AVERAGEIFS('1. PASTE DATA'!$AB$4:$AB$1503,'1. PASTE DATA'!$C$4:$C$1503,"&gt;="&amp;'2. SUMMARY'!$D$4,'1. PASTE DATA'!$C$4:$C$1503,"&lt;="&amp;'2. SUMMARY'!$E$4),1),0)</f>
        <v>0</v>
      </c>
      <c r="D10" s="13" t="n">
        <f aca="false">IFERROR(ROUND((COUNTIFS('1. PASTE DATA'!$AD$4:$AD$1503,"Enterprising",'1.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10" s="14" t="n">
        <f aca="false">IFERROR(ROUND((COUNTIFS('1. PASTE DATA'!$AD$4:$AD$1503,"Enterprising",'1. PASTE DATA'!$C$4:$C$1503,"&gt;="&amp;'2. SUMMARY'!$D$4,'1. PASTE DATA'!$C$4:$C$1503,"&lt;="&amp;'2. SUMMARY'!$E$4)+COUNTIFS('1. PASTE DATA'!$AE$4:$AE$1503,"Enterprising",'1. PASTE DATA'!$C$4:$C$1503,"&gt;="&amp;'2. SUMMARY'!$D$4,'1. PASTE DATA'!$C$4:$C$1503,"&lt;="&amp;'2. SUMMARY'!$E$4)+COUNTIFS('1. PASTE DATA'!$AF$4:$AF$1503,"Enterprising",'1.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F10" s="10" t="n">
        <f aca="false">COUNTIFS('1. PASTE DATA'!$AD$4:$AD$1503,"Enterprising",'1. PASTE DATA'!$C$4:$C$1503,"&gt;="&amp;'2. SUMMARY'!$D$4,'1. PASTE DATA'!$C$4:$C$1503,"&lt;="&amp;'2. SUMMARY'!$E$4)</f>
        <v>0</v>
      </c>
      <c r="G10" s="10" t="n">
        <f aca="false">COUNTIFS('1. PASTE DATA'!$AD$4:$AD$1503,"Enterprising",'1. PASTE DATA'!$C$4:$C$1503,"&gt;="&amp;'2. SUMMARY'!$D$4,'1. PASTE DATA'!$C$4:$C$1503,"&lt;="&amp;'2. SUMMARY'!$E$4)+COUNTIFS('1. PASTE DATA'!$AE$4:$AE$1503,"Enterprising",'1. PASTE DATA'!$C$4:$C$1503,"&gt;="&amp;'2. SUMMARY'!$D$4,'1. PASTE DATA'!$C$4:$C$1503,"&lt;="&amp;'2. SUMMARY'!$E$4)+COUNTIFS('1. PASTE DATA'!$AF$4:$AF$1503,"Enterprising",'1. PASTE DATA'!$C$4:$C$1503,"&gt;="&amp;'2. SUMMARY'!$D$4,'1. PASTE DATA'!$C$4:$C$1503,"&lt;="&amp;'2. SUMMARY'!$E$4)</f>
        <v>0</v>
      </c>
    </row>
    <row r="11" customFormat="false" ht="15" hidden="false" customHeight="false" outlineLevel="0" collapsed="false">
      <c r="B11" s="10" t="s">
        <v>106</v>
      </c>
      <c r="C11" s="10" t="n">
        <f aca="false">IFERROR(ROUND(AVERAGEIFS('1. PASTE DATA'!$AC$4:$AC$1503,'1. PASTE DATA'!$C$4:$C$1503,"&gt;="&amp;'2. SUMMARY'!$D$4,'1. PASTE DATA'!$C$4:$C$1503,"&lt;="&amp;'2. SUMMARY'!$E$4),1),0)</f>
        <v>0</v>
      </c>
      <c r="D11" s="13" t="n">
        <f aca="false">IFERROR(ROUND((COUNTIFS('1. PASTE DATA'!$AD$4:$AD$1503,"Conventional",'1.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11" s="14" t="n">
        <f aca="false">IFERROR(ROUND((COUNTIFS('1. PASTE DATA'!$AD$4:$AD$1503,"Conventional",'1. PASTE DATA'!$C$4:$C$1503,"&gt;="&amp;'2. SUMMARY'!$D$4,'1. PASTE DATA'!$C$4:$C$1503,"&lt;="&amp;'2. SUMMARY'!$E$4)+COUNTIFS('1. PASTE DATA'!$AE$4:$AE$1503,"Conventional",'1. PASTE DATA'!$C$4:$C$1503,"&gt;="&amp;'2. SUMMARY'!$D$4,'1. PASTE DATA'!$C$4:$C$1503,"&lt;="&amp;'2. SUMMARY'!$E$4)+COUNTIFS('1. PASTE DATA'!$AF$4:$AF$1503,"Conventional",'1.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F11" s="10" t="n">
        <f aca="false">COUNTIFS('1. PASTE DATA'!$AD$4:$AD$1503,"Conventional",'1. PASTE DATA'!$C$4:$C$1503,"&gt;="&amp;'2. SUMMARY'!$D$4,'1. PASTE DATA'!$C$4:$C$1503,"&lt;="&amp;'2. SUMMARY'!$E$4)</f>
        <v>0</v>
      </c>
      <c r="G11" s="10" t="n">
        <f aca="false">COUNTIFS('1. PASTE DATA'!$AD$4:$AD$1503,"Conventional",'1. PASTE DATA'!$C$4:$C$1503,"&gt;="&amp;'2. SUMMARY'!$D$4,'1. PASTE DATA'!$C$4:$C$1503,"&lt;="&amp;'2. SUMMARY'!$E$4)+COUNTIFS('1. PASTE DATA'!$AE$4:$AE$1503,"Conventional",'1. PASTE DATA'!$C$4:$C$1503,"&gt;="&amp;'2. SUMMARY'!$D$4,'1. PASTE DATA'!$C$4:$C$1503,"&lt;="&amp;'2. SUMMARY'!$E$4)+COUNTIFS('1. PASTE DATA'!$AF$4:$AF$1503,"Conventional",'1. PASTE DATA'!$C$4:$C$1503,"&gt;="&amp;'2. SUMMARY'!$D$4,'1. PASTE DATA'!$C$4:$C$1503,"&lt;="&amp;'2. SUMMARY'!$E$4)</f>
        <v>0</v>
      </c>
    </row>
    <row r="12" customFormat="false" ht="15" hidden="false" customHeight="false" outlineLevel="0" collapsed="false">
      <c r="B12" s="7" t="s">
        <v>82</v>
      </c>
      <c r="D12" s="18" t="n">
        <f aca="false">SUM(D6:D11)</f>
        <v>0</v>
      </c>
    </row>
    <row r="14" customFormat="false" ht="15" hidden="false" customHeight="false" outlineLevel="0" collapsed="false">
      <c r="B14" s="9" t="s">
        <v>107</v>
      </c>
    </row>
    <row r="15" customFormat="false" ht="15" hidden="false" customHeight="false" outlineLevel="0" collapsed="false">
      <c r="B15" s="10" t="s">
        <v>108</v>
      </c>
      <c r="C15" s="13" t="n">
        <f aca="false">MAX(D6:D11)</f>
        <v>0</v>
      </c>
    </row>
    <row r="16" customFormat="false" ht="15" hidden="false" customHeight="false" outlineLevel="0" collapsed="false">
      <c r="B16" s="10" t="s">
        <v>109</v>
      </c>
      <c r="C16" s="13" t="n">
        <f aca="false">MIN(D6:D11)</f>
        <v>0</v>
      </c>
    </row>
    <row r="17" customFormat="false" ht="15" hidden="false" customHeight="false" outlineLevel="0" collapsed="false">
      <c r="B17" s="10" t="s">
        <v>110</v>
      </c>
      <c r="C17" s="13" t="n">
        <f aca="false">MAX(D6:D11)-MIN(D6:D11)</f>
        <v>0</v>
      </c>
    </row>
    <row r="18" customFormat="false" ht="15" hidden="false" customHeight="false" outlineLevel="0" collapsed="false">
      <c r="B18" s="10" t="s">
        <v>111</v>
      </c>
      <c r="C18" s="19" t="n">
        <f aca="false">COUNTIF(D6:D11,"&gt;=20")</f>
        <v>0</v>
      </c>
    </row>
  </sheetData>
  <conditionalFormatting sqref="D6:D11">
    <cfRule type="dataBar" priority="2">
      <dataBar showValue="1" minLength="10" maxLength="90">
        <cfvo type="num" val="0"/>
        <cfvo type="num" val="60"/>
        <color rgb="FF4A9B7F"/>
      </dataBar>
      <extLst>
        <ext xmlns:x14="http://schemas.microsoft.com/office/spreadsheetml/2009/9/main" uri="{B025F937-C7B1-47D3-B67F-A62EFF666E3E}">
          <x14:id>{AC8395C0-1477-4BC8-9B41-7433D01252D7}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8395C0-1477-4BC8-9B41-7433D01252D7}">
            <x14:dataBar minLength="10" maxLength="90" axisPosition="none" gradient="true">
              <x14:cfvo type="num">
                <xm:f>0</xm:f>
              </x14:cfvo>
              <x14:cfvo type="num">
                <xm:f>60</xm:f>
              </x14:cfvo>
              <x14:negativeFillColor rgb="FF4A9B7F"/>
              <x14:axisColor rgb="FF000000"/>
            </x14:dataBar>
          </x14:cfRule>
          <xm:sqref>D6:D11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5" min="3" style="0" width="13"/>
    <col collapsed="false" customWidth="true" hidden="false" outlineLevel="0" max="7" min="6" style="0" width="15"/>
  </cols>
  <sheetData>
    <row r="1" customFormat="false" ht="18.5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5" customFormat="false" ht="30" hidden="false" customHeight="true" outlineLevel="0" collapsed="false">
      <c r="A5" s="3"/>
      <c r="B5" s="3" t="s">
        <v>114</v>
      </c>
      <c r="C5" s="3" t="s">
        <v>115</v>
      </c>
      <c r="D5" s="3" t="s">
        <v>116</v>
      </c>
      <c r="E5" s="3" t="s">
        <v>117</v>
      </c>
      <c r="F5" s="3" t="s">
        <v>118</v>
      </c>
      <c r="G5" s="3" t="s">
        <v>119</v>
      </c>
    </row>
    <row r="6" customFormat="false" ht="15" hidden="false" customHeight="false" outlineLevel="0" collapsed="false">
      <c r="B6" s="10" t="s">
        <v>120</v>
      </c>
      <c r="C6" s="13" t="n">
        <f aca="false">IFERROR(ROUND((COUNTIFS('1. PASTE DATA'!$P$4:$P$1503,"&gt;=10",'1.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6" s="14" t="n">
        <f aca="false">IFERROR(ROUND((COUNTIFS('1. PASTE DATA'!$P$4:$P$1503,"&lt;=8",'1.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6" s="10" t="n">
        <f aca="false">IFERROR(ROUND(AVERAGEIFS('1. PASTE DATA'!$P$4:$P$1503,'1. PASTE DATA'!$C$4:$C$1503,"&gt;="&amp;'2. SUMMARY'!$D$4,'1. PASTE DATA'!$C$4:$C$1503,"&lt;="&amp;'2. SUMMARY'!$E$4),1),0)</f>
        <v>0</v>
      </c>
      <c r="F6" s="10" t="n">
        <f aca="false">COUNTIFS('1. PASTE DATA'!$P$4:$P$1503,"&gt;=10",'1. PASTE DATA'!$C$4:$C$1503,"&gt;="&amp;'2. SUMMARY'!$D$4,'1. PASTE DATA'!$C$4:$C$1503,"&lt;="&amp;'2. SUMMARY'!$E$4)</f>
        <v>0</v>
      </c>
      <c r="G6" s="10" t="n">
        <f aca="false">COUNTIFS('1. PASTE DATA'!$P$4:$P$1503,"&lt;=8",'1. PASTE DATA'!$C$4:$C$1503,"&gt;="&amp;'2. SUMMARY'!$D$4,'1. PASTE DATA'!$C$4:$C$1503,"&lt;="&amp;'2. SUMMARY'!$E$4)</f>
        <v>0</v>
      </c>
    </row>
    <row r="7" customFormat="false" ht="15" hidden="false" customHeight="false" outlineLevel="0" collapsed="false">
      <c r="B7" s="10" t="s">
        <v>121</v>
      </c>
      <c r="C7" s="13" t="n">
        <f aca="false">IFERROR(ROUND((COUNTIFS('1. PASTE DATA'!$Q$4:$Q$1503,"&gt;=10",'1.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7" s="14" t="n">
        <f aca="false">IFERROR(ROUND((COUNTIFS('1. PASTE DATA'!$Q$4:$Q$1503,"&lt;=8",'1.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7" s="10" t="n">
        <f aca="false">IFERROR(ROUND(AVERAGEIFS('1. PASTE DATA'!$Q$4:$Q$1503,'1. PASTE DATA'!$C$4:$C$1503,"&gt;="&amp;'2. SUMMARY'!$D$4,'1. PASTE DATA'!$C$4:$C$1503,"&lt;="&amp;'2. SUMMARY'!$E$4),1),0)</f>
        <v>0</v>
      </c>
      <c r="F7" s="10" t="n">
        <f aca="false">COUNTIFS('1. PASTE DATA'!$Q$4:$Q$1503,"&gt;=10",'1. PASTE DATA'!$C$4:$C$1503,"&gt;="&amp;'2. SUMMARY'!$D$4,'1. PASTE DATA'!$C$4:$C$1503,"&lt;="&amp;'2. SUMMARY'!$E$4)</f>
        <v>0</v>
      </c>
      <c r="G7" s="10" t="n">
        <f aca="false">COUNTIFS('1. PASTE DATA'!$Q$4:$Q$1503,"&lt;=8",'1. PASTE DATA'!$C$4:$C$1503,"&gt;="&amp;'2. SUMMARY'!$D$4,'1. PASTE DATA'!$C$4:$C$1503,"&lt;="&amp;'2. SUMMARY'!$E$4)</f>
        <v>0</v>
      </c>
    </row>
    <row r="8" customFormat="false" ht="15" hidden="false" customHeight="false" outlineLevel="0" collapsed="false">
      <c r="B8" s="10" t="s">
        <v>122</v>
      </c>
      <c r="C8" s="13" t="n">
        <f aca="false">IFERROR(ROUND((COUNTIFS('1. PASTE DATA'!$R$4:$R$1503,"&gt;=10",'1.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8" s="14" t="n">
        <f aca="false">IFERROR(ROUND((COUNTIFS('1. PASTE DATA'!$R$4:$R$1503,"&lt;=8",'1.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8" s="10" t="n">
        <f aca="false">IFERROR(ROUND(AVERAGEIFS('1. PASTE DATA'!$R$4:$R$1503,'1. PASTE DATA'!$C$4:$C$1503,"&gt;="&amp;'2. SUMMARY'!$D$4,'1. PASTE DATA'!$C$4:$C$1503,"&lt;="&amp;'2. SUMMARY'!$E$4),1),0)</f>
        <v>0</v>
      </c>
      <c r="F8" s="10" t="n">
        <f aca="false">COUNTIFS('1. PASTE DATA'!$R$4:$R$1503,"&gt;=10",'1. PASTE DATA'!$C$4:$C$1503,"&gt;="&amp;'2. SUMMARY'!$D$4,'1. PASTE DATA'!$C$4:$C$1503,"&lt;="&amp;'2. SUMMARY'!$E$4)</f>
        <v>0</v>
      </c>
      <c r="G8" s="10" t="n">
        <f aca="false">COUNTIFS('1. PASTE DATA'!$R$4:$R$1503,"&lt;=8",'1. PASTE DATA'!$C$4:$C$1503,"&gt;="&amp;'2. SUMMARY'!$D$4,'1. PASTE DATA'!$C$4:$C$1503,"&lt;="&amp;'2. SUMMARY'!$E$4)</f>
        <v>0</v>
      </c>
    </row>
    <row r="9" customFormat="false" ht="15" hidden="false" customHeight="false" outlineLevel="0" collapsed="false">
      <c r="B9" s="10" t="s">
        <v>123</v>
      </c>
      <c r="C9" s="13" t="n">
        <f aca="false">IFERROR(ROUND((COUNTIFS('1. PASTE DATA'!$S$4:$S$1503,"&gt;=10",'1.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9" s="14" t="n">
        <f aca="false">IFERROR(ROUND((COUNTIFS('1. PASTE DATA'!$S$4:$S$1503,"&lt;=8",'1.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9" s="10" t="n">
        <f aca="false">IFERROR(ROUND(AVERAGEIFS('1. PASTE DATA'!$S$4:$S$1503,'1. PASTE DATA'!$C$4:$C$1503,"&gt;="&amp;'2. SUMMARY'!$D$4,'1. PASTE DATA'!$C$4:$C$1503,"&lt;="&amp;'2. SUMMARY'!$E$4),1),0)</f>
        <v>0</v>
      </c>
      <c r="F9" s="10" t="n">
        <f aca="false">COUNTIFS('1. PASTE DATA'!$S$4:$S$1503,"&gt;=10",'1. PASTE DATA'!$C$4:$C$1503,"&gt;="&amp;'2. SUMMARY'!$D$4,'1. PASTE DATA'!$C$4:$C$1503,"&lt;="&amp;'2. SUMMARY'!$E$4)</f>
        <v>0</v>
      </c>
      <c r="G9" s="10" t="n">
        <f aca="false">COUNTIFS('1. PASTE DATA'!$S$4:$S$1503,"&lt;=8",'1. PASTE DATA'!$C$4:$C$1503,"&gt;="&amp;'2. SUMMARY'!$D$4,'1. PASTE DATA'!$C$4:$C$1503,"&lt;="&amp;'2. SUMMARY'!$E$4)</f>
        <v>0</v>
      </c>
    </row>
    <row r="10" customFormat="false" ht="15" hidden="false" customHeight="false" outlineLevel="0" collapsed="false">
      <c r="B10" s="10" t="s">
        <v>124</v>
      </c>
      <c r="C10" s="13" t="n">
        <f aca="false">IFERROR(ROUND((COUNTIFS('1. PASTE DATA'!$T$4:$T$1503,"&gt;=10",'1.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10" s="14" t="n">
        <f aca="false">IFERROR(ROUND((COUNTIFS('1. PASTE DATA'!$T$4:$T$1503,"&lt;=8",'1.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10" s="10" t="n">
        <f aca="false">IFERROR(ROUND(AVERAGEIFS('1. PASTE DATA'!$T$4:$T$1503,'1. PASTE DATA'!$C$4:$C$1503,"&gt;="&amp;'2. SUMMARY'!$D$4,'1. PASTE DATA'!$C$4:$C$1503,"&lt;="&amp;'2. SUMMARY'!$E$4),1),0)</f>
        <v>0</v>
      </c>
      <c r="F10" s="10" t="n">
        <f aca="false">COUNTIFS('1. PASTE DATA'!$T$4:$T$1503,"&gt;=10",'1. PASTE DATA'!$C$4:$C$1503,"&gt;="&amp;'2. SUMMARY'!$D$4,'1. PASTE DATA'!$C$4:$C$1503,"&lt;="&amp;'2. SUMMARY'!$E$4)</f>
        <v>0</v>
      </c>
      <c r="G10" s="10" t="n">
        <f aca="false">COUNTIFS('1. PASTE DATA'!$T$4:$T$1503,"&lt;=8",'1. PASTE DATA'!$C$4:$C$1503,"&gt;="&amp;'2. SUMMARY'!$D$4,'1. PASTE DATA'!$C$4:$C$1503,"&lt;="&amp;'2. SUMMARY'!$E$4)</f>
        <v>0</v>
      </c>
    </row>
    <row r="11" customFormat="false" ht="15" hidden="false" customHeight="false" outlineLevel="0" collapsed="false">
      <c r="B11" s="10" t="s">
        <v>125</v>
      </c>
      <c r="C11" s="13" t="n">
        <f aca="false">IFERROR(ROUND((COUNTIFS('1. PASTE DATA'!$U$4:$U$1503,"&gt;=10",'1.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11" s="14" t="n">
        <f aca="false">IFERROR(ROUND((COUNTIFS('1. PASTE DATA'!$U$4:$U$1503,"&lt;=8",'1.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11" s="10" t="n">
        <f aca="false">IFERROR(ROUND(AVERAGEIFS('1. PASTE DATA'!$U$4:$U$1503,'1. PASTE DATA'!$C$4:$C$1503,"&gt;="&amp;'2. SUMMARY'!$D$4,'1. PASTE DATA'!$C$4:$C$1503,"&lt;="&amp;'2. SUMMARY'!$E$4),1),0)</f>
        <v>0</v>
      </c>
      <c r="F11" s="10" t="n">
        <f aca="false">COUNTIFS('1. PASTE DATA'!$U$4:$U$1503,"&gt;=10",'1. PASTE DATA'!$C$4:$C$1503,"&gt;="&amp;'2. SUMMARY'!$D$4,'1. PASTE DATA'!$C$4:$C$1503,"&lt;="&amp;'2. SUMMARY'!$E$4)</f>
        <v>0</v>
      </c>
      <c r="G11" s="10" t="n">
        <f aca="false">COUNTIFS('1. PASTE DATA'!$U$4:$U$1503,"&lt;=8",'1. PASTE DATA'!$C$4:$C$1503,"&gt;="&amp;'2. SUMMARY'!$D$4,'1. PASTE DATA'!$C$4:$C$1503,"&lt;="&amp;'2. SUMMARY'!$E$4)</f>
        <v>0</v>
      </c>
    </row>
    <row r="12" customFormat="false" ht="15" hidden="false" customHeight="false" outlineLevel="0" collapsed="false">
      <c r="B12" s="10" t="s">
        <v>126</v>
      </c>
      <c r="C12" s="13" t="n">
        <f aca="false">IFERROR(ROUND((COUNTIFS('1. PASTE DATA'!$V$4:$V$1503,"&gt;=10",'1.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12" s="14" t="n">
        <f aca="false">IFERROR(ROUND((COUNTIFS('1. PASTE DATA'!$V$4:$V$1503,"&lt;=8",'1.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12" s="10" t="n">
        <f aca="false">IFERROR(ROUND(AVERAGEIFS('1. PASTE DATA'!$V$4:$V$1503,'1. PASTE DATA'!$C$4:$C$1503,"&gt;="&amp;'2. SUMMARY'!$D$4,'1. PASTE DATA'!$C$4:$C$1503,"&lt;="&amp;'2. SUMMARY'!$E$4),1),0)</f>
        <v>0</v>
      </c>
      <c r="F12" s="10" t="n">
        <f aca="false">COUNTIFS('1. PASTE DATA'!$V$4:$V$1503,"&gt;=10",'1. PASTE DATA'!$C$4:$C$1503,"&gt;="&amp;'2. SUMMARY'!$D$4,'1. PASTE DATA'!$C$4:$C$1503,"&lt;="&amp;'2. SUMMARY'!$E$4)</f>
        <v>0</v>
      </c>
      <c r="G12" s="10" t="n">
        <f aca="false">COUNTIFS('1. PASTE DATA'!$V$4:$V$1503,"&lt;=8",'1. PASTE DATA'!$C$4:$C$1503,"&gt;="&amp;'2. SUMMARY'!$D$4,'1. PASTE DATA'!$C$4:$C$1503,"&lt;="&amp;'2. SUMMARY'!$E$4)</f>
        <v>0</v>
      </c>
    </row>
    <row r="13" customFormat="false" ht="15" hidden="false" customHeight="false" outlineLevel="0" collapsed="false">
      <c r="B13" s="10" t="s">
        <v>127</v>
      </c>
      <c r="C13" s="13" t="n">
        <f aca="false">IFERROR(ROUND((COUNTIFS('1. PASTE DATA'!$W$4:$W$1503,"&gt;=10",'1.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13" s="14" t="n">
        <f aca="false">IFERROR(ROUND((COUNTIFS('1. PASTE DATA'!$W$4:$W$1503,"&lt;=8",'1.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13" s="10" t="n">
        <f aca="false">IFERROR(ROUND(AVERAGEIFS('1. PASTE DATA'!$W$4:$W$1503,'1. PASTE DATA'!$C$4:$C$1503,"&gt;="&amp;'2. SUMMARY'!$D$4,'1. PASTE DATA'!$C$4:$C$1503,"&lt;="&amp;'2. SUMMARY'!$E$4),1),0)</f>
        <v>0</v>
      </c>
      <c r="F13" s="10" t="n">
        <f aca="false">COUNTIFS('1. PASTE DATA'!$W$4:$W$1503,"&gt;=10",'1. PASTE DATA'!$C$4:$C$1503,"&gt;="&amp;'2. SUMMARY'!$D$4,'1. PASTE DATA'!$C$4:$C$1503,"&lt;="&amp;'2. SUMMARY'!$E$4)</f>
        <v>0</v>
      </c>
      <c r="G13" s="10" t="n">
        <f aca="false">COUNTIFS('1. PASTE DATA'!$W$4:$W$1503,"&lt;=8",'1. PASTE DATA'!$C$4:$C$1503,"&gt;="&amp;'2. SUMMARY'!$D$4,'1. PASTE DATA'!$C$4:$C$1503,"&lt;="&amp;'2. SUMMARY'!$E$4)</f>
        <v>0</v>
      </c>
    </row>
  </sheetData>
  <conditionalFormatting sqref="C6:C13">
    <cfRule type="colorScale" priority="2">
      <colorScale>
        <cfvo type="min" val="0"/>
        <cfvo type="max" val="0"/>
        <color rgb="FFF8D7D3"/>
        <color rgb="FFD9EAD3"/>
      </colorScale>
    </cfRule>
  </conditionalFormatting>
  <conditionalFormatting sqref="D6:D13">
    <cfRule type="colorScale" priority="3">
      <colorScale>
        <cfvo type="min" val="0"/>
        <cfvo type="max" val="0"/>
        <color rgb="FFD9EAD3"/>
        <color rgb="FFF8D7D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3"/>
    <col collapsed="false" customWidth="true" hidden="false" outlineLevel="0" max="5" min="5" style="0" width="19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18.5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5" customFormat="false" ht="30" hidden="false" customHeight="true" outlineLevel="0" collapsed="false">
      <c r="A5" s="3"/>
      <c r="B5" s="3" t="s">
        <v>130</v>
      </c>
      <c r="C5" s="3" t="s">
        <v>115</v>
      </c>
      <c r="D5" s="3" t="s">
        <v>116</v>
      </c>
      <c r="E5" s="3" t="s">
        <v>131</v>
      </c>
      <c r="F5" s="3" t="s">
        <v>117</v>
      </c>
      <c r="G5" s="3" t="s">
        <v>118</v>
      </c>
      <c r="H5" s="3" t="s">
        <v>119</v>
      </c>
    </row>
    <row r="6" customFormat="false" ht="15" hidden="false" customHeight="false" outlineLevel="0" collapsed="false">
      <c r="B6" s="10" t="s">
        <v>7</v>
      </c>
      <c r="C6" s="13" t="n">
        <f aca="false">IFERROR(ROUND((COUNTIFS('1. PASTE DATA'!$F$4:$F$1503,"&gt;=10",'1.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6" s="14" t="n">
        <f aca="false">IFERROR(ROUND((COUNTIFS('1. PASTE DATA'!$F$4:$F$1503,"&lt;=8",'1.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6" s="20" t="n">
        <f aca="false">D6-C6</f>
        <v>0</v>
      </c>
      <c r="F6" s="10" t="n">
        <f aca="false">IFERROR(ROUND(AVERAGEIFS('1. PASTE DATA'!$F$4:$F$1503,'1. PASTE DATA'!$C$4:$C$1503,"&gt;="&amp;'2. SUMMARY'!$D$4,'1. PASTE DATA'!$C$4:$C$1503,"&lt;="&amp;'2. SUMMARY'!$E$4),1),0)</f>
        <v>0</v>
      </c>
      <c r="G6" s="10" t="n">
        <f aca="false">COUNTIFS('1. PASTE DATA'!$F$4:$F$1503,"&gt;=10",'1. PASTE DATA'!$C$4:$C$1503,"&gt;="&amp;'2. SUMMARY'!$D$4,'1. PASTE DATA'!$C$4:$C$1503,"&lt;="&amp;'2. SUMMARY'!$E$4)</f>
        <v>0</v>
      </c>
      <c r="H6" s="10" t="n">
        <f aca="false">COUNTIFS('1. PASTE DATA'!$F$4:$F$1503,"&lt;=8",'1. PASTE DATA'!$C$4:$C$1503,"&gt;="&amp;'2. SUMMARY'!$D$4,'1. PASTE DATA'!$C$4:$C$1503,"&lt;="&amp;'2. SUMMARY'!$E$4)</f>
        <v>0</v>
      </c>
    </row>
    <row r="7" customFormat="false" ht="15" hidden="false" customHeight="false" outlineLevel="0" collapsed="false">
      <c r="B7" s="10" t="s">
        <v>8</v>
      </c>
      <c r="C7" s="13" t="n">
        <f aca="false">IFERROR(ROUND((COUNTIFS('1. PASTE DATA'!$G$4:$G$1503,"&gt;=10",'1.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7" s="14" t="n">
        <f aca="false">IFERROR(ROUND((COUNTIFS('1. PASTE DATA'!$G$4:$G$1503,"&lt;=8",'1.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7" s="20" t="n">
        <f aca="false">D7-C7</f>
        <v>0</v>
      </c>
      <c r="F7" s="10" t="n">
        <f aca="false">IFERROR(ROUND(AVERAGEIFS('1. PASTE DATA'!$G$4:$G$1503,'1. PASTE DATA'!$C$4:$C$1503,"&gt;="&amp;'2. SUMMARY'!$D$4,'1. PASTE DATA'!$C$4:$C$1503,"&lt;="&amp;'2. SUMMARY'!$E$4),1),0)</f>
        <v>0</v>
      </c>
      <c r="G7" s="10" t="n">
        <f aca="false">COUNTIFS('1. PASTE DATA'!$G$4:$G$1503,"&gt;=10",'1. PASTE DATA'!$C$4:$C$1503,"&gt;="&amp;'2. SUMMARY'!$D$4,'1. PASTE DATA'!$C$4:$C$1503,"&lt;="&amp;'2. SUMMARY'!$E$4)</f>
        <v>0</v>
      </c>
      <c r="H7" s="10" t="n">
        <f aca="false">COUNTIFS('1. PASTE DATA'!$G$4:$G$1503,"&lt;=8",'1. PASTE DATA'!$C$4:$C$1503,"&gt;="&amp;'2. SUMMARY'!$D$4,'1. PASTE DATA'!$C$4:$C$1503,"&lt;="&amp;'2. SUMMARY'!$E$4)</f>
        <v>0</v>
      </c>
    </row>
    <row r="8" customFormat="false" ht="15" hidden="false" customHeight="false" outlineLevel="0" collapsed="false">
      <c r="B8" s="10" t="s">
        <v>9</v>
      </c>
      <c r="C8" s="13" t="n">
        <f aca="false">IFERROR(ROUND((COUNTIFS('1. PASTE DATA'!$H$4:$H$1503,"&gt;=10",'1.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8" s="14" t="n">
        <f aca="false">IFERROR(ROUND((COUNTIFS('1. PASTE DATA'!$H$4:$H$1503,"&lt;=8",'1.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8" s="20" t="n">
        <f aca="false">D8-C8</f>
        <v>0</v>
      </c>
      <c r="F8" s="10" t="n">
        <f aca="false">IFERROR(ROUND(AVERAGEIFS('1. PASTE DATA'!$H$4:$H$1503,'1. PASTE DATA'!$C$4:$C$1503,"&gt;="&amp;'2. SUMMARY'!$D$4,'1. PASTE DATA'!$C$4:$C$1503,"&lt;="&amp;'2. SUMMARY'!$E$4),1),0)</f>
        <v>0</v>
      </c>
      <c r="G8" s="10" t="n">
        <f aca="false">COUNTIFS('1. PASTE DATA'!$H$4:$H$1503,"&gt;=10",'1. PASTE DATA'!$C$4:$C$1503,"&gt;="&amp;'2. SUMMARY'!$D$4,'1. PASTE DATA'!$C$4:$C$1503,"&lt;="&amp;'2. SUMMARY'!$E$4)</f>
        <v>0</v>
      </c>
      <c r="H8" s="10" t="n">
        <f aca="false">COUNTIFS('1. PASTE DATA'!$H$4:$H$1503,"&lt;=8",'1. PASTE DATA'!$C$4:$C$1503,"&gt;="&amp;'2. SUMMARY'!$D$4,'1. PASTE DATA'!$C$4:$C$1503,"&lt;="&amp;'2. SUMMARY'!$E$4)</f>
        <v>0</v>
      </c>
    </row>
    <row r="9" customFormat="false" ht="15" hidden="false" customHeight="false" outlineLevel="0" collapsed="false">
      <c r="B9" s="10" t="s">
        <v>10</v>
      </c>
      <c r="C9" s="13" t="n">
        <f aca="false">IFERROR(ROUND((COUNTIFS('1. PASTE DATA'!$I$4:$I$1503,"&gt;=10",'1.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9" s="14" t="n">
        <f aca="false">IFERROR(ROUND((COUNTIFS('1. PASTE DATA'!$I$4:$I$1503,"&lt;=8",'1.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9" s="20" t="n">
        <f aca="false">D9-C9</f>
        <v>0</v>
      </c>
      <c r="F9" s="10" t="n">
        <f aca="false">IFERROR(ROUND(AVERAGEIFS('1. PASTE DATA'!$I$4:$I$1503,'1. PASTE DATA'!$C$4:$C$1503,"&gt;="&amp;'2. SUMMARY'!$D$4,'1. PASTE DATA'!$C$4:$C$1503,"&lt;="&amp;'2. SUMMARY'!$E$4),1),0)</f>
        <v>0</v>
      </c>
      <c r="G9" s="10" t="n">
        <f aca="false">COUNTIFS('1. PASTE DATA'!$I$4:$I$1503,"&gt;=10",'1. PASTE DATA'!$C$4:$C$1503,"&gt;="&amp;'2. SUMMARY'!$D$4,'1. PASTE DATA'!$C$4:$C$1503,"&lt;="&amp;'2. SUMMARY'!$E$4)</f>
        <v>0</v>
      </c>
      <c r="H9" s="10" t="n">
        <f aca="false">COUNTIFS('1. PASTE DATA'!$I$4:$I$1503,"&lt;=8",'1. PASTE DATA'!$C$4:$C$1503,"&gt;="&amp;'2. SUMMARY'!$D$4,'1. PASTE DATA'!$C$4:$C$1503,"&lt;="&amp;'2. SUMMARY'!$E$4)</f>
        <v>0</v>
      </c>
    </row>
    <row r="10" customFormat="false" ht="15" hidden="false" customHeight="false" outlineLevel="0" collapsed="false">
      <c r="B10" s="10" t="s">
        <v>11</v>
      </c>
      <c r="C10" s="13" t="n">
        <f aca="false">IFERROR(ROUND((COUNTIFS('1. PASTE DATA'!$J$4:$J$1503,"&gt;=10",'1.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10" s="14" t="n">
        <f aca="false">IFERROR(ROUND((COUNTIFS('1. PASTE DATA'!$J$4:$J$1503,"&lt;=8",'1.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10" s="20" t="n">
        <f aca="false">D10-C10</f>
        <v>0</v>
      </c>
      <c r="F10" s="10" t="n">
        <f aca="false">IFERROR(ROUND(AVERAGEIFS('1. PASTE DATA'!$J$4:$J$1503,'1. PASTE DATA'!$C$4:$C$1503,"&gt;="&amp;'2. SUMMARY'!$D$4,'1. PASTE DATA'!$C$4:$C$1503,"&lt;="&amp;'2. SUMMARY'!$E$4),1),0)</f>
        <v>0</v>
      </c>
      <c r="G10" s="10" t="n">
        <f aca="false">COUNTIFS('1. PASTE DATA'!$J$4:$J$1503,"&gt;=10",'1. PASTE DATA'!$C$4:$C$1503,"&gt;="&amp;'2. SUMMARY'!$D$4,'1. PASTE DATA'!$C$4:$C$1503,"&lt;="&amp;'2. SUMMARY'!$E$4)</f>
        <v>0</v>
      </c>
      <c r="H10" s="10" t="n">
        <f aca="false">COUNTIFS('1. PASTE DATA'!$J$4:$J$1503,"&lt;=8",'1. PASTE DATA'!$C$4:$C$1503,"&gt;="&amp;'2. SUMMARY'!$D$4,'1. PASTE DATA'!$C$4:$C$1503,"&lt;="&amp;'2. SUMMARY'!$E$4)</f>
        <v>0</v>
      </c>
    </row>
    <row r="11" customFormat="false" ht="15" hidden="false" customHeight="false" outlineLevel="0" collapsed="false">
      <c r="B11" s="10" t="s">
        <v>12</v>
      </c>
      <c r="C11" s="13" t="n">
        <f aca="false">IFERROR(ROUND((COUNTIFS('1. PASTE DATA'!$K$4:$K$1503,"&gt;=10",'1.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11" s="14" t="n">
        <f aca="false">IFERROR(ROUND((COUNTIFS('1. PASTE DATA'!$K$4:$K$1503,"&lt;=8",'1.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11" s="20" t="n">
        <f aca="false">D11-C11</f>
        <v>0</v>
      </c>
      <c r="F11" s="10" t="n">
        <f aca="false">IFERROR(ROUND(AVERAGEIFS('1. PASTE DATA'!$K$4:$K$1503,'1. PASTE DATA'!$C$4:$C$1503,"&gt;="&amp;'2. SUMMARY'!$D$4,'1. PASTE DATA'!$C$4:$C$1503,"&lt;="&amp;'2. SUMMARY'!$E$4),1),0)</f>
        <v>0</v>
      </c>
      <c r="G11" s="10" t="n">
        <f aca="false">COUNTIFS('1. PASTE DATA'!$K$4:$K$1503,"&gt;=10",'1. PASTE DATA'!$C$4:$C$1503,"&gt;="&amp;'2. SUMMARY'!$D$4,'1. PASTE DATA'!$C$4:$C$1503,"&lt;="&amp;'2. SUMMARY'!$E$4)</f>
        <v>0</v>
      </c>
      <c r="H11" s="10" t="n">
        <f aca="false">COUNTIFS('1. PASTE DATA'!$K$4:$K$1503,"&lt;=8",'1. PASTE DATA'!$C$4:$C$1503,"&gt;="&amp;'2. SUMMARY'!$D$4,'1. PASTE DATA'!$C$4:$C$1503,"&lt;="&amp;'2. SUMMARY'!$E$4)</f>
        <v>0</v>
      </c>
    </row>
    <row r="12" customFormat="false" ht="15" hidden="false" customHeight="false" outlineLevel="0" collapsed="false">
      <c r="B12" s="10" t="s">
        <v>13</v>
      </c>
      <c r="C12" s="13" t="n">
        <f aca="false">IFERROR(ROUND((COUNTIFS('1. PASTE DATA'!$L$4:$L$1503,"&gt;=10",'1.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12" s="14" t="n">
        <f aca="false">IFERROR(ROUND((COUNTIFS('1. PASTE DATA'!$L$4:$L$1503,"&lt;=8",'1.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12" s="20" t="n">
        <f aca="false">D12-C12</f>
        <v>0</v>
      </c>
      <c r="F12" s="10" t="n">
        <f aca="false">IFERROR(ROUND(AVERAGEIFS('1. PASTE DATA'!$L$4:$L$1503,'1. PASTE DATA'!$C$4:$C$1503,"&gt;="&amp;'2. SUMMARY'!$D$4,'1. PASTE DATA'!$C$4:$C$1503,"&lt;="&amp;'2. SUMMARY'!$E$4),1),0)</f>
        <v>0</v>
      </c>
      <c r="G12" s="10" t="n">
        <f aca="false">COUNTIFS('1. PASTE DATA'!$L$4:$L$1503,"&gt;=10",'1. PASTE DATA'!$C$4:$C$1503,"&gt;="&amp;'2. SUMMARY'!$D$4,'1. PASTE DATA'!$C$4:$C$1503,"&lt;="&amp;'2. SUMMARY'!$E$4)</f>
        <v>0</v>
      </c>
      <c r="H12" s="10" t="n">
        <f aca="false">COUNTIFS('1. PASTE DATA'!$L$4:$L$1503,"&lt;=8",'1. PASTE DATA'!$C$4:$C$1503,"&gt;="&amp;'2. SUMMARY'!$D$4,'1. PASTE DATA'!$C$4:$C$1503,"&lt;="&amp;'2. SUMMARY'!$E$4)</f>
        <v>0</v>
      </c>
    </row>
    <row r="13" customFormat="false" ht="15" hidden="false" customHeight="false" outlineLevel="0" collapsed="false">
      <c r="B13" s="10" t="s">
        <v>14</v>
      </c>
      <c r="C13" s="13" t="n">
        <f aca="false">IFERROR(ROUND((COUNTIFS('1. PASTE DATA'!$M$4:$M$1503,"&gt;=10",'1.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13" s="14" t="n">
        <f aca="false">IFERROR(ROUND((COUNTIFS('1. PASTE DATA'!$M$4:$M$1503,"&lt;=8",'1.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13" s="20" t="n">
        <f aca="false">D13-C13</f>
        <v>0</v>
      </c>
      <c r="F13" s="10" t="n">
        <f aca="false">IFERROR(ROUND(AVERAGEIFS('1. PASTE DATA'!$M$4:$M$1503,'1. PASTE DATA'!$C$4:$C$1503,"&gt;="&amp;'2. SUMMARY'!$D$4,'1. PASTE DATA'!$C$4:$C$1503,"&lt;="&amp;'2. SUMMARY'!$E$4),1),0)</f>
        <v>0</v>
      </c>
      <c r="G13" s="10" t="n">
        <f aca="false">COUNTIFS('1. PASTE DATA'!$M$4:$M$1503,"&gt;=10",'1. PASTE DATA'!$C$4:$C$1503,"&gt;="&amp;'2. SUMMARY'!$D$4,'1. PASTE DATA'!$C$4:$C$1503,"&lt;="&amp;'2. SUMMARY'!$E$4)</f>
        <v>0</v>
      </c>
      <c r="H13" s="10" t="n">
        <f aca="false">COUNTIFS('1. PASTE DATA'!$M$4:$M$1503,"&lt;=8",'1. PASTE DATA'!$C$4:$C$1503,"&gt;="&amp;'2. SUMMARY'!$D$4,'1. PASTE DATA'!$C$4:$C$1503,"&lt;="&amp;'2. SUMMARY'!$E$4)</f>
        <v>0</v>
      </c>
    </row>
    <row r="14" customFormat="false" ht="15" hidden="false" customHeight="false" outlineLevel="0" collapsed="false">
      <c r="B14" s="10" t="s">
        <v>15</v>
      </c>
      <c r="C14" s="13" t="n">
        <f aca="false">IFERROR(ROUND((COUNTIFS('1. PASTE DATA'!$N$4:$N$1503,"&gt;=10",'1.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14" s="14" t="n">
        <f aca="false">IFERROR(ROUND((COUNTIFS('1. PASTE DATA'!$N$4:$N$1503,"&lt;=8",'1.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14" s="20" t="n">
        <f aca="false">D14-C14</f>
        <v>0</v>
      </c>
      <c r="F14" s="10" t="n">
        <f aca="false">IFERROR(ROUND(AVERAGEIFS('1. PASTE DATA'!$N$4:$N$1503,'1. PASTE DATA'!$C$4:$C$1503,"&gt;="&amp;'2. SUMMARY'!$D$4,'1. PASTE DATA'!$C$4:$C$1503,"&lt;="&amp;'2. SUMMARY'!$E$4),1),0)</f>
        <v>0</v>
      </c>
      <c r="G14" s="10" t="n">
        <f aca="false">COUNTIFS('1. PASTE DATA'!$N$4:$N$1503,"&gt;=10",'1. PASTE DATA'!$C$4:$C$1503,"&gt;="&amp;'2. SUMMARY'!$D$4,'1. PASTE DATA'!$C$4:$C$1503,"&lt;="&amp;'2. SUMMARY'!$E$4)</f>
        <v>0</v>
      </c>
      <c r="H14" s="10" t="n">
        <f aca="false">COUNTIFS('1. PASTE DATA'!$N$4:$N$1503,"&lt;=8",'1. PASTE DATA'!$C$4:$C$1503,"&gt;="&amp;'2. SUMMARY'!$D$4,'1. PASTE DATA'!$C$4:$C$1503,"&lt;="&amp;'2. SUMMARY'!$E$4)</f>
        <v>0</v>
      </c>
    </row>
    <row r="15" customFormat="false" ht="15" hidden="false" customHeight="false" outlineLevel="0" collapsed="false">
      <c r="B15" s="10" t="s">
        <v>16</v>
      </c>
      <c r="C15" s="13" t="n">
        <f aca="false">IFERROR(ROUND((COUNTIFS('1. PASTE DATA'!$O$4:$O$1503,"&gt;=10",'1.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15" s="14" t="n">
        <f aca="false">IFERROR(ROUND((COUNTIFS('1. PASTE DATA'!$O$4:$O$1503,"&lt;=8",'1.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15" s="20" t="n">
        <f aca="false">D15-C15</f>
        <v>0</v>
      </c>
      <c r="F15" s="10" t="n">
        <f aca="false">IFERROR(ROUND(AVERAGEIFS('1. PASTE DATA'!$O$4:$O$1503,'1. PASTE DATA'!$C$4:$C$1503,"&gt;="&amp;'2. SUMMARY'!$D$4,'1. PASTE DATA'!$C$4:$C$1503,"&lt;="&amp;'2. SUMMARY'!$E$4),1),0)</f>
        <v>0</v>
      </c>
      <c r="G15" s="10" t="n">
        <f aca="false">COUNTIFS('1. PASTE DATA'!$O$4:$O$1503,"&gt;=10",'1. PASTE DATA'!$C$4:$C$1503,"&gt;="&amp;'2. SUMMARY'!$D$4,'1. PASTE DATA'!$C$4:$C$1503,"&lt;="&amp;'2. SUMMARY'!$E$4)</f>
        <v>0</v>
      </c>
      <c r="H15" s="10" t="n">
        <f aca="false">COUNTIFS('1. PASTE DATA'!$O$4:$O$1503,"&lt;=8",'1. PASTE DATA'!$C$4:$C$1503,"&gt;="&amp;'2. SUMMARY'!$D$4,'1. PASTE DATA'!$C$4:$C$1503,"&lt;="&amp;'2. SUMMARY'!$E$4)</f>
        <v>0</v>
      </c>
    </row>
    <row r="17" customFormat="false" ht="15" hidden="false" customHeight="false" outlineLevel="0" collapsed="false">
      <c r="B17" s="9" t="s">
        <v>132</v>
      </c>
    </row>
    <row r="18" customFormat="false" ht="15" hidden="false" customHeight="false" outlineLevel="0" collapsed="false">
      <c r="B18" s="10" t="s">
        <v>133</v>
      </c>
      <c r="C18" s="11" t="n">
        <f aca="false">IFERROR(ROUND(AVERAGEIFS('1. PASTE DATA'!$BD$4:$BD$1503,'1. PASTE DATA'!$C$4:$C$1503,"&gt;="&amp;'2. SUMMARY'!$D$4,'1. PASTE DATA'!$C$4:$C$1503,"&lt;="&amp;'2. SUMMARY'!$E$4),1),0)</f>
        <v>0</v>
      </c>
    </row>
    <row r="19" customFormat="false" ht="15" hidden="false" customHeight="false" outlineLevel="0" collapsed="false">
      <c r="B19" s="10" t="s">
        <v>134</v>
      </c>
      <c r="C19" s="11" t="n">
        <f aca="false">IFERROR(ROUND(AVERAGEIFS('1. PASTE DATA'!$BE$4:$BE$1503,'1. PASTE DATA'!$C$4:$C$1503,"&gt;="&amp;'2. SUMMARY'!$D$4,'1. PASTE DATA'!$C$4:$C$1503,"&lt;="&amp;'2. SUMMARY'!$E$4),1),0)</f>
        <v>0</v>
      </c>
    </row>
    <row r="20" customFormat="false" ht="15" hidden="false" customHeight="false" outlineLevel="0" collapsed="false">
      <c r="B20" s="10" t="s">
        <v>135</v>
      </c>
      <c r="C20" s="11" t="n">
        <f aca="false">COUNTIFS('1. PASTE DATA'!$BE$4:$BE$1503,"&gt;=5",'1. PASTE DATA'!$C$4:$C$1503,"&gt;="&amp;'2. SUMMARY'!$D$4,'1. PASTE DATA'!$C$4:$C$1503,"&lt;="&amp;'2. SUMMARY'!$E$4)</f>
        <v>0</v>
      </c>
    </row>
    <row r="21" customFormat="false" ht="15" hidden="false" customHeight="false" outlineLevel="0" collapsed="false">
      <c r="B21" s="10" t="s">
        <v>136</v>
      </c>
      <c r="C21" s="13" t="n">
        <f aca="false">IFERROR(ROUND(C20/COUNTIFS('1. PASTE DATA'!$B$4:$B$1503,"&lt;&gt;",'1. PASTE DATA'!$C$4:$C$1503,"&gt;="&amp;'2. SUMMARY'!$D$4,'1. PASTE DATA'!$C$4:$C$1503,"&lt;="&amp;'2. SUMMARY'!$E$4)*100,0),0)</f>
        <v>0</v>
      </c>
    </row>
  </sheetData>
  <conditionalFormatting sqref="E6:E15">
    <cfRule type="colorScale" priority="2">
      <colorScale>
        <cfvo type="min" val="0"/>
        <cfvo type="num" val="0"/>
        <cfvo type="max" val="0"/>
        <color rgb="FFD9EAD3"/>
        <color rgb="FFFFFFFF"/>
        <color rgb="FFF8D7D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7" min="6" style="0" width="3"/>
  </cols>
  <sheetData>
    <row r="1" customFormat="false" ht="18.5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5" customFormat="false" ht="30" hidden="false" customHeight="true" outlineLevel="0" collapsed="false">
      <c r="A5" s="3"/>
      <c r="B5" s="3" t="s">
        <v>66</v>
      </c>
      <c r="C5" s="3" t="s">
        <v>139</v>
      </c>
      <c r="D5" s="3" t="s">
        <v>73</v>
      </c>
      <c r="E5" s="3" t="s">
        <v>140</v>
      </c>
      <c r="F5" s="3"/>
      <c r="G5" s="3"/>
    </row>
    <row r="6" customFormat="false" ht="15" hidden="false" customHeight="false" outlineLevel="0" collapsed="false">
      <c r="B6" s="10" t="s">
        <v>141</v>
      </c>
      <c r="C6" s="13" t="n">
        <f aca="false">IFERROR(ROUND((SUMPRODUCT(('1. PASTE DATA'!$AG$4:$AK$1503=B6)*('1. PASTE DATA'!$C$4:$C$1503&gt;='2. SUMMARY'!$D$4)*('1. PASTE DATA'!$C$4:$C$1503&lt;='2. SUMMARY'!$E$4)))/COUNTIFS('1. PASTE DATA'!$B$4:$B$1503,"&lt;&gt;",'1. PASTE DATA'!$C$4:$C$1503,"&gt;="&amp;'2. SUMMARY'!$D$4,'1. PASTE DATA'!$C$4:$C$1503,"&lt;="&amp;'2. SUMMARY'!$E$4)*100,0),0)</f>
        <v>0</v>
      </c>
      <c r="D6" s="10" t="n">
        <f aca="false">SUMPRODUCT(('1. PASTE DATA'!$AG$4:$AK$1503=B6)*('1. PASTE DATA'!$C$4:$C$1503&gt;='2. SUMMARY'!$D$4)*('1. PASTE DATA'!$C$4:$C$1503&lt;='2. SUMMARY'!$E$4))</f>
        <v>0</v>
      </c>
      <c r="E6" s="10" t="str">
        <f aca="false">IF(C6=0,"",RANK(C6,$C$6:$C$20))</f>
        <v/>
      </c>
    </row>
    <row r="7" customFormat="false" ht="15" hidden="false" customHeight="false" outlineLevel="0" collapsed="false">
      <c r="B7" s="10" t="s">
        <v>142</v>
      </c>
      <c r="C7" s="13" t="n">
        <f aca="false">IFERROR(ROUND((SUMPRODUCT(('1. PASTE DATA'!$AG$4:$AK$1503=B7)*('1. PASTE DATA'!$C$4:$C$1503&gt;='2. SUMMARY'!$D$4)*('1. PASTE DATA'!$C$4:$C$1503&lt;='2. SUMMARY'!$E$4)))/COUNTIFS('1. PASTE DATA'!$B$4:$B$1503,"&lt;&gt;",'1. PASTE DATA'!$C$4:$C$1503,"&gt;="&amp;'2. SUMMARY'!$D$4,'1. PASTE DATA'!$C$4:$C$1503,"&lt;="&amp;'2. SUMMARY'!$E$4)*100,0),0)</f>
        <v>0</v>
      </c>
      <c r="D7" s="10" t="n">
        <f aca="false">SUMPRODUCT(('1. PASTE DATA'!$AG$4:$AK$1503=B7)*('1. PASTE DATA'!$C$4:$C$1503&gt;='2. SUMMARY'!$D$4)*('1. PASTE DATA'!$C$4:$C$1503&lt;='2. SUMMARY'!$E$4))</f>
        <v>0</v>
      </c>
      <c r="E7" s="10" t="str">
        <f aca="false">IF(C7=0,"",RANK(C7,$C$6:$C$20))</f>
        <v/>
      </c>
    </row>
    <row r="8" customFormat="false" ht="15" hidden="false" customHeight="false" outlineLevel="0" collapsed="false">
      <c r="B8" s="10" t="s">
        <v>143</v>
      </c>
      <c r="C8" s="13" t="n">
        <f aca="false">IFERROR(ROUND((SUMPRODUCT(('1. PASTE DATA'!$AG$4:$AK$1503=B8)*('1. PASTE DATA'!$C$4:$C$1503&gt;='2. SUMMARY'!$D$4)*('1. PASTE DATA'!$C$4:$C$1503&lt;='2. SUMMARY'!$E$4)))/COUNTIFS('1. PASTE DATA'!$B$4:$B$1503,"&lt;&gt;",'1. PASTE DATA'!$C$4:$C$1503,"&gt;="&amp;'2. SUMMARY'!$D$4,'1. PASTE DATA'!$C$4:$C$1503,"&lt;="&amp;'2. SUMMARY'!$E$4)*100,0),0)</f>
        <v>0</v>
      </c>
      <c r="D8" s="10" t="n">
        <f aca="false">SUMPRODUCT(('1. PASTE DATA'!$AG$4:$AK$1503=B8)*('1. PASTE DATA'!$C$4:$C$1503&gt;='2. SUMMARY'!$D$4)*('1. PASTE DATA'!$C$4:$C$1503&lt;='2. SUMMARY'!$E$4))</f>
        <v>0</v>
      </c>
      <c r="E8" s="10" t="str">
        <f aca="false">IF(C8=0,"",RANK(C8,$C$6:$C$20))</f>
        <v/>
      </c>
    </row>
    <row r="9" customFormat="false" ht="15" hidden="false" customHeight="false" outlineLevel="0" collapsed="false">
      <c r="B9" s="10" t="s">
        <v>144</v>
      </c>
      <c r="C9" s="13" t="n">
        <f aca="false">IFERROR(ROUND((SUMPRODUCT(('1. PASTE DATA'!$AG$4:$AK$1503=B9)*('1. PASTE DATA'!$C$4:$C$1503&gt;='2. SUMMARY'!$D$4)*('1. PASTE DATA'!$C$4:$C$1503&lt;='2. SUMMARY'!$E$4)))/COUNTIFS('1. PASTE DATA'!$B$4:$B$1503,"&lt;&gt;",'1. PASTE DATA'!$C$4:$C$1503,"&gt;="&amp;'2. SUMMARY'!$D$4,'1. PASTE DATA'!$C$4:$C$1503,"&lt;="&amp;'2. SUMMARY'!$E$4)*100,0),0)</f>
        <v>0</v>
      </c>
      <c r="D9" s="10" t="n">
        <f aca="false">SUMPRODUCT(('1. PASTE DATA'!$AG$4:$AK$1503=B9)*('1. PASTE DATA'!$C$4:$C$1503&gt;='2. SUMMARY'!$D$4)*('1. PASTE DATA'!$C$4:$C$1503&lt;='2. SUMMARY'!$E$4))</f>
        <v>0</v>
      </c>
      <c r="E9" s="10" t="str">
        <f aca="false">IF(C9=0,"",RANK(C9,$C$6:$C$20))</f>
        <v/>
      </c>
    </row>
    <row r="10" customFormat="false" ht="15" hidden="false" customHeight="false" outlineLevel="0" collapsed="false">
      <c r="B10" s="10" t="s">
        <v>145</v>
      </c>
      <c r="C10" s="13" t="n">
        <f aca="false">IFERROR(ROUND((SUMPRODUCT(('1. PASTE DATA'!$AG$4:$AK$1503=B10)*('1. PASTE DATA'!$C$4:$C$1503&gt;='2. SUMMARY'!$D$4)*('1. PASTE DATA'!$C$4:$C$1503&lt;='2. SUMMARY'!$E$4)))/COUNTIFS('1. PASTE DATA'!$B$4:$B$1503,"&lt;&gt;",'1. PASTE DATA'!$C$4:$C$1503,"&gt;="&amp;'2. SUMMARY'!$D$4,'1. PASTE DATA'!$C$4:$C$1503,"&lt;="&amp;'2. SUMMARY'!$E$4)*100,0),0)</f>
        <v>0</v>
      </c>
      <c r="D10" s="10" t="n">
        <f aca="false">SUMPRODUCT(('1. PASTE DATA'!$AG$4:$AK$1503=B10)*('1. PASTE DATA'!$C$4:$C$1503&gt;='2. SUMMARY'!$D$4)*('1. PASTE DATA'!$C$4:$C$1503&lt;='2. SUMMARY'!$E$4))</f>
        <v>0</v>
      </c>
      <c r="E10" s="10" t="str">
        <f aca="false">IF(C10=0,"",RANK(C10,$C$6:$C$20))</f>
        <v/>
      </c>
    </row>
    <row r="11" customFormat="false" ht="15" hidden="false" customHeight="false" outlineLevel="0" collapsed="false">
      <c r="B11" s="10" t="s">
        <v>9</v>
      </c>
      <c r="C11" s="13" t="n">
        <f aca="false">IFERROR(ROUND((SUMPRODUCT(('1. PASTE DATA'!$AG$4:$AK$1503=B11)*('1. PASTE DATA'!$C$4:$C$1503&gt;='2. SUMMARY'!$D$4)*('1. PASTE DATA'!$C$4:$C$1503&lt;='2. SUMMARY'!$E$4)))/COUNTIFS('1. PASTE DATA'!$B$4:$B$1503,"&lt;&gt;",'1. PASTE DATA'!$C$4:$C$1503,"&gt;="&amp;'2. SUMMARY'!$D$4,'1. PASTE DATA'!$C$4:$C$1503,"&lt;="&amp;'2. SUMMARY'!$E$4)*100,0),0)</f>
        <v>0</v>
      </c>
      <c r="D11" s="10" t="n">
        <f aca="false">SUMPRODUCT(('1. PASTE DATA'!$AG$4:$AK$1503=B11)*('1. PASTE DATA'!$C$4:$C$1503&gt;='2. SUMMARY'!$D$4)*('1. PASTE DATA'!$C$4:$C$1503&lt;='2. SUMMARY'!$E$4))</f>
        <v>0</v>
      </c>
      <c r="E11" s="10" t="str">
        <f aca="false">IF(C11=0,"",RANK(C11,$C$6:$C$20))</f>
        <v/>
      </c>
    </row>
    <row r="12" customFormat="false" ht="15" hidden="false" customHeight="false" outlineLevel="0" collapsed="false">
      <c r="B12" s="10" t="s">
        <v>146</v>
      </c>
      <c r="C12" s="13" t="n">
        <f aca="false">IFERROR(ROUND((SUMPRODUCT(('1. PASTE DATA'!$AG$4:$AK$1503=B12)*('1. PASTE DATA'!$C$4:$C$1503&gt;='2. SUMMARY'!$D$4)*('1. PASTE DATA'!$C$4:$C$1503&lt;='2. SUMMARY'!$E$4)))/COUNTIFS('1. PASTE DATA'!$B$4:$B$1503,"&lt;&gt;",'1. PASTE DATA'!$C$4:$C$1503,"&gt;="&amp;'2. SUMMARY'!$D$4,'1. PASTE DATA'!$C$4:$C$1503,"&lt;="&amp;'2. SUMMARY'!$E$4)*100,0),0)</f>
        <v>0</v>
      </c>
      <c r="D12" s="10" t="n">
        <f aca="false">SUMPRODUCT(('1. PASTE DATA'!$AG$4:$AK$1503=B12)*('1. PASTE DATA'!$C$4:$C$1503&gt;='2. SUMMARY'!$D$4)*('1. PASTE DATA'!$C$4:$C$1503&lt;='2. SUMMARY'!$E$4))</f>
        <v>0</v>
      </c>
      <c r="E12" s="10" t="str">
        <f aca="false">IF(C12=0,"",RANK(C12,$C$6:$C$20))</f>
        <v/>
      </c>
    </row>
    <row r="13" customFormat="false" ht="15" hidden="false" customHeight="false" outlineLevel="0" collapsed="false">
      <c r="B13" s="10" t="s">
        <v>147</v>
      </c>
      <c r="C13" s="13" t="n">
        <f aca="false">IFERROR(ROUND((SUMPRODUCT(('1. PASTE DATA'!$AG$4:$AK$1503=B13)*('1. PASTE DATA'!$C$4:$C$1503&gt;='2. SUMMARY'!$D$4)*('1. PASTE DATA'!$C$4:$C$1503&lt;='2. SUMMARY'!$E$4)))/COUNTIFS('1. PASTE DATA'!$B$4:$B$1503,"&lt;&gt;",'1. PASTE DATA'!$C$4:$C$1503,"&gt;="&amp;'2. SUMMARY'!$D$4,'1. PASTE DATA'!$C$4:$C$1503,"&lt;="&amp;'2. SUMMARY'!$E$4)*100,0),0)</f>
        <v>0</v>
      </c>
      <c r="D13" s="10" t="n">
        <f aca="false">SUMPRODUCT(('1. PASTE DATA'!$AG$4:$AK$1503=B13)*('1. PASTE DATA'!$C$4:$C$1503&gt;='2. SUMMARY'!$D$4)*('1. PASTE DATA'!$C$4:$C$1503&lt;='2. SUMMARY'!$E$4))</f>
        <v>0</v>
      </c>
      <c r="E13" s="10" t="str">
        <f aca="false">IF(C13=0,"",RANK(C13,$C$6:$C$20))</f>
        <v/>
      </c>
    </row>
    <row r="14" customFormat="false" ht="15" hidden="false" customHeight="false" outlineLevel="0" collapsed="false">
      <c r="B14" s="10" t="s">
        <v>148</v>
      </c>
      <c r="C14" s="13" t="n">
        <f aca="false">IFERROR(ROUND((SUMPRODUCT(('1. PASTE DATA'!$AG$4:$AK$1503=B14)*('1. PASTE DATA'!$C$4:$C$1503&gt;='2. SUMMARY'!$D$4)*('1. PASTE DATA'!$C$4:$C$1503&lt;='2. SUMMARY'!$E$4)))/COUNTIFS('1. PASTE DATA'!$B$4:$B$1503,"&lt;&gt;",'1. PASTE DATA'!$C$4:$C$1503,"&gt;="&amp;'2. SUMMARY'!$D$4,'1. PASTE DATA'!$C$4:$C$1503,"&lt;="&amp;'2. SUMMARY'!$E$4)*100,0),0)</f>
        <v>0</v>
      </c>
      <c r="D14" s="10" t="n">
        <f aca="false">SUMPRODUCT(('1. PASTE DATA'!$AG$4:$AK$1503=B14)*('1. PASTE DATA'!$C$4:$C$1503&gt;='2. SUMMARY'!$D$4)*('1. PASTE DATA'!$C$4:$C$1503&lt;='2. SUMMARY'!$E$4))</f>
        <v>0</v>
      </c>
      <c r="E14" s="10" t="str">
        <f aca="false">IF(C14=0,"",RANK(C14,$C$6:$C$20))</f>
        <v/>
      </c>
    </row>
    <row r="15" customFormat="false" ht="15" hidden="false" customHeight="false" outlineLevel="0" collapsed="false">
      <c r="B15" s="10" t="s">
        <v>149</v>
      </c>
      <c r="C15" s="13" t="n">
        <f aca="false">IFERROR(ROUND((SUMPRODUCT(('1. PASTE DATA'!$AG$4:$AK$1503=B15)*('1. PASTE DATA'!$C$4:$C$1503&gt;='2. SUMMARY'!$D$4)*('1. PASTE DATA'!$C$4:$C$1503&lt;='2. SUMMARY'!$E$4)))/COUNTIFS('1. PASTE DATA'!$B$4:$B$1503,"&lt;&gt;",'1. PASTE DATA'!$C$4:$C$1503,"&gt;="&amp;'2. SUMMARY'!$D$4,'1. PASTE DATA'!$C$4:$C$1503,"&lt;="&amp;'2. SUMMARY'!$E$4)*100,0),0)</f>
        <v>0</v>
      </c>
      <c r="D15" s="10" t="n">
        <f aca="false">SUMPRODUCT(('1. PASTE DATA'!$AG$4:$AK$1503=B15)*('1. PASTE DATA'!$C$4:$C$1503&gt;='2. SUMMARY'!$D$4)*('1. PASTE DATA'!$C$4:$C$1503&lt;='2. SUMMARY'!$E$4))</f>
        <v>0</v>
      </c>
      <c r="E15" s="10" t="str">
        <f aca="false">IF(C15=0,"",RANK(C15,$C$6:$C$20))</f>
        <v/>
      </c>
    </row>
    <row r="16" customFormat="false" ht="15" hidden="false" customHeight="false" outlineLevel="0" collapsed="false">
      <c r="B16" s="10" t="s">
        <v>150</v>
      </c>
      <c r="C16" s="13" t="n">
        <f aca="false">IFERROR(ROUND((SUMPRODUCT(('1. PASTE DATA'!$AG$4:$AK$1503=B16)*('1. PASTE DATA'!$C$4:$C$1503&gt;='2. SUMMARY'!$D$4)*('1. PASTE DATA'!$C$4:$C$1503&lt;='2. SUMMARY'!$E$4)))/COUNTIFS('1. PASTE DATA'!$B$4:$B$1503,"&lt;&gt;",'1. PASTE DATA'!$C$4:$C$1503,"&gt;="&amp;'2. SUMMARY'!$D$4,'1. PASTE DATA'!$C$4:$C$1503,"&lt;="&amp;'2. SUMMARY'!$E$4)*100,0),0)</f>
        <v>0</v>
      </c>
      <c r="D16" s="10" t="n">
        <f aca="false">SUMPRODUCT(('1. PASTE DATA'!$AG$4:$AK$1503=B16)*('1. PASTE DATA'!$C$4:$C$1503&gt;='2. SUMMARY'!$D$4)*('1. PASTE DATA'!$C$4:$C$1503&lt;='2. SUMMARY'!$E$4))</f>
        <v>0</v>
      </c>
      <c r="E16" s="10" t="str">
        <f aca="false">IF(C16=0,"",RANK(C16,$C$6:$C$20))</f>
        <v/>
      </c>
    </row>
    <row r="17" customFormat="false" ht="15" hidden="false" customHeight="false" outlineLevel="0" collapsed="false">
      <c r="B17" s="10" t="s">
        <v>151</v>
      </c>
      <c r="C17" s="13" t="n">
        <f aca="false">IFERROR(ROUND((SUMPRODUCT(('1. PASTE DATA'!$AG$4:$AK$1503=B17)*('1. PASTE DATA'!$C$4:$C$1503&gt;='2. SUMMARY'!$D$4)*('1. PASTE DATA'!$C$4:$C$1503&lt;='2. SUMMARY'!$E$4)))/COUNTIFS('1. PASTE DATA'!$B$4:$B$1503,"&lt;&gt;",'1. PASTE DATA'!$C$4:$C$1503,"&gt;="&amp;'2. SUMMARY'!$D$4,'1. PASTE DATA'!$C$4:$C$1503,"&lt;="&amp;'2. SUMMARY'!$E$4)*100,0),0)</f>
        <v>0</v>
      </c>
      <c r="D17" s="10" t="n">
        <f aca="false">SUMPRODUCT(('1. PASTE DATA'!$AG$4:$AK$1503=B17)*('1. PASTE DATA'!$C$4:$C$1503&gt;='2. SUMMARY'!$D$4)*('1. PASTE DATA'!$C$4:$C$1503&lt;='2. SUMMARY'!$E$4))</f>
        <v>0</v>
      </c>
      <c r="E17" s="10" t="str">
        <f aca="false">IF(C17=0,"",RANK(C17,$C$6:$C$20))</f>
        <v/>
      </c>
    </row>
    <row r="18" customFormat="false" ht="15" hidden="false" customHeight="false" outlineLevel="0" collapsed="false">
      <c r="B18" s="10" t="s">
        <v>152</v>
      </c>
      <c r="C18" s="13" t="n">
        <f aca="false">IFERROR(ROUND((SUMPRODUCT(('1. PASTE DATA'!$AG$4:$AK$1503=B18)*('1. PASTE DATA'!$C$4:$C$1503&gt;='2. SUMMARY'!$D$4)*('1. PASTE DATA'!$C$4:$C$1503&lt;='2. SUMMARY'!$E$4)))/COUNTIFS('1. PASTE DATA'!$B$4:$B$1503,"&lt;&gt;",'1. PASTE DATA'!$C$4:$C$1503,"&gt;="&amp;'2. SUMMARY'!$D$4,'1. PASTE DATA'!$C$4:$C$1503,"&lt;="&amp;'2. SUMMARY'!$E$4)*100,0),0)</f>
        <v>0</v>
      </c>
      <c r="D18" s="10" t="n">
        <f aca="false">SUMPRODUCT(('1. PASTE DATA'!$AG$4:$AK$1503=B18)*('1. PASTE DATA'!$C$4:$C$1503&gt;='2. SUMMARY'!$D$4)*('1. PASTE DATA'!$C$4:$C$1503&lt;='2. SUMMARY'!$E$4))</f>
        <v>0</v>
      </c>
      <c r="E18" s="10" t="str">
        <f aca="false">IF(C18=0,"",RANK(C18,$C$6:$C$20))</f>
        <v/>
      </c>
    </row>
    <row r="19" customFormat="false" ht="15" hidden="false" customHeight="false" outlineLevel="0" collapsed="false">
      <c r="B19" s="10" t="s">
        <v>153</v>
      </c>
      <c r="C19" s="13" t="n">
        <f aca="false">IFERROR(ROUND((SUMPRODUCT(('1. PASTE DATA'!$AG$4:$AK$1503=B19)*('1. PASTE DATA'!$C$4:$C$1503&gt;='2. SUMMARY'!$D$4)*('1. PASTE DATA'!$C$4:$C$1503&lt;='2. SUMMARY'!$E$4)))/COUNTIFS('1. PASTE DATA'!$B$4:$B$1503,"&lt;&gt;",'1. PASTE DATA'!$C$4:$C$1503,"&gt;="&amp;'2. SUMMARY'!$D$4,'1. PASTE DATA'!$C$4:$C$1503,"&lt;="&amp;'2. SUMMARY'!$E$4)*100,0),0)</f>
        <v>0</v>
      </c>
      <c r="D19" s="10" t="n">
        <f aca="false">SUMPRODUCT(('1. PASTE DATA'!$AG$4:$AK$1503=B19)*('1. PASTE DATA'!$C$4:$C$1503&gt;='2. SUMMARY'!$D$4)*('1. PASTE DATA'!$C$4:$C$1503&lt;='2. SUMMARY'!$E$4))</f>
        <v>0</v>
      </c>
      <c r="E19" s="10" t="str">
        <f aca="false">IF(C19=0,"",RANK(C19,$C$6:$C$20))</f>
        <v/>
      </c>
    </row>
    <row r="20" customFormat="false" ht="15" hidden="false" customHeight="false" outlineLevel="0" collapsed="false">
      <c r="B20" s="10" t="s">
        <v>154</v>
      </c>
      <c r="C20" s="13" t="n">
        <f aca="false">IFERROR(ROUND((SUMPRODUCT(('1. PASTE DATA'!$AG$4:$AK$1503=B20)*('1. PASTE DATA'!$C$4:$C$1503&gt;='2. SUMMARY'!$D$4)*('1. PASTE DATA'!$C$4:$C$1503&lt;='2. SUMMARY'!$E$4)))/COUNTIFS('1. PASTE DATA'!$B$4:$B$1503,"&lt;&gt;",'1. PASTE DATA'!$C$4:$C$1503,"&gt;="&amp;'2. SUMMARY'!$D$4,'1. PASTE DATA'!$C$4:$C$1503,"&lt;="&amp;'2. SUMMARY'!$E$4)*100,0),0)</f>
        <v>0</v>
      </c>
      <c r="D20" s="10" t="n">
        <f aca="false">SUMPRODUCT(('1. PASTE DATA'!$AG$4:$AK$1503=B20)*('1. PASTE DATA'!$C$4:$C$1503&gt;='2. SUMMARY'!$D$4)*('1. PASTE DATA'!$C$4:$C$1503&lt;='2. SUMMARY'!$E$4))</f>
        <v>0</v>
      </c>
      <c r="E20" s="10" t="str">
        <f aca="false">IF(C20=0,"",RANK(C20,$C$6:$C$20))</f>
        <v/>
      </c>
    </row>
  </sheetData>
  <conditionalFormatting sqref="C6:C20">
    <cfRule type="dataBar" priority="2">
      <dataBar showValue="1" minLength="10" maxLength="90">
        <cfvo type="num" val="0"/>
        <cfvo type="num" val="100"/>
        <color rgb="FFE8A33D"/>
      </dataBar>
      <extLst>
        <ext xmlns:x14="http://schemas.microsoft.com/office/spreadsheetml/2009/9/main" uri="{B025F937-C7B1-47D3-B67F-A62EFF666E3E}">
          <x14:id>{3B751570-8055-411B-8594-3580DD7ACA26}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751570-8055-411B-8594-3580DD7ACA26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E8A33D"/>
              <x14:axisColor rgb="FF000000"/>
            </x14:dataBar>
          </x14:cfRule>
          <xm:sqref>C6:C20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5B4E"/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8.55" hidden="false" customHeight="false" outlineLevel="0" collapsed="false">
      <c r="A1" s="1" t="s">
        <v>155</v>
      </c>
    </row>
    <row r="2" customFormat="false" ht="15" hidden="false" customHeight="false" outlineLevel="0" collapsed="false">
      <c r="A2" s="2" t="s">
        <v>156</v>
      </c>
    </row>
    <row r="5" customFormat="false" ht="30" hidden="false" customHeight="true" outlineLevel="0" collapsed="false">
      <c r="A5" s="3"/>
      <c r="B5" s="3" t="s">
        <v>157</v>
      </c>
      <c r="C5" s="3" t="s">
        <v>158</v>
      </c>
      <c r="D5" s="3" t="s">
        <v>159</v>
      </c>
      <c r="E5" s="3" t="s">
        <v>160</v>
      </c>
      <c r="F5" s="3" t="s">
        <v>161</v>
      </c>
      <c r="G5" s="3" t="s">
        <v>162</v>
      </c>
    </row>
    <row r="6" customFormat="false" ht="15" hidden="false" customHeight="false" outlineLevel="0" collapsed="false">
      <c r="B6" s="11" t="s">
        <v>163</v>
      </c>
      <c r="C6" s="13" t="n">
        <f aca="false">IFERROR(ROUND((COUNTIFS('1. PASTE DATA'!$BB$4:$BB$1503,"Science",'1.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6" s="13" t="n">
        <f aca="false">IFERROR(ROUND((COUNTIFS('1. PASTE DATA'!$BC$4:$BC$1503,"Science",'1.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6" s="21" t="n">
        <f aca="false">D6-C6</f>
        <v>0</v>
      </c>
      <c r="F6" s="10" t="n">
        <f aca="false">COUNTIFS('1. PASTE DATA'!$BB$4:$BB$1503,"Science",'1. PASTE DATA'!$C$4:$C$1503,"&gt;="&amp;'2. SUMMARY'!$D$4,'1. PASTE DATA'!$C$4:$C$1503,"&lt;="&amp;'2. SUMMARY'!$E$4)</f>
        <v>0</v>
      </c>
      <c r="G6" s="10" t="n">
        <f aca="false">COUNTIFS('1. PASTE DATA'!$BC$4:$BC$1503,"Science",'1. PASTE DATA'!$C$4:$C$1503,"&gt;="&amp;'2. SUMMARY'!$D$4,'1. PASTE DATA'!$C$4:$C$1503,"&lt;="&amp;'2. SUMMARY'!$E$4)</f>
        <v>0</v>
      </c>
    </row>
    <row r="7" customFormat="false" ht="15" hidden="false" customHeight="false" outlineLevel="0" collapsed="false">
      <c r="B7" s="11" t="s">
        <v>164</v>
      </c>
      <c r="C7" s="13" t="n">
        <f aca="false">IFERROR(ROUND((COUNTIFS('1. PASTE DATA'!$BB$4:$BB$1503,"Commerce",'1.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7" s="13" t="n">
        <f aca="false">IFERROR(ROUND((COUNTIFS('1. PASTE DATA'!$BC$4:$BC$1503,"Commerce",'1.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7" s="21" t="n">
        <f aca="false">D7-C7</f>
        <v>0</v>
      </c>
      <c r="F7" s="10" t="n">
        <f aca="false">COUNTIFS('1. PASTE DATA'!$BB$4:$BB$1503,"Commerce",'1. PASTE DATA'!$C$4:$C$1503,"&gt;="&amp;'2. SUMMARY'!$D$4,'1. PASTE DATA'!$C$4:$C$1503,"&lt;="&amp;'2. SUMMARY'!$E$4)</f>
        <v>0</v>
      </c>
      <c r="G7" s="10" t="n">
        <f aca="false">COUNTIFS('1. PASTE DATA'!$BC$4:$BC$1503,"Commerce",'1. PASTE DATA'!$C$4:$C$1503,"&gt;="&amp;'2. SUMMARY'!$D$4,'1. PASTE DATA'!$C$4:$C$1503,"&lt;="&amp;'2. SUMMARY'!$E$4)</f>
        <v>0</v>
      </c>
    </row>
    <row r="8" customFormat="false" ht="15" hidden="false" customHeight="false" outlineLevel="0" collapsed="false">
      <c r="B8" s="11" t="s">
        <v>165</v>
      </c>
      <c r="C8" s="13" t="n">
        <f aca="false">IFERROR(ROUND((COUNTIFS('1. PASTE DATA'!$BB$4:$BB$1503,"Arts / Humanities",'1.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D8" s="13" t="n">
        <f aca="false">IFERROR(ROUND((COUNTIFS('1. PASTE DATA'!$BC$4:$BC$1503,"Arts / Humanities",'1. PASTE DATA'!$C$4:$C$1503,"&gt;="&amp;'2. SUMMARY'!$D$4,'1. PASTE DATA'!$C$4:$C$1503,"&lt;="&amp;'2. SUMMARY'!$E$4))/COUNTIFS('1. PASTE DATA'!$B$4:$B$1503,"&lt;&gt;",'1. PASTE DATA'!$C$4:$C$1503,"&gt;="&amp;'2. SUMMARY'!$D$4,'1. PASTE DATA'!$C$4:$C$1503,"&lt;="&amp;'2. SUMMARY'!$E$4)*100,0),0)</f>
        <v>0</v>
      </c>
      <c r="E8" s="21" t="n">
        <f aca="false">D8-C8</f>
        <v>0</v>
      </c>
      <c r="F8" s="10" t="n">
        <f aca="false">COUNTIFS('1. PASTE DATA'!$BB$4:$BB$1503,"Arts / Humanities",'1. PASTE DATA'!$C$4:$C$1503,"&gt;="&amp;'2. SUMMARY'!$D$4,'1. PASTE DATA'!$C$4:$C$1503,"&lt;="&amp;'2. SUMMARY'!$E$4)</f>
        <v>0</v>
      </c>
      <c r="G8" s="10" t="n">
        <f aca="false">COUNTIFS('1. PASTE DATA'!$BC$4:$BC$1503,"Arts / Humanities",'1. PASTE DATA'!$C$4:$C$1503,"&gt;="&amp;'2. SUMMARY'!$D$4,'1. PASTE DATA'!$C$4:$C$1503,"&lt;="&amp;'2. SUMMARY'!$E$4)</f>
        <v>0</v>
      </c>
    </row>
    <row r="10" customFormat="false" ht="15" hidden="false" customHeight="false" outlineLevel="0" collapsed="false">
      <c r="B10" s="9" t="s">
        <v>166</v>
      </c>
    </row>
    <row r="11" customFormat="false" ht="30" hidden="false" customHeight="true" outlineLevel="0" collapsed="false">
      <c r="A11" s="3"/>
      <c r="B11" s="3" t="s">
        <v>167</v>
      </c>
      <c r="C11" s="3" t="s">
        <v>168</v>
      </c>
      <c r="D11" s="3" t="s">
        <v>169</v>
      </c>
      <c r="E11" s="3" t="s">
        <v>160</v>
      </c>
      <c r="F11" s="3" t="s">
        <v>170</v>
      </c>
      <c r="G11" s="3" t="s">
        <v>157</v>
      </c>
    </row>
    <row r="12" customFormat="false" ht="15" hidden="false" customHeight="false" outlineLevel="0" collapsed="false">
      <c r="B12" s="10" t="s">
        <v>171</v>
      </c>
      <c r="C12" s="10" t="n">
        <f aca="false">SUMPRODUCT(('1. PASTE DATA'!$AP$4:$AR$1503=B12)*('1. PASTE DATA'!$C$4:$C$1503&gt;='2. SUMMARY'!$D$4)*('1. PASTE DATA'!$C$4:$C$1503&lt;='2. SUMMARY'!$E$4))</f>
        <v>0</v>
      </c>
      <c r="D12" s="11" t="n">
        <f aca="false">SUMPRODUCT(('1. PASTE DATA'!$AL$4:$AO$1503=B12)*('1. PASTE DATA'!$C$4:$C$1503&gt;='2. SUMMARY'!$D$4)*('1. PASTE DATA'!$C$4:$C$1503&lt;='2. SUMMARY'!$E$4))</f>
        <v>0</v>
      </c>
      <c r="E12" s="10" t="n">
        <f aca="false">D12-C12</f>
        <v>0</v>
      </c>
      <c r="F12" s="13" t="str">
        <f aca="false">IF(D12=0,"",ROUND(MIN(C12,D12)/D12*100,0))</f>
        <v/>
      </c>
      <c r="G12" s="22" t="s">
        <v>163</v>
      </c>
    </row>
    <row r="13" customFormat="false" ht="15" hidden="false" customHeight="false" outlineLevel="0" collapsed="false">
      <c r="B13" s="10" t="s">
        <v>172</v>
      </c>
      <c r="C13" s="10" t="n">
        <f aca="false">SUMPRODUCT(('1. PASTE DATA'!$AP$4:$AR$1503=B13)*('1. PASTE DATA'!$C$4:$C$1503&gt;='2. SUMMARY'!$D$4)*('1. PASTE DATA'!$C$4:$C$1503&lt;='2. SUMMARY'!$E$4))</f>
        <v>0</v>
      </c>
      <c r="D13" s="11" t="n">
        <f aca="false">SUMPRODUCT(('1. PASTE DATA'!$AL$4:$AO$1503=B13)*('1. PASTE DATA'!$C$4:$C$1503&gt;='2. SUMMARY'!$D$4)*('1. PASTE DATA'!$C$4:$C$1503&lt;='2. SUMMARY'!$E$4))</f>
        <v>0</v>
      </c>
      <c r="E13" s="10" t="n">
        <f aca="false">D13-C13</f>
        <v>0</v>
      </c>
      <c r="F13" s="13" t="str">
        <f aca="false">IF(D13=0,"",ROUND(MIN(C13,D13)/D13*100,0))</f>
        <v/>
      </c>
      <c r="G13" s="22" t="s">
        <v>163</v>
      </c>
    </row>
    <row r="14" customFormat="false" ht="15" hidden="false" customHeight="false" outlineLevel="0" collapsed="false">
      <c r="B14" s="10" t="s">
        <v>173</v>
      </c>
      <c r="C14" s="10" t="n">
        <f aca="false">SUMPRODUCT(('1. PASTE DATA'!$AP$4:$AR$1503=B14)*('1. PASTE DATA'!$C$4:$C$1503&gt;='2. SUMMARY'!$D$4)*('1. PASTE DATA'!$C$4:$C$1503&lt;='2. SUMMARY'!$E$4))</f>
        <v>0</v>
      </c>
      <c r="D14" s="11" t="n">
        <f aca="false">SUMPRODUCT(('1. PASTE DATA'!$AL$4:$AO$1503=B14)*('1. PASTE DATA'!$C$4:$C$1503&gt;='2. SUMMARY'!$D$4)*('1. PASTE DATA'!$C$4:$C$1503&lt;='2. SUMMARY'!$E$4))</f>
        <v>0</v>
      </c>
      <c r="E14" s="10" t="n">
        <f aca="false">D14-C14</f>
        <v>0</v>
      </c>
      <c r="F14" s="13" t="str">
        <f aca="false">IF(D14=0,"",ROUND(MIN(C14,D14)/D14*100,0))</f>
        <v/>
      </c>
      <c r="G14" s="22" t="s">
        <v>163</v>
      </c>
    </row>
    <row r="15" customFormat="false" ht="15" hidden="false" customHeight="false" outlineLevel="0" collapsed="false">
      <c r="B15" s="10" t="s">
        <v>174</v>
      </c>
      <c r="C15" s="10" t="n">
        <f aca="false">SUMPRODUCT(('1. PASTE DATA'!$AP$4:$AR$1503=B15)*('1. PASTE DATA'!$C$4:$C$1503&gt;='2. SUMMARY'!$D$4)*('1. PASTE DATA'!$C$4:$C$1503&lt;='2. SUMMARY'!$E$4))</f>
        <v>0</v>
      </c>
      <c r="D15" s="11" t="n">
        <f aca="false">SUMPRODUCT(('1. PASTE DATA'!$AL$4:$AO$1503=B15)*('1. PASTE DATA'!$C$4:$C$1503&gt;='2. SUMMARY'!$D$4)*('1. PASTE DATA'!$C$4:$C$1503&lt;='2. SUMMARY'!$E$4))</f>
        <v>0</v>
      </c>
      <c r="E15" s="10" t="n">
        <f aca="false">D15-C15</f>
        <v>0</v>
      </c>
      <c r="F15" s="13" t="str">
        <f aca="false">IF(D15=0,"",ROUND(MIN(C15,D15)/D15*100,0))</f>
        <v/>
      </c>
      <c r="G15" s="22" t="s">
        <v>163</v>
      </c>
    </row>
    <row r="16" customFormat="false" ht="15" hidden="false" customHeight="false" outlineLevel="0" collapsed="false">
      <c r="B16" s="10" t="s">
        <v>175</v>
      </c>
      <c r="C16" s="10" t="n">
        <f aca="false">SUMPRODUCT(('1. PASTE DATA'!$AP$4:$AR$1503=B16)*('1. PASTE DATA'!$C$4:$C$1503&gt;='2. SUMMARY'!$D$4)*('1. PASTE DATA'!$C$4:$C$1503&lt;='2. SUMMARY'!$E$4))</f>
        <v>0</v>
      </c>
      <c r="D16" s="11" t="n">
        <f aca="false">SUMPRODUCT(('1. PASTE DATA'!$AL$4:$AO$1503=B16)*('1. PASTE DATA'!$C$4:$C$1503&gt;='2. SUMMARY'!$D$4)*('1. PASTE DATA'!$C$4:$C$1503&lt;='2. SUMMARY'!$E$4))</f>
        <v>0</v>
      </c>
      <c r="E16" s="10" t="n">
        <f aca="false">D16-C16</f>
        <v>0</v>
      </c>
      <c r="F16" s="13" t="str">
        <f aca="false">IF(D16=0,"",ROUND(MIN(C16,D16)/D16*100,0))</f>
        <v/>
      </c>
      <c r="G16" s="22" t="s">
        <v>163</v>
      </c>
    </row>
    <row r="17" customFormat="false" ht="15" hidden="false" customHeight="false" outlineLevel="0" collapsed="false">
      <c r="B17" s="10" t="s">
        <v>176</v>
      </c>
      <c r="C17" s="10" t="n">
        <f aca="false">SUMPRODUCT(('1. PASTE DATA'!$AP$4:$AR$1503=B17)*('1. PASTE DATA'!$C$4:$C$1503&gt;='2. SUMMARY'!$D$4)*('1. PASTE DATA'!$C$4:$C$1503&lt;='2. SUMMARY'!$E$4))</f>
        <v>0</v>
      </c>
      <c r="D17" s="11" t="n">
        <f aca="false">SUMPRODUCT(('1. PASTE DATA'!$AL$4:$AO$1503=B17)*('1. PASTE DATA'!$C$4:$C$1503&gt;='2. SUMMARY'!$D$4)*('1. PASTE DATA'!$C$4:$C$1503&lt;='2. SUMMARY'!$E$4))</f>
        <v>0</v>
      </c>
      <c r="E17" s="10" t="n">
        <f aca="false">D17-C17</f>
        <v>0</v>
      </c>
      <c r="F17" s="13" t="str">
        <f aca="false">IF(D17=0,"",ROUND(MIN(C17,D17)/D17*100,0))</f>
        <v/>
      </c>
      <c r="G17" s="22" t="s">
        <v>163</v>
      </c>
    </row>
    <row r="18" customFormat="false" ht="15" hidden="false" customHeight="false" outlineLevel="0" collapsed="false">
      <c r="B18" s="10" t="s">
        <v>177</v>
      </c>
      <c r="C18" s="10" t="n">
        <f aca="false">SUMPRODUCT(('1. PASTE DATA'!$AP$4:$AR$1503=B18)*('1. PASTE DATA'!$C$4:$C$1503&gt;='2. SUMMARY'!$D$4)*('1. PASTE DATA'!$C$4:$C$1503&lt;='2. SUMMARY'!$E$4))</f>
        <v>0</v>
      </c>
      <c r="D18" s="11" t="n">
        <f aca="false">SUMPRODUCT(('1. PASTE DATA'!$AL$4:$AO$1503=B18)*('1. PASTE DATA'!$C$4:$C$1503&gt;='2. SUMMARY'!$D$4)*('1. PASTE DATA'!$C$4:$C$1503&lt;='2. SUMMARY'!$E$4))</f>
        <v>0</v>
      </c>
      <c r="E18" s="10" t="n">
        <f aca="false">D18-C18</f>
        <v>0</v>
      </c>
      <c r="F18" s="13" t="str">
        <f aca="false">IF(D18=0,"",ROUND(MIN(C18,D18)/D18*100,0))</f>
        <v/>
      </c>
      <c r="G18" s="22" t="s">
        <v>163</v>
      </c>
    </row>
    <row r="19" customFormat="false" ht="15" hidden="false" customHeight="false" outlineLevel="0" collapsed="false">
      <c r="B19" s="10" t="s">
        <v>178</v>
      </c>
      <c r="C19" s="10" t="n">
        <f aca="false">SUMPRODUCT(('1. PASTE DATA'!$AP$4:$AR$1503=B19)*('1. PASTE DATA'!$C$4:$C$1503&gt;='2. SUMMARY'!$D$4)*('1. PASTE DATA'!$C$4:$C$1503&lt;='2. SUMMARY'!$E$4))</f>
        <v>0</v>
      </c>
      <c r="D19" s="11" t="n">
        <f aca="false">SUMPRODUCT(('1. PASTE DATA'!$AL$4:$AO$1503=B19)*('1. PASTE DATA'!$C$4:$C$1503&gt;='2. SUMMARY'!$D$4)*('1. PASTE DATA'!$C$4:$C$1503&lt;='2. SUMMARY'!$E$4))</f>
        <v>0</v>
      </c>
      <c r="E19" s="10" t="n">
        <f aca="false">D19-C19</f>
        <v>0</v>
      </c>
      <c r="F19" s="13" t="str">
        <f aca="false">IF(D19=0,"",ROUND(MIN(C19,D19)/D19*100,0))</f>
        <v/>
      </c>
      <c r="G19" s="22" t="s">
        <v>163</v>
      </c>
    </row>
    <row r="20" customFormat="false" ht="15" hidden="false" customHeight="false" outlineLevel="0" collapsed="false">
      <c r="B20" s="10" t="s">
        <v>179</v>
      </c>
      <c r="C20" s="10" t="n">
        <f aca="false">SUMPRODUCT(('1. PASTE DATA'!$AP$4:$AR$1503=B20)*('1. PASTE DATA'!$C$4:$C$1503&gt;='2. SUMMARY'!$D$4)*('1. PASTE DATA'!$C$4:$C$1503&lt;='2. SUMMARY'!$E$4))</f>
        <v>0</v>
      </c>
      <c r="D20" s="11" t="n">
        <f aca="false">SUMPRODUCT(('1. PASTE DATA'!$AL$4:$AO$1503=B20)*('1. PASTE DATA'!$C$4:$C$1503&gt;='2. SUMMARY'!$D$4)*('1. PASTE DATA'!$C$4:$C$1503&lt;='2. SUMMARY'!$E$4))</f>
        <v>0</v>
      </c>
      <c r="E20" s="10" t="n">
        <f aca="false">D20-C20</f>
        <v>0</v>
      </c>
      <c r="F20" s="13" t="str">
        <f aca="false">IF(D20=0,"",ROUND(MIN(C20,D20)/D20*100,0))</f>
        <v/>
      </c>
      <c r="G20" s="22" t="s">
        <v>164</v>
      </c>
    </row>
    <row r="21" customFormat="false" ht="15" hidden="false" customHeight="false" outlineLevel="0" collapsed="false">
      <c r="B21" s="10" t="s">
        <v>180</v>
      </c>
      <c r="C21" s="10" t="n">
        <f aca="false">SUMPRODUCT(('1. PASTE DATA'!$AP$4:$AR$1503=B21)*('1. PASTE DATA'!$C$4:$C$1503&gt;='2. SUMMARY'!$D$4)*('1. PASTE DATA'!$C$4:$C$1503&lt;='2. SUMMARY'!$E$4))</f>
        <v>0</v>
      </c>
      <c r="D21" s="11" t="n">
        <f aca="false">SUMPRODUCT(('1. PASTE DATA'!$AL$4:$AO$1503=B21)*('1. PASTE DATA'!$C$4:$C$1503&gt;='2. SUMMARY'!$D$4)*('1. PASTE DATA'!$C$4:$C$1503&lt;='2. SUMMARY'!$E$4))</f>
        <v>0</v>
      </c>
      <c r="E21" s="10" t="n">
        <f aca="false">D21-C21</f>
        <v>0</v>
      </c>
      <c r="F21" s="13" t="str">
        <f aca="false">IF(D21=0,"",ROUND(MIN(C21,D21)/D21*100,0))</f>
        <v/>
      </c>
      <c r="G21" s="22" t="s">
        <v>164</v>
      </c>
    </row>
    <row r="22" customFormat="false" ht="15" hidden="false" customHeight="false" outlineLevel="0" collapsed="false">
      <c r="B22" s="10" t="s">
        <v>181</v>
      </c>
      <c r="C22" s="10" t="n">
        <f aca="false">SUMPRODUCT(('1. PASTE DATA'!$AP$4:$AR$1503=B22)*('1. PASTE DATA'!$C$4:$C$1503&gt;='2. SUMMARY'!$D$4)*('1. PASTE DATA'!$C$4:$C$1503&lt;='2. SUMMARY'!$E$4))</f>
        <v>0</v>
      </c>
      <c r="D22" s="11" t="n">
        <f aca="false">SUMPRODUCT(('1. PASTE DATA'!$AL$4:$AO$1503=B22)*('1. PASTE DATA'!$C$4:$C$1503&gt;='2. SUMMARY'!$D$4)*('1. PASTE DATA'!$C$4:$C$1503&lt;='2. SUMMARY'!$E$4))</f>
        <v>0</v>
      </c>
      <c r="E22" s="10" t="n">
        <f aca="false">D22-C22</f>
        <v>0</v>
      </c>
      <c r="F22" s="13" t="str">
        <f aca="false">IF(D22=0,"",ROUND(MIN(C22,D22)/D22*100,0))</f>
        <v/>
      </c>
      <c r="G22" s="22" t="s">
        <v>164</v>
      </c>
    </row>
    <row r="23" customFormat="false" ht="15" hidden="false" customHeight="false" outlineLevel="0" collapsed="false">
      <c r="B23" s="10" t="s">
        <v>182</v>
      </c>
      <c r="C23" s="10" t="n">
        <f aca="false">SUMPRODUCT(('1. PASTE DATA'!$AP$4:$AR$1503=B23)*('1. PASTE DATA'!$C$4:$C$1503&gt;='2. SUMMARY'!$D$4)*('1. PASTE DATA'!$C$4:$C$1503&lt;='2. SUMMARY'!$E$4))</f>
        <v>0</v>
      </c>
      <c r="D23" s="11" t="n">
        <f aca="false">SUMPRODUCT(('1. PASTE DATA'!$AL$4:$AO$1503=B23)*('1. PASTE DATA'!$C$4:$C$1503&gt;='2. SUMMARY'!$D$4)*('1. PASTE DATA'!$C$4:$C$1503&lt;='2. SUMMARY'!$E$4))</f>
        <v>0</v>
      </c>
      <c r="E23" s="10" t="n">
        <f aca="false">D23-C23</f>
        <v>0</v>
      </c>
      <c r="F23" s="13" t="str">
        <f aca="false">IF(D23=0,"",ROUND(MIN(C23,D23)/D23*100,0))</f>
        <v/>
      </c>
      <c r="G23" s="22" t="s">
        <v>164</v>
      </c>
    </row>
    <row r="24" customFormat="false" ht="15" hidden="false" customHeight="false" outlineLevel="0" collapsed="false">
      <c r="B24" s="10" t="s">
        <v>183</v>
      </c>
      <c r="C24" s="10" t="n">
        <f aca="false">SUMPRODUCT(('1. PASTE DATA'!$AP$4:$AR$1503=B24)*('1. PASTE DATA'!$C$4:$C$1503&gt;='2. SUMMARY'!$D$4)*('1. PASTE DATA'!$C$4:$C$1503&lt;='2. SUMMARY'!$E$4))</f>
        <v>0</v>
      </c>
      <c r="D24" s="11" t="n">
        <f aca="false">SUMPRODUCT(('1. PASTE DATA'!$AL$4:$AO$1503=B24)*('1. PASTE DATA'!$C$4:$C$1503&gt;='2. SUMMARY'!$D$4)*('1. PASTE DATA'!$C$4:$C$1503&lt;='2. SUMMARY'!$E$4))</f>
        <v>0</v>
      </c>
      <c r="E24" s="10" t="n">
        <f aca="false">D24-C24</f>
        <v>0</v>
      </c>
      <c r="F24" s="13" t="str">
        <f aca="false">IF(D24=0,"",ROUND(MIN(C24,D24)/D24*100,0))</f>
        <v/>
      </c>
      <c r="G24" s="22" t="s">
        <v>164</v>
      </c>
    </row>
    <row r="25" customFormat="false" ht="15" hidden="false" customHeight="false" outlineLevel="0" collapsed="false">
      <c r="B25" s="10" t="s">
        <v>184</v>
      </c>
      <c r="C25" s="10" t="n">
        <f aca="false">SUMPRODUCT(('1. PASTE DATA'!$AP$4:$AR$1503=B25)*('1. PASTE DATA'!$C$4:$C$1503&gt;='2. SUMMARY'!$D$4)*('1. PASTE DATA'!$C$4:$C$1503&lt;='2. SUMMARY'!$E$4))</f>
        <v>0</v>
      </c>
      <c r="D25" s="11" t="n">
        <f aca="false">SUMPRODUCT(('1. PASTE DATA'!$AL$4:$AO$1503=B25)*('1. PASTE DATA'!$C$4:$C$1503&gt;='2. SUMMARY'!$D$4)*('1. PASTE DATA'!$C$4:$C$1503&lt;='2. SUMMARY'!$E$4))</f>
        <v>0</v>
      </c>
      <c r="E25" s="10" t="n">
        <f aca="false">D25-C25</f>
        <v>0</v>
      </c>
      <c r="F25" s="13" t="str">
        <f aca="false">IF(D25=0,"",ROUND(MIN(C25,D25)/D25*100,0))</f>
        <v/>
      </c>
      <c r="G25" s="22" t="s">
        <v>164</v>
      </c>
    </row>
    <row r="26" customFormat="false" ht="15" hidden="false" customHeight="false" outlineLevel="0" collapsed="false">
      <c r="B26" s="10" t="s">
        <v>185</v>
      </c>
      <c r="C26" s="10" t="n">
        <f aca="false">SUMPRODUCT(('1. PASTE DATA'!$AP$4:$AR$1503=B26)*('1. PASTE DATA'!$C$4:$C$1503&gt;='2. SUMMARY'!$D$4)*('1. PASTE DATA'!$C$4:$C$1503&lt;='2. SUMMARY'!$E$4))</f>
        <v>0</v>
      </c>
      <c r="D26" s="11" t="n">
        <f aca="false">SUMPRODUCT(('1. PASTE DATA'!$AL$4:$AO$1503=B26)*('1. PASTE DATA'!$C$4:$C$1503&gt;='2. SUMMARY'!$D$4)*('1. PASTE DATA'!$C$4:$C$1503&lt;='2. SUMMARY'!$E$4))</f>
        <v>0</v>
      </c>
      <c r="E26" s="10" t="n">
        <f aca="false">D26-C26</f>
        <v>0</v>
      </c>
      <c r="F26" s="13" t="str">
        <f aca="false">IF(D26=0,"",ROUND(MIN(C26,D26)/D26*100,0))</f>
        <v/>
      </c>
      <c r="G26" s="22" t="s">
        <v>165</v>
      </c>
    </row>
    <row r="27" customFormat="false" ht="15" hidden="false" customHeight="false" outlineLevel="0" collapsed="false">
      <c r="B27" s="10" t="s">
        <v>186</v>
      </c>
      <c r="C27" s="10" t="n">
        <f aca="false">SUMPRODUCT(('1. PASTE DATA'!$AP$4:$AR$1503=B27)*('1. PASTE DATA'!$C$4:$C$1503&gt;='2. SUMMARY'!$D$4)*('1. PASTE DATA'!$C$4:$C$1503&lt;='2. SUMMARY'!$E$4))</f>
        <v>0</v>
      </c>
      <c r="D27" s="11" t="n">
        <f aca="false">SUMPRODUCT(('1. PASTE DATA'!$AL$4:$AO$1503=B27)*('1. PASTE DATA'!$C$4:$C$1503&gt;='2. SUMMARY'!$D$4)*('1. PASTE DATA'!$C$4:$C$1503&lt;='2. SUMMARY'!$E$4))</f>
        <v>0</v>
      </c>
      <c r="E27" s="10" t="n">
        <f aca="false">D27-C27</f>
        <v>0</v>
      </c>
      <c r="F27" s="13" t="str">
        <f aca="false">IF(D27=0,"",ROUND(MIN(C27,D27)/D27*100,0))</f>
        <v/>
      </c>
      <c r="G27" s="22" t="s">
        <v>165</v>
      </c>
    </row>
    <row r="28" customFormat="false" ht="15" hidden="false" customHeight="false" outlineLevel="0" collapsed="false">
      <c r="B28" s="10" t="s">
        <v>187</v>
      </c>
      <c r="C28" s="10" t="n">
        <f aca="false">SUMPRODUCT(('1. PASTE DATA'!$AP$4:$AR$1503=B28)*('1. PASTE DATA'!$C$4:$C$1503&gt;='2. SUMMARY'!$D$4)*('1. PASTE DATA'!$C$4:$C$1503&lt;='2. SUMMARY'!$E$4))</f>
        <v>0</v>
      </c>
      <c r="D28" s="11" t="n">
        <f aca="false">SUMPRODUCT(('1. PASTE DATA'!$AL$4:$AO$1503=B28)*('1. PASTE DATA'!$C$4:$C$1503&gt;='2. SUMMARY'!$D$4)*('1. PASTE DATA'!$C$4:$C$1503&lt;='2. SUMMARY'!$E$4))</f>
        <v>0</v>
      </c>
      <c r="E28" s="10" t="n">
        <f aca="false">D28-C28</f>
        <v>0</v>
      </c>
      <c r="F28" s="13" t="str">
        <f aca="false">IF(D28=0,"",ROUND(MIN(C28,D28)/D28*100,0))</f>
        <v/>
      </c>
      <c r="G28" s="22" t="s">
        <v>165</v>
      </c>
    </row>
    <row r="29" customFormat="false" ht="15" hidden="false" customHeight="false" outlineLevel="0" collapsed="false">
      <c r="B29" s="10" t="s">
        <v>188</v>
      </c>
      <c r="C29" s="10" t="n">
        <f aca="false">SUMPRODUCT(('1. PASTE DATA'!$AP$4:$AR$1503=B29)*('1. PASTE DATA'!$C$4:$C$1503&gt;='2. SUMMARY'!$D$4)*('1. PASTE DATA'!$C$4:$C$1503&lt;='2. SUMMARY'!$E$4))</f>
        <v>0</v>
      </c>
      <c r="D29" s="11" t="n">
        <f aca="false">SUMPRODUCT(('1. PASTE DATA'!$AL$4:$AO$1503=B29)*('1. PASTE DATA'!$C$4:$C$1503&gt;='2. SUMMARY'!$D$4)*('1. PASTE DATA'!$C$4:$C$1503&lt;='2. SUMMARY'!$E$4))</f>
        <v>0</v>
      </c>
      <c r="E29" s="10" t="n">
        <f aca="false">D29-C29</f>
        <v>0</v>
      </c>
      <c r="F29" s="13" t="str">
        <f aca="false">IF(D29=0,"",ROUND(MIN(C29,D29)/D29*100,0))</f>
        <v/>
      </c>
      <c r="G29" s="22" t="s">
        <v>165</v>
      </c>
    </row>
    <row r="30" customFormat="false" ht="15" hidden="false" customHeight="false" outlineLevel="0" collapsed="false">
      <c r="B30" s="10" t="s">
        <v>189</v>
      </c>
      <c r="C30" s="10" t="n">
        <f aca="false">SUMPRODUCT(('1. PASTE DATA'!$AP$4:$AR$1503=B30)*('1. PASTE DATA'!$C$4:$C$1503&gt;='2. SUMMARY'!$D$4)*('1. PASTE DATA'!$C$4:$C$1503&lt;='2. SUMMARY'!$E$4))</f>
        <v>0</v>
      </c>
      <c r="D30" s="11" t="n">
        <f aca="false">SUMPRODUCT(('1. PASTE DATA'!$AL$4:$AO$1503=B30)*('1. PASTE DATA'!$C$4:$C$1503&gt;='2. SUMMARY'!$D$4)*('1. PASTE DATA'!$C$4:$C$1503&lt;='2. SUMMARY'!$E$4))</f>
        <v>0</v>
      </c>
      <c r="E30" s="10" t="n">
        <f aca="false">D30-C30</f>
        <v>0</v>
      </c>
      <c r="F30" s="13" t="str">
        <f aca="false">IF(D30=0,"",ROUND(MIN(C30,D30)/D30*100,0))</f>
        <v/>
      </c>
      <c r="G30" s="22" t="s">
        <v>165</v>
      </c>
    </row>
    <row r="31" customFormat="false" ht="15" hidden="false" customHeight="false" outlineLevel="0" collapsed="false">
      <c r="B31" s="10" t="s">
        <v>190</v>
      </c>
      <c r="C31" s="10" t="n">
        <f aca="false">SUMPRODUCT(('1. PASTE DATA'!$AP$4:$AR$1503=B31)*('1. PASTE DATA'!$C$4:$C$1503&gt;='2. SUMMARY'!$D$4)*('1. PASTE DATA'!$C$4:$C$1503&lt;='2. SUMMARY'!$E$4))</f>
        <v>0</v>
      </c>
      <c r="D31" s="11" t="n">
        <f aca="false">SUMPRODUCT(('1. PASTE DATA'!$AL$4:$AO$1503=B31)*('1. PASTE DATA'!$C$4:$C$1503&gt;='2. SUMMARY'!$D$4)*('1. PASTE DATA'!$C$4:$C$1503&lt;='2. SUMMARY'!$E$4))</f>
        <v>0</v>
      </c>
      <c r="E31" s="10" t="n">
        <f aca="false">D31-C31</f>
        <v>0</v>
      </c>
      <c r="F31" s="13" t="str">
        <f aca="false">IF(D31=0,"",ROUND(MIN(C31,D31)/D31*100,0))</f>
        <v/>
      </c>
      <c r="G31" s="22" t="s">
        <v>165</v>
      </c>
    </row>
    <row r="32" customFormat="false" ht="15" hidden="false" customHeight="false" outlineLevel="0" collapsed="false">
      <c r="B32" s="10" t="s">
        <v>191</v>
      </c>
      <c r="C32" s="10" t="n">
        <f aca="false">SUMPRODUCT(('1. PASTE DATA'!$AP$4:$AR$1503=B32)*('1. PASTE DATA'!$C$4:$C$1503&gt;='2. SUMMARY'!$D$4)*('1. PASTE DATA'!$C$4:$C$1503&lt;='2. SUMMARY'!$E$4))</f>
        <v>0</v>
      </c>
      <c r="D32" s="11" t="n">
        <f aca="false">SUMPRODUCT(('1. PASTE DATA'!$AL$4:$AO$1503=B32)*('1. PASTE DATA'!$C$4:$C$1503&gt;='2. SUMMARY'!$D$4)*('1. PASTE DATA'!$C$4:$C$1503&lt;='2. SUMMARY'!$E$4))</f>
        <v>0</v>
      </c>
      <c r="E32" s="10" t="n">
        <f aca="false">D32-C32</f>
        <v>0</v>
      </c>
      <c r="F32" s="13" t="str">
        <f aca="false">IF(D32=0,"",ROUND(MIN(C32,D32)/D32*100,0))</f>
        <v/>
      </c>
      <c r="G32" s="22" t="s">
        <v>165</v>
      </c>
    </row>
    <row r="33" customFormat="false" ht="15" hidden="false" customHeight="false" outlineLevel="0" collapsed="false">
      <c r="B33" s="10" t="s">
        <v>192</v>
      </c>
      <c r="C33" s="10" t="n">
        <f aca="false">SUMPRODUCT(('1. PASTE DATA'!$AP$4:$AR$1503=B33)*('1. PASTE DATA'!$C$4:$C$1503&gt;='2. SUMMARY'!$D$4)*('1. PASTE DATA'!$C$4:$C$1503&lt;='2. SUMMARY'!$E$4))</f>
        <v>0</v>
      </c>
      <c r="D33" s="11" t="n">
        <f aca="false">SUMPRODUCT(('1. PASTE DATA'!$AL$4:$AO$1503=B33)*('1. PASTE DATA'!$C$4:$C$1503&gt;='2. SUMMARY'!$D$4)*('1. PASTE DATA'!$C$4:$C$1503&lt;='2. SUMMARY'!$E$4))</f>
        <v>0</v>
      </c>
      <c r="E33" s="10" t="n">
        <f aca="false">D33-C33</f>
        <v>0</v>
      </c>
      <c r="F33" s="13" t="str">
        <f aca="false">IF(D33=0,"",ROUND(MIN(C33,D33)/D33*100,0))</f>
        <v/>
      </c>
      <c r="G33" s="22" t="s">
        <v>165</v>
      </c>
    </row>
    <row r="34" customFormat="false" ht="15" hidden="false" customHeight="false" outlineLevel="0" collapsed="false">
      <c r="B34" s="10" t="s">
        <v>193</v>
      </c>
      <c r="C34" s="10" t="n">
        <f aca="false">SUMPRODUCT(('1. PASTE DATA'!$AP$4:$AR$1503=B34)*('1. PASTE DATA'!$C$4:$C$1503&gt;='2. SUMMARY'!$D$4)*('1. PASTE DATA'!$C$4:$C$1503&lt;='2. SUMMARY'!$E$4))</f>
        <v>0</v>
      </c>
      <c r="D34" s="11" t="n">
        <f aca="false">SUMPRODUCT(('1. PASTE DATA'!$AL$4:$AO$1503=B34)*('1. PASTE DATA'!$C$4:$C$1503&gt;='2. SUMMARY'!$D$4)*('1. PASTE DATA'!$C$4:$C$1503&lt;='2. SUMMARY'!$E$4))</f>
        <v>0</v>
      </c>
      <c r="E34" s="10" t="n">
        <f aca="false">D34-C34</f>
        <v>0</v>
      </c>
      <c r="F34" s="13" t="str">
        <f aca="false">IF(D34=0,"",ROUND(MIN(C34,D34)/D34*100,0))</f>
        <v/>
      </c>
      <c r="G34" s="22" t="s">
        <v>165</v>
      </c>
    </row>
    <row r="35" customFormat="false" ht="15" hidden="false" customHeight="false" outlineLevel="0" collapsed="false">
      <c r="B35" s="10" t="s">
        <v>194</v>
      </c>
      <c r="C35" s="10" t="n">
        <f aca="false">SUMPRODUCT(('1. PASTE DATA'!$AP$4:$AR$1503=B35)*('1. PASTE DATA'!$C$4:$C$1503&gt;='2. SUMMARY'!$D$4)*('1. PASTE DATA'!$C$4:$C$1503&lt;='2. SUMMARY'!$E$4))</f>
        <v>0</v>
      </c>
      <c r="D35" s="11" t="n">
        <f aca="false">SUMPRODUCT(('1. PASTE DATA'!$AL$4:$AO$1503=B35)*('1. PASTE DATA'!$C$4:$C$1503&gt;='2. SUMMARY'!$D$4)*('1. PASTE DATA'!$C$4:$C$1503&lt;='2. SUMMARY'!$E$4))</f>
        <v>0</v>
      </c>
      <c r="E35" s="10" t="n">
        <f aca="false">D35-C35</f>
        <v>0</v>
      </c>
      <c r="F35" s="13" t="str">
        <f aca="false">IF(D35=0,"",ROUND(MIN(C35,D35)/D35*100,0))</f>
        <v/>
      </c>
      <c r="G35" s="22" t="s">
        <v>165</v>
      </c>
    </row>
    <row r="37" customFormat="false" ht="15" hidden="false" customHeight="false" outlineLevel="0" collapsed="false">
      <c r="B37" s="2" t="s">
        <v>195</v>
      </c>
    </row>
  </sheetData>
  <conditionalFormatting sqref="E6:E8">
    <cfRule type="colorScale" priority="2">
      <colorScale>
        <cfvo type="min" val="0"/>
        <cfvo type="num" val="0"/>
        <cfvo type="max" val="0"/>
        <color rgb="FFD9EAD3"/>
        <color rgb="FFFFFFFF"/>
        <color rgb="FFF8D7D3"/>
      </colorScale>
    </cfRule>
  </conditionalFormatting>
  <conditionalFormatting sqref="F12:F35">
    <cfRule type="colorScale" priority="3">
      <colorScale>
        <cfvo type="num" val="0"/>
        <cfvo type="num" val="100"/>
        <color rgb="FFF8D7D3"/>
        <color rgb="FFD9EAD3"/>
      </colorScale>
    </cfRule>
  </conditionalFormatting>
  <conditionalFormatting sqref="D12:D35">
    <cfRule type="dataBar" priority="4">
      <dataBar showValue="1" minLength="10" maxLength="90">
        <cfvo type="num" val="0"/>
        <cfvo type="max" val="0"/>
        <color rgb="FFE8A33D"/>
      </dataBar>
      <extLst>
        <ext xmlns:x14="http://schemas.microsoft.com/office/spreadsheetml/2009/9/main" uri="{B025F937-C7B1-47D3-B67F-A62EFF666E3E}">
          <x14:id>{FDA2F349-FACF-46F8-B1D3-EA66132A5F68}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A2F349-FACF-46F8-B1D3-EA66132A5F68}">
            <x14:dataBar minLength="10" maxLength="90" axisPosition="none" gradient="true">
              <x14:cfvo type="num">
                <xm:f>0</xm:f>
              </x14:cfvo>
              <x14:cfvo type="max"/>
              <x14:negativeFillColor rgb="FFE8A33D"/>
              <x14:axisColor rgb="FF000000"/>
            </x14:dataBar>
          </x14:cfRule>
          <xm:sqref>D12:D35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7CB1"/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2"/>
  </cols>
  <sheetData>
    <row r="1" customFormat="false" ht="18.5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4" customFormat="false" ht="25.5" hidden="false" customHeight="true" outlineLevel="0" collapsed="false">
      <c r="A4" s="3"/>
      <c r="B4" s="3" t="s">
        <v>75</v>
      </c>
      <c r="C4" s="3" t="s">
        <v>76</v>
      </c>
      <c r="D4" s="3" t="s">
        <v>77</v>
      </c>
      <c r="E4" s="3" t="s">
        <v>78</v>
      </c>
      <c r="F4" s="3" t="s">
        <v>79</v>
      </c>
      <c r="G4" s="3" t="s">
        <v>80</v>
      </c>
      <c r="H4" s="3" t="s">
        <v>81</v>
      </c>
    </row>
    <row r="5" customFormat="false" ht="15" hidden="false" customHeight="false" outlineLevel="0" collapsed="false">
      <c r="A5" s="11" t="s">
        <v>73</v>
      </c>
      <c r="B5" s="11" t="n">
        <f aca="false">COUNTIFS('1. PASTE DATA'!$C$4:$C$1503,6,'1. PASTE DATA'!$B$4:$B$1503,"&lt;&gt;")</f>
        <v>0</v>
      </c>
      <c r="C5" s="11" t="n">
        <f aca="false">COUNTIFS('1. PASTE DATA'!$C$4:$C$1503,7,'1. PASTE DATA'!$B$4:$B$1503,"&lt;&gt;")</f>
        <v>0</v>
      </c>
      <c r="D5" s="11" t="n">
        <f aca="false">COUNTIFS('1. PASTE DATA'!$C$4:$C$1503,8,'1. PASTE DATA'!$B$4:$B$1503,"&lt;&gt;")</f>
        <v>0</v>
      </c>
      <c r="E5" s="11" t="n">
        <f aca="false">COUNTIFS('1. PASTE DATA'!$C$4:$C$1503,9,'1. PASTE DATA'!$B$4:$B$1503,"&lt;&gt;")</f>
        <v>0</v>
      </c>
      <c r="F5" s="11" t="n">
        <f aca="false">COUNTIFS('1. PASTE DATA'!$C$4:$C$1503,10,'1. PASTE DATA'!$B$4:$B$1503,"&lt;&gt;")</f>
        <v>0</v>
      </c>
      <c r="G5" s="11" t="n">
        <f aca="false">COUNTIFS('1. PASTE DATA'!$C$4:$C$1503,11,'1. PASTE DATA'!$B$4:$B$1503,"&lt;&gt;")</f>
        <v>0</v>
      </c>
      <c r="H5" s="11" t="n">
        <f aca="false">COUNTIFS('1. PASTE DATA'!$C$4:$C$1503,12,'1. PASTE DATA'!$B$4:$B$1503,"&lt;&gt;")</f>
        <v>0</v>
      </c>
    </row>
    <row r="6" customFormat="false" ht="15" hidden="false" customHeight="false" outlineLevel="0" collapsed="false">
      <c r="A6" s="11" t="s">
        <v>198</v>
      </c>
      <c r="B6" s="13" t="n">
        <f aca="false">IFERROR(ROUND(SUMIFS('1. PASTE DATA'!$BA$4:$BA$1503,'1. PASTE DATA'!$C$4:$C$1503,6)/COUNTIFS('1. PASTE DATA'!$C$4:$C$1503,6,'1. PASTE DATA'!$B$4:$B$1503,"&lt;&gt;")*100,0),0)</f>
        <v>0</v>
      </c>
      <c r="C6" s="13" t="n">
        <f aca="false">IFERROR(ROUND(SUMIFS('1. PASTE DATA'!$BA$4:$BA$1503,'1. PASTE DATA'!$C$4:$C$1503,7)/COUNTIFS('1. PASTE DATA'!$C$4:$C$1503,7,'1. PASTE DATA'!$B$4:$B$1503,"&lt;&gt;")*100,0),0)</f>
        <v>0</v>
      </c>
      <c r="D6" s="13" t="n">
        <f aca="false">IFERROR(ROUND(SUMIFS('1. PASTE DATA'!$BA$4:$BA$1503,'1. PASTE DATA'!$C$4:$C$1503,8)/COUNTIFS('1. PASTE DATA'!$C$4:$C$1503,8,'1. PASTE DATA'!$B$4:$B$1503,"&lt;&gt;")*100,0),0)</f>
        <v>0</v>
      </c>
      <c r="E6" s="13" t="n">
        <f aca="false">IFERROR(ROUND(SUMIFS('1. PASTE DATA'!$BA$4:$BA$1503,'1. PASTE DATA'!$C$4:$C$1503,9)/COUNTIFS('1. PASTE DATA'!$C$4:$C$1503,9,'1. PASTE DATA'!$B$4:$B$1503,"&lt;&gt;")*100,0),0)</f>
        <v>0</v>
      </c>
      <c r="F6" s="13" t="n">
        <f aca="false">IFERROR(ROUND(SUMIFS('1. PASTE DATA'!$BA$4:$BA$1503,'1. PASTE DATA'!$C$4:$C$1503,10)/COUNTIFS('1. PASTE DATA'!$C$4:$C$1503,10,'1. PASTE DATA'!$B$4:$B$1503,"&lt;&gt;")*100,0),0)</f>
        <v>0</v>
      </c>
      <c r="G6" s="13" t="n">
        <f aca="false">IFERROR(ROUND(SUMIFS('1. PASTE DATA'!$BA$4:$BA$1503,'1. PASTE DATA'!$C$4:$C$1503,11)/COUNTIFS('1. PASTE DATA'!$C$4:$C$1503,11,'1. PASTE DATA'!$B$4:$B$1503,"&lt;&gt;")*100,0),0)</f>
        <v>0</v>
      </c>
      <c r="H6" s="13" t="n">
        <f aca="false">IFERROR(ROUND(SUMIFS('1. PASTE DATA'!$BA$4:$BA$1503,'1. PASTE DATA'!$C$4:$C$1503,12)/COUNTIFS('1. PASTE DATA'!$C$4:$C$1503,12,'1. PASTE DATA'!$B$4:$B$1503,"&lt;&gt;")*100,0),0)</f>
        <v>0</v>
      </c>
    </row>
    <row r="7" customFormat="false" ht="15" hidden="false" customHeight="false" outlineLevel="0" collapsed="false">
      <c r="A7" s="10" t="s">
        <v>135</v>
      </c>
      <c r="B7" s="10" t="n">
        <f aca="false">COUNTIFS('1. PASTE DATA'!$C$4:$C$1503,6,'1. PASTE DATA'!$BE$4:$BE$1503,"&gt;=5")</f>
        <v>0</v>
      </c>
      <c r="C7" s="10" t="n">
        <f aca="false">COUNTIFS('1. PASTE DATA'!$C$4:$C$1503,7,'1. PASTE DATA'!$BE$4:$BE$1503,"&gt;=5")</f>
        <v>0</v>
      </c>
      <c r="D7" s="10" t="n">
        <f aca="false">COUNTIFS('1. PASTE DATA'!$C$4:$C$1503,8,'1. PASTE DATA'!$BE$4:$BE$1503,"&gt;=5")</f>
        <v>0</v>
      </c>
      <c r="E7" s="10" t="n">
        <f aca="false">COUNTIFS('1. PASTE DATA'!$C$4:$C$1503,9,'1. PASTE DATA'!$BE$4:$BE$1503,"&gt;=5")</f>
        <v>0</v>
      </c>
      <c r="F7" s="10" t="n">
        <f aca="false">COUNTIFS('1. PASTE DATA'!$C$4:$C$1503,10,'1. PASTE DATA'!$BE$4:$BE$1503,"&gt;=5")</f>
        <v>0</v>
      </c>
      <c r="G7" s="10" t="n">
        <f aca="false">COUNTIFS('1. PASTE DATA'!$C$4:$C$1503,11,'1. PASTE DATA'!$BE$4:$BE$1503,"&gt;=5")</f>
        <v>0</v>
      </c>
      <c r="H7" s="10" t="n">
        <f aca="false">COUNTIFS('1. PASTE DATA'!$C$4:$C$1503,12,'1. PASTE DATA'!$BE$4:$BE$1503,"&gt;=5")</f>
        <v>0</v>
      </c>
    </row>
    <row r="9" customFormat="false" ht="15" hidden="false" customHeight="false" outlineLevel="0" collapsed="false">
      <c r="A9" s="9" t="s">
        <v>199</v>
      </c>
    </row>
    <row r="10" customFormat="false" ht="15" hidden="false" customHeight="false" outlineLevel="0" collapsed="false">
      <c r="A10" s="10" t="s">
        <v>200</v>
      </c>
      <c r="B10" s="14" t="n">
        <f aca="false">IFERROR(ROUND(COUNTIFS('1. PASTE DATA'!$C$4:$C$1503,6,'1. PASTE DATA'!$AD$4:$AD$1503,"Realistic")/COUNTIFS('1. PASTE DATA'!$C$4:$C$1503,6,'1. PASTE DATA'!$B$4:$B$1503,"&lt;&gt;")*100,0),0)</f>
        <v>0</v>
      </c>
      <c r="C10" s="14" t="n">
        <f aca="false">IFERROR(ROUND(COUNTIFS('1. PASTE DATA'!$C$4:$C$1503,7,'1. PASTE DATA'!$AD$4:$AD$1503,"Realistic")/COUNTIFS('1. PASTE DATA'!$C$4:$C$1503,7,'1. PASTE DATA'!$B$4:$B$1503,"&lt;&gt;")*100,0),0)</f>
        <v>0</v>
      </c>
      <c r="D10" s="14" t="n">
        <f aca="false">IFERROR(ROUND(COUNTIFS('1. PASTE DATA'!$C$4:$C$1503,8,'1. PASTE DATA'!$AD$4:$AD$1503,"Realistic")/COUNTIFS('1. PASTE DATA'!$C$4:$C$1503,8,'1. PASTE DATA'!$B$4:$B$1503,"&lt;&gt;")*100,0),0)</f>
        <v>0</v>
      </c>
      <c r="E10" s="14" t="n">
        <f aca="false">IFERROR(ROUND(COUNTIFS('1. PASTE DATA'!$C$4:$C$1503,9,'1. PASTE DATA'!$AD$4:$AD$1503,"Realistic")/COUNTIFS('1. PASTE DATA'!$C$4:$C$1503,9,'1. PASTE DATA'!$B$4:$B$1503,"&lt;&gt;")*100,0),0)</f>
        <v>0</v>
      </c>
      <c r="F10" s="14" t="n">
        <f aca="false">IFERROR(ROUND(COUNTIFS('1. PASTE DATA'!$C$4:$C$1503,10,'1. PASTE DATA'!$AD$4:$AD$1503,"Realistic")/COUNTIFS('1. PASTE DATA'!$C$4:$C$1503,10,'1. PASTE DATA'!$B$4:$B$1503,"&lt;&gt;")*100,0),0)</f>
        <v>0</v>
      </c>
      <c r="G10" s="14" t="n">
        <f aca="false">IFERROR(ROUND(COUNTIFS('1. PASTE DATA'!$C$4:$C$1503,11,'1. PASTE DATA'!$AD$4:$AD$1503,"Realistic")/COUNTIFS('1. PASTE DATA'!$C$4:$C$1503,11,'1. PASTE DATA'!$B$4:$B$1503,"&lt;&gt;")*100,0),0)</f>
        <v>0</v>
      </c>
      <c r="H10" s="14" t="n">
        <f aca="false">IFERROR(ROUND(COUNTIFS('1. PASTE DATA'!$C$4:$C$1503,12,'1. PASTE DATA'!$AD$4:$AD$1503,"Realistic")/COUNTIFS('1. PASTE DATA'!$C$4:$C$1503,12,'1. PASTE DATA'!$B$4:$B$1503,"&lt;&gt;")*100,0),0)</f>
        <v>0</v>
      </c>
    </row>
    <row r="11" customFormat="false" ht="15" hidden="false" customHeight="false" outlineLevel="0" collapsed="false">
      <c r="A11" s="10" t="s">
        <v>201</v>
      </c>
      <c r="B11" s="14" t="n">
        <f aca="false">IFERROR(ROUND(COUNTIFS('1. PASTE DATA'!$C$4:$C$1503,6,'1. PASTE DATA'!$AD$4:$AD$1503,"Investigative")/COUNTIFS('1. PASTE DATA'!$C$4:$C$1503,6,'1. PASTE DATA'!$B$4:$B$1503,"&lt;&gt;")*100,0),0)</f>
        <v>0</v>
      </c>
      <c r="C11" s="14" t="n">
        <f aca="false">IFERROR(ROUND(COUNTIFS('1. PASTE DATA'!$C$4:$C$1503,7,'1. PASTE DATA'!$AD$4:$AD$1503,"Investigative")/COUNTIFS('1. PASTE DATA'!$C$4:$C$1503,7,'1. PASTE DATA'!$B$4:$B$1503,"&lt;&gt;")*100,0),0)</f>
        <v>0</v>
      </c>
      <c r="D11" s="14" t="n">
        <f aca="false">IFERROR(ROUND(COUNTIFS('1. PASTE DATA'!$C$4:$C$1503,8,'1. PASTE DATA'!$AD$4:$AD$1503,"Investigative")/COUNTIFS('1. PASTE DATA'!$C$4:$C$1503,8,'1. PASTE DATA'!$B$4:$B$1503,"&lt;&gt;")*100,0),0)</f>
        <v>0</v>
      </c>
      <c r="E11" s="14" t="n">
        <f aca="false">IFERROR(ROUND(COUNTIFS('1. PASTE DATA'!$C$4:$C$1503,9,'1. PASTE DATA'!$AD$4:$AD$1503,"Investigative")/COUNTIFS('1. PASTE DATA'!$C$4:$C$1503,9,'1. PASTE DATA'!$B$4:$B$1503,"&lt;&gt;")*100,0),0)</f>
        <v>0</v>
      </c>
      <c r="F11" s="14" t="n">
        <f aca="false">IFERROR(ROUND(COUNTIFS('1. PASTE DATA'!$C$4:$C$1503,10,'1. PASTE DATA'!$AD$4:$AD$1503,"Investigative")/COUNTIFS('1. PASTE DATA'!$C$4:$C$1503,10,'1. PASTE DATA'!$B$4:$B$1503,"&lt;&gt;")*100,0),0)</f>
        <v>0</v>
      </c>
      <c r="G11" s="14" t="n">
        <f aca="false">IFERROR(ROUND(COUNTIFS('1. PASTE DATA'!$C$4:$C$1503,11,'1. PASTE DATA'!$AD$4:$AD$1503,"Investigative")/COUNTIFS('1. PASTE DATA'!$C$4:$C$1503,11,'1. PASTE DATA'!$B$4:$B$1503,"&lt;&gt;")*100,0),0)</f>
        <v>0</v>
      </c>
      <c r="H11" s="14" t="n">
        <f aca="false">IFERROR(ROUND(COUNTIFS('1. PASTE DATA'!$C$4:$C$1503,12,'1. PASTE DATA'!$AD$4:$AD$1503,"Investigative")/COUNTIFS('1. PASTE DATA'!$C$4:$C$1503,12,'1. PASTE DATA'!$B$4:$B$1503,"&lt;&gt;")*100,0),0)</f>
        <v>0</v>
      </c>
    </row>
    <row r="12" customFormat="false" ht="15" hidden="false" customHeight="false" outlineLevel="0" collapsed="false">
      <c r="A12" s="10" t="s">
        <v>202</v>
      </c>
      <c r="B12" s="14" t="n">
        <f aca="false">IFERROR(ROUND(COUNTIFS('1. PASTE DATA'!$C$4:$C$1503,6,'1. PASTE DATA'!$AD$4:$AD$1503,"Artistic")/COUNTIFS('1. PASTE DATA'!$C$4:$C$1503,6,'1. PASTE DATA'!$B$4:$B$1503,"&lt;&gt;")*100,0),0)</f>
        <v>0</v>
      </c>
      <c r="C12" s="14" t="n">
        <f aca="false">IFERROR(ROUND(COUNTIFS('1. PASTE DATA'!$C$4:$C$1503,7,'1. PASTE DATA'!$AD$4:$AD$1503,"Artistic")/COUNTIFS('1. PASTE DATA'!$C$4:$C$1503,7,'1. PASTE DATA'!$B$4:$B$1503,"&lt;&gt;")*100,0),0)</f>
        <v>0</v>
      </c>
      <c r="D12" s="14" t="n">
        <f aca="false">IFERROR(ROUND(COUNTIFS('1. PASTE DATA'!$C$4:$C$1503,8,'1. PASTE DATA'!$AD$4:$AD$1503,"Artistic")/COUNTIFS('1. PASTE DATA'!$C$4:$C$1503,8,'1. PASTE DATA'!$B$4:$B$1503,"&lt;&gt;")*100,0),0)</f>
        <v>0</v>
      </c>
      <c r="E12" s="14" t="n">
        <f aca="false">IFERROR(ROUND(COUNTIFS('1. PASTE DATA'!$C$4:$C$1503,9,'1. PASTE DATA'!$AD$4:$AD$1503,"Artistic")/COUNTIFS('1. PASTE DATA'!$C$4:$C$1503,9,'1. PASTE DATA'!$B$4:$B$1503,"&lt;&gt;")*100,0),0)</f>
        <v>0</v>
      </c>
      <c r="F12" s="14" t="n">
        <f aca="false">IFERROR(ROUND(COUNTIFS('1. PASTE DATA'!$C$4:$C$1503,10,'1. PASTE DATA'!$AD$4:$AD$1503,"Artistic")/COUNTIFS('1. PASTE DATA'!$C$4:$C$1503,10,'1. PASTE DATA'!$B$4:$B$1503,"&lt;&gt;")*100,0),0)</f>
        <v>0</v>
      </c>
      <c r="G12" s="14" t="n">
        <f aca="false">IFERROR(ROUND(COUNTIFS('1. PASTE DATA'!$C$4:$C$1503,11,'1. PASTE DATA'!$AD$4:$AD$1503,"Artistic")/COUNTIFS('1. PASTE DATA'!$C$4:$C$1503,11,'1. PASTE DATA'!$B$4:$B$1503,"&lt;&gt;")*100,0),0)</f>
        <v>0</v>
      </c>
      <c r="H12" s="14" t="n">
        <f aca="false">IFERROR(ROUND(COUNTIFS('1. PASTE DATA'!$C$4:$C$1503,12,'1. PASTE DATA'!$AD$4:$AD$1503,"Artistic")/COUNTIFS('1. PASTE DATA'!$C$4:$C$1503,12,'1. PASTE DATA'!$B$4:$B$1503,"&lt;&gt;")*100,0),0)</f>
        <v>0</v>
      </c>
    </row>
    <row r="13" customFormat="false" ht="15" hidden="false" customHeight="false" outlineLevel="0" collapsed="false">
      <c r="A13" s="10" t="s">
        <v>203</v>
      </c>
      <c r="B13" s="14" t="n">
        <f aca="false">IFERROR(ROUND(COUNTIFS('1. PASTE DATA'!$C$4:$C$1503,6,'1. PASTE DATA'!$AD$4:$AD$1503,"Social")/COUNTIFS('1. PASTE DATA'!$C$4:$C$1503,6,'1. PASTE DATA'!$B$4:$B$1503,"&lt;&gt;")*100,0),0)</f>
        <v>0</v>
      </c>
      <c r="C13" s="14" t="n">
        <f aca="false">IFERROR(ROUND(COUNTIFS('1. PASTE DATA'!$C$4:$C$1503,7,'1. PASTE DATA'!$AD$4:$AD$1503,"Social")/COUNTIFS('1. PASTE DATA'!$C$4:$C$1503,7,'1. PASTE DATA'!$B$4:$B$1503,"&lt;&gt;")*100,0),0)</f>
        <v>0</v>
      </c>
      <c r="D13" s="14" t="n">
        <f aca="false">IFERROR(ROUND(COUNTIFS('1. PASTE DATA'!$C$4:$C$1503,8,'1. PASTE DATA'!$AD$4:$AD$1503,"Social")/COUNTIFS('1. PASTE DATA'!$C$4:$C$1503,8,'1. PASTE DATA'!$B$4:$B$1503,"&lt;&gt;")*100,0),0)</f>
        <v>0</v>
      </c>
      <c r="E13" s="14" t="n">
        <f aca="false">IFERROR(ROUND(COUNTIFS('1. PASTE DATA'!$C$4:$C$1503,9,'1. PASTE DATA'!$AD$4:$AD$1503,"Social")/COUNTIFS('1. PASTE DATA'!$C$4:$C$1503,9,'1. PASTE DATA'!$B$4:$B$1503,"&lt;&gt;")*100,0),0)</f>
        <v>0</v>
      </c>
      <c r="F13" s="14" t="n">
        <f aca="false">IFERROR(ROUND(COUNTIFS('1. PASTE DATA'!$C$4:$C$1503,10,'1. PASTE DATA'!$AD$4:$AD$1503,"Social")/COUNTIFS('1. PASTE DATA'!$C$4:$C$1503,10,'1. PASTE DATA'!$B$4:$B$1503,"&lt;&gt;")*100,0),0)</f>
        <v>0</v>
      </c>
      <c r="G13" s="14" t="n">
        <f aca="false">IFERROR(ROUND(COUNTIFS('1. PASTE DATA'!$C$4:$C$1503,11,'1. PASTE DATA'!$AD$4:$AD$1503,"Social")/COUNTIFS('1. PASTE DATA'!$C$4:$C$1503,11,'1. PASTE DATA'!$B$4:$B$1503,"&lt;&gt;")*100,0),0)</f>
        <v>0</v>
      </c>
      <c r="H13" s="14" t="n">
        <f aca="false">IFERROR(ROUND(COUNTIFS('1. PASTE DATA'!$C$4:$C$1503,12,'1. PASTE DATA'!$AD$4:$AD$1503,"Social")/COUNTIFS('1. PASTE DATA'!$C$4:$C$1503,12,'1. PASTE DATA'!$B$4:$B$1503,"&lt;&gt;")*100,0),0)</f>
        <v>0</v>
      </c>
    </row>
    <row r="14" customFormat="false" ht="15" hidden="false" customHeight="false" outlineLevel="0" collapsed="false">
      <c r="A14" s="10" t="s">
        <v>204</v>
      </c>
      <c r="B14" s="14" t="n">
        <f aca="false">IFERROR(ROUND(COUNTIFS('1. PASTE DATA'!$C$4:$C$1503,6,'1. PASTE DATA'!$AD$4:$AD$1503,"Enterprising")/COUNTIFS('1. PASTE DATA'!$C$4:$C$1503,6,'1. PASTE DATA'!$B$4:$B$1503,"&lt;&gt;")*100,0),0)</f>
        <v>0</v>
      </c>
      <c r="C14" s="14" t="n">
        <f aca="false">IFERROR(ROUND(COUNTIFS('1. PASTE DATA'!$C$4:$C$1503,7,'1. PASTE DATA'!$AD$4:$AD$1503,"Enterprising")/COUNTIFS('1. PASTE DATA'!$C$4:$C$1503,7,'1. PASTE DATA'!$B$4:$B$1503,"&lt;&gt;")*100,0),0)</f>
        <v>0</v>
      </c>
      <c r="D14" s="14" t="n">
        <f aca="false">IFERROR(ROUND(COUNTIFS('1. PASTE DATA'!$C$4:$C$1503,8,'1. PASTE DATA'!$AD$4:$AD$1503,"Enterprising")/COUNTIFS('1. PASTE DATA'!$C$4:$C$1503,8,'1. PASTE DATA'!$B$4:$B$1503,"&lt;&gt;")*100,0),0)</f>
        <v>0</v>
      </c>
      <c r="E14" s="14" t="n">
        <f aca="false">IFERROR(ROUND(COUNTIFS('1. PASTE DATA'!$C$4:$C$1503,9,'1. PASTE DATA'!$AD$4:$AD$1503,"Enterprising")/COUNTIFS('1. PASTE DATA'!$C$4:$C$1503,9,'1. PASTE DATA'!$B$4:$B$1503,"&lt;&gt;")*100,0),0)</f>
        <v>0</v>
      </c>
      <c r="F14" s="14" t="n">
        <f aca="false">IFERROR(ROUND(COUNTIFS('1. PASTE DATA'!$C$4:$C$1503,10,'1. PASTE DATA'!$AD$4:$AD$1503,"Enterprising")/COUNTIFS('1. PASTE DATA'!$C$4:$C$1503,10,'1. PASTE DATA'!$B$4:$B$1503,"&lt;&gt;")*100,0),0)</f>
        <v>0</v>
      </c>
      <c r="G14" s="14" t="n">
        <f aca="false">IFERROR(ROUND(COUNTIFS('1. PASTE DATA'!$C$4:$C$1503,11,'1. PASTE DATA'!$AD$4:$AD$1503,"Enterprising")/COUNTIFS('1. PASTE DATA'!$C$4:$C$1503,11,'1. PASTE DATA'!$B$4:$B$1503,"&lt;&gt;")*100,0),0)</f>
        <v>0</v>
      </c>
      <c r="H14" s="14" t="n">
        <f aca="false">IFERROR(ROUND(COUNTIFS('1. PASTE DATA'!$C$4:$C$1503,12,'1. PASTE DATA'!$AD$4:$AD$1503,"Enterprising")/COUNTIFS('1. PASTE DATA'!$C$4:$C$1503,12,'1. PASTE DATA'!$B$4:$B$1503,"&lt;&gt;")*100,0),0)</f>
        <v>0</v>
      </c>
    </row>
    <row r="15" customFormat="false" ht="15" hidden="false" customHeight="false" outlineLevel="0" collapsed="false">
      <c r="A15" s="10" t="s">
        <v>205</v>
      </c>
      <c r="B15" s="14" t="n">
        <f aca="false">IFERROR(ROUND(COUNTIFS('1. PASTE DATA'!$C$4:$C$1503,6,'1. PASTE DATA'!$AD$4:$AD$1503,"Conventional")/COUNTIFS('1. PASTE DATA'!$C$4:$C$1503,6,'1. PASTE DATA'!$B$4:$B$1503,"&lt;&gt;")*100,0),0)</f>
        <v>0</v>
      </c>
      <c r="C15" s="14" t="n">
        <f aca="false">IFERROR(ROUND(COUNTIFS('1. PASTE DATA'!$C$4:$C$1503,7,'1. PASTE DATA'!$AD$4:$AD$1503,"Conventional")/COUNTIFS('1. PASTE DATA'!$C$4:$C$1503,7,'1. PASTE DATA'!$B$4:$B$1503,"&lt;&gt;")*100,0),0)</f>
        <v>0</v>
      </c>
      <c r="D15" s="14" t="n">
        <f aca="false">IFERROR(ROUND(COUNTIFS('1. PASTE DATA'!$C$4:$C$1503,8,'1. PASTE DATA'!$AD$4:$AD$1503,"Conventional")/COUNTIFS('1. PASTE DATA'!$C$4:$C$1503,8,'1. PASTE DATA'!$B$4:$B$1503,"&lt;&gt;")*100,0),0)</f>
        <v>0</v>
      </c>
      <c r="E15" s="14" t="n">
        <f aca="false">IFERROR(ROUND(COUNTIFS('1. PASTE DATA'!$C$4:$C$1503,9,'1. PASTE DATA'!$AD$4:$AD$1503,"Conventional")/COUNTIFS('1. PASTE DATA'!$C$4:$C$1503,9,'1. PASTE DATA'!$B$4:$B$1503,"&lt;&gt;")*100,0),0)</f>
        <v>0</v>
      </c>
      <c r="F15" s="14" t="n">
        <f aca="false">IFERROR(ROUND(COUNTIFS('1. PASTE DATA'!$C$4:$C$1503,10,'1. PASTE DATA'!$AD$4:$AD$1503,"Conventional")/COUNTIFS('1. PASTE DATA'!$C$4:$C$1503,10,'1. PASTE DATA'!$B$4:$B$1503,"&lt;&gt;")*100,0),0)</f>
        <v>0</v>
      </c>
      <c r="G15" s="14" t="n">
        <f aca="false">IFERROR(ROUND(COUNTIFS('1. PASTE DATA'!$C$4:$C$1503,11,'1. PASTE DATA'!$AD$4:$AD$1503,"Conventional")/COUNTIFS('1. PASTE DATA'!$C$4:$C$1503,11,'1. PASTE DATA'!$B$4:$B$1503,"&lt;&gt;")*100,0),0)</f>
        <v>0</v>
      </c>
      <c r="H15" s="14" t="n">
        <f aca="false">IFERROR(ROUND(COUNTIFS('1. PASTE DATA'!$C$4:$C$1503,12,'1. PASTE DATA'!$AD$4:$AD$1503,"Conventional")/COUNTIFS('1. PASTE DATA'!$C$4:$C$1503,12,'1. PASTE DATA'!$B$4:$B$1503,"&lt;&gt;")*100,0),0)</f>
        <v>0</v>
      </c>
    </row>
    <row r="17" customFormat="false" ht="15" hidden="false" customHeight="false" outlineLevel="0" collapsed="false">
      <c r="A17" s="9" t="s">
        <v>206</v>
      </c>
    </row>
    <row r="18" customFormat="false" ht="15" hidden="false" customHeight="false" outlineLevel="0" collapsed="false">
      <c r="A18" s="10" t="s">
        <v>207</v>
      </c>
      <c r="B18" s="14" t="n">
        <f aca="false">IFERROR(ROUND(COUNTIFS('1. PASTE DATA'!$C$4:$C$1503,6,'1. PASTE DATA'!$P$4:$P$1503,"&gt;=10")/COUNTIFS('1. PASTE DATA'!$C$4:$C$1503,6,'1. PASTE DATA'!$B$4:$B$1503,"&lt;&gt;")*100,0),0)</f>
        <v>0</v>
      </c>
      <c r="C18" s="14" t="n">
        <f aca="false">IFERROR(ROUND(COUNTIFS('1. PASTE DATA'!$C$4:$C$1503,7,'1. PASTE DATA'!$P$4:$P$1503,"&gt;=10")/COUNTIFS('1. PASTE DATA'!$C$4:$C$1503,7,'1. PASTE DATA'!$B$4:$B$1503,"&lt;&gt;")*100,0),0)</f>
        <v>0</v>
      </c>
      <c r="D18" s="14" t="n">
        <f aca="false">IFERROR(ROUND(COUNTIFS('1. PASTE DATA'!$C$4:$C$1503,8,'1. PASTE DATA'!$P$4:$P$1503,"&gt;=10")/COUNTIFS('1. PASTE DATA'!$C$4:$C$1503,8,'1. PASTE DATA'!$B$4:$B$1503,"&lt;&gt;")*100,0),0)</f>
        <v>0</v>
      </c>
      <c r="E18" s="14" t="n">
        <f aca="false">IFERROR(ROUND(COUNTIFS('1. PASTE DATA'!$C$4:$C$1503,9,'1. PASTE DATA'!$P$4:$P$1503,"&gt;=10")/COUNTIFS('1. PASTE DATA'!$C$4:$C$1503,9,'1. PASTE DATA'!$B$4:$B$1503,"&lt;&gt;")*100,0),0)</f>
        <v>0</v>
      </c>
      <c r="F18" s="14" t="n">
        <f aca="false">IFERROR(ROUND(COUNTIFS('1. PASTE DATA'!$C$4:$C$1503,10,'1. PASTE DATA'!$P$4:$P$1503,"&gt;=10")/COUNTIFS('1. PASTE DATA'!$C$4:$C$1503,10,'1. PASTE DATA'!$B$4:$B$1503,"&lt;&gt;")*100,0),0)</f>
        <v>0</v>
      </c>
      <c r="G18" s="14" t="n">
        <f aca="false">IFERROR(ROUND(COUNTIFS('1. PASTE DATA'!$C$4:$C$1503,11,'1. PASTE DATA'!$P$4:$P$1503,"&gt;=10")/COUNTIFS('1. PASTE DATA'!$C$4:$C$1503,11,'1. PASTE DATA'!$B$4:$B$1503,"&lt;&gt;")*100,0),0)</f>
        <v>0</v>
      </c>
      <c r="H18" s="14" t="n">
        <f aca="false">IFERROR(ROUND(COUNTIFS('1. PASTE DATA'!$C$4:$C$1503,12,'1. PASTE DATA'!$P$4:$P$1503,"&gt;=10")/COUNTIFS('1. PASTE DATA'!$C$4:$C$1503,12,'1. PASTE DATA'!$B$4:$B$1503,"&lt;&gt;")*100,0),0)</f>
        <v>0</v>
      </c>
    </row>
    <row r="19" customFormat="false" ht="15" hidden="false" customHeight="false" outlineLevel="0" collapsed="false">
      <c r="A19" s="10" t="s">
        <v>208</v>
      </c>
      <c r="B19" s="14" t="n">
        <f aca="false">IFERROR(ROUND(COUNTIFS('1. PASTE DATA'!$C$4:$C$1503,6,'1. PASTE DATA'!$Q$4:$Q$1503,"&gt;=10")/COUNTIFS('1. PASTE DATA'!$C$4:$C$1503,6,'1. PASTE DATA'!$B$4:$B$1503,"&lt;&gt;")*100,0),0)</f>
        <v>0</v>
      </c>
      <c r="C19" s="14" t="n">
        <f aca="false">IFERROR(ROUND(COUNTIFS('1. PASTE DATA'!$C$4:$C$1503,7,'1. PASTE DATA'!$Q$4:$Q$1503,"&gt;=10")/COUNTIFS('1. PASTE DATA'!$C$4:$C$1503,7,'1. PASTE DATA'!$B$4:$B$1503,"&lt;&gt;")*100,0),0)</f>
        <v>0</v>
      </c>
      <c r="D19" s="14" t="n">
        <f aca="false">IFERROR(ROUND(COUNTIFS('1. PASTE DATA'!$C$4:$C$1503,8,'1. PASTE DATA'!$Q$4:$Q$1503,"&gt;=10")/COUNTIFS('1. PASTE DATA'!$C$4:$C$1503,8,'1. PASTE DATA'!$B$4:$B$1503,"&lt;&gt;")*100,0),0)</f>
        <v>0</v>
      </c>
      <c r="E19" s="14" t="n">
        <f aca="false">IFERROR(ROUND(COUNTIFS('1. PASTE DATA'!$C$4:$C$1503,9,'1. PASTE DATA'!$Q$4:$Q$1503,"&gt;=10")/COUNTIFS('1. PASTE DATA'!$C$4:$C$1503,9,'1. PASTE DATA'!$B$4:$B$1503,"&lt;&gt;")*100,0),0)</f>
        <v>0</v>
      </c>
      <c r="F19" s="14" t="n">
        <f aca="false">IFERROR(ROUND(COUNTIFS('1. PASTE DATA'!$C$4:$C$1503,10,'1. PASTE DATA'!$Q$4:$Q$1503,"&gt;=10")/COUNTIFS('1. PASTE DATA'!$C$4:$C$1503,10,'1. PASTE DATA'!$B$4:$B$1503,"&lt;&gt;")*100,0),0)</f>
        <v>0</v>
      </c>
      <c r="G19" s="14" t="n">
        <f aca="false">IFERROR(ROUND(COUNTIFS('1. PASTE DATA'!$C$4:$C$1503,11,'1. PASTE DATA'!$Q$4:$Q$1503,"&gt;=10")/COUNTIFS('1. PASTE DATA'!$C$4:$C$1503,11,'1. PASTE DATA'!$B$4:$B$1503,"&lt;&gt;")*100,0),0)</f>
        <v>0</v>
      </c>
      <c r="H19" s="14" t="n">
        <f aca="false">IFERROR(ROUND(COUNTIFS('1. PASTE DATA'!$C$4:$C$1503,12,'1. PASTE DATA'!$Q$4:$Q$1503,"&gt;=10")/COUNTIFS('1. PASTE DATA'!$C$4:$C$1503,12,'1. PASTE DATA'!$B$4:$B$1503,"&lt;&gt;")*100,0),0)</f>
        <v>0</v>
      </c>
    </row>
    <row r="20" customFormat="false" ht="15" hidden="false" customHeight="false" outlineLevel="0" collapsed="false">
      <c r="A20" s="10" t="s">
        <v>209</v>
      </c>
      <c r="B20" s="14" t="n">
        <f aca="false">IFERROR(ROUND(COUNTIFS('1. PASTE DATA'!$C$4:$C$1503,6,'1. PASTE DATA'!$R$4:$R$1503,"&gt;=10")/COUNTIFS('1. PASTE DATA'!$C$4:$C$1503,6,'1. PASTE DATA'!$B$4:$B$1503,"&lt;&gt;")*100,0),0)</f>
        <v>0</v>
      </c>
      <c r="C20" s="14" t="n">
        <f aca="false">IFERROR(ROUND(COUNTIFS('1. PASTE DATA'!$C$4:$C$1503,7,'1. PASTE DATA'!$R$4:$R$1503,"&gt;=10")/COUNTIFS('1. PASTE DATA'!$C$4:$C$1503,7,'1. PASTE DATA'!$B$4:$B$1503,"&lt;&gt;")*100,0),0)</f>
        <v>0</v>
      </c>
      <c r="D20" s="14" t="n">
        <f aca="false">IFERROR(ROUND(COUNTIFS('1. PASTE DATA'!$C$4:$C$1503,8,'1. PASTE DATA'!$R$4:$R$1503,"&gt;=10")/COUNTIFS('1. PASTE DATA'!$C$4:$C$1503,8,'1. PASTE DATA'!$B$4:$B$1503,"&lt;&gt;")*100,0),0)</f>
        <v>0</v>
      </c>
      <c r="E20" s="14" t="n">
        <f aca="false">IFERROR(ROUND(COUNTIFS('1. PASTE DATA'!$C$4:$C$1503,9,'1. PASTE DATA'!$R$4:$R$1503,"&gt;=10")/COUNTIFS('1. PASTE DATA'!$C$4:$C$1503,9,'1. PASTE DATA'!$B$4:$B$1503,"&lt;&gt;")*100,0),0)</f>
        <v>0</v>
      </c>
      <c r="F20" s="14" t="n">
        <f aca="false">IFERROR(ROUND(COUNTIFS('1. PASTE DATA'!$C$4:$C$1503,10,'1. PASTE DATA'!$R$4:$R$1503,"&gt;=10")/COUNTIFS('1. PASTE DATA'!$C$4:$C$1503,10,'1. PASTE DATA'!$B$4:$B$1503,"&lt;&gt;")*100,0),0)</f>
        <v>0</v>
      </c>
      <c r="G20" s="14" t="n">
        <f aca="false">IFERROR(ROUND(COUNTIFS('1. PASTE DATA'!$C$4:$C$1503,11,'1. PASTE DATA'!$R$4:$R$1503,"&gt;=10")/COUNTIFS('1. PASTE DATA'!$C$4:$C$1503,11,'1. PASTE DATA'!$B$4:$B$1503,"&lt;&gt;")*100,0),0)</f>
        <v>0</v>
      </c>
      <c r="H20" s="14" t="n">
        <f aca="false">IFERROR(ROUND(COUNTIFS('1. PASTE DATA'!$C$4:$C$1503,12,'1. PASTE DATA'!$R$4:$R$1503,"&gt;=10")/COUNTIFS('1. PASTE DATA'!$C$4:$C$1503,12,'1. PASTE DATA'!$B$4:$B$1503,"&lt;&gt;")*100,0),0)</f>
        <v>0</v>
      </c>
    </row>
    <row r="21" customFormat="false" ht="15" hidden="false" customHeight="false" outlineLevel="0" collapsed="false">
      <c r="A21" s="10" t="s">
        <v>210</v>
      </c>
      <c r="B21" s="14" t="n">
        <f aca="false">IFERROR(ROUND(COUNTIFS('1. PASTE DATA'!$C$4:$C$1503,6,'1. PASTE DATA'!$S$4:$S$1503,"&gt;=10")/COUNTIFS('1. PASTE DATA'!$C$4:$C$1503,6,'1. PASTE DATA'!$B$4:$B$1503,"&lt;&gt;")*100,0),0)</f>
        <v>0</v>
      </c>
      <c r="C21" s="14" t="n">
        <f aca="false">IFERROR(ROUND(COUNTIFS('1. PASTE DATA'!$C$4:$C$1503,7,'1. PASTE DATA'!$S$4:$S$1503,"&gt;=10")/COUNTIFS('1. PASTE DATA'!$C$4:$C$1503,7,'1. PASTE DATA'!$B$4:$B$1503,"&lt;&gt;")*100,0),0)</f>
        <v>0</v>
      </c>
      <c r="D21" s="14" t="n">
        <f aca="false">IFERROR(ROUND(COUNTIFS('1. PASTE DATA'!$C$4:$C$1503,8,'1. PASTE DATA'!$S$4:$S$1503,"&gt;=10")/COUNTIFS('1. PASTE DATA'!$C$4:$C$1503,8,'1. PASTE DATA'!$B$4:$B$1503,"&lt;&gt;")*100,0),0)</f>
        <v>0</v>
      </c>
      <c r="E21" s="14" t="n">
        <f aca="false">IFERROR(ROUND(COUNTIFS('1. PASTE DATA'!$C$4:$C$1503,9,'1. PASTE DATA'!$S$4:$S$1503,"&gt;=10")/COUNTIFS('1. PASTE DATA'!$C$4:$C$1503,9,'1. PASTE DATA'!$B$4:$B$1503,"&lt;&gt;")*100,0),0)</f>
        <v>0</v>
      </c>
      <c r="F21" s="14" t="n">
        <f aca="false">IFERROR(ROUND(COUNTIFS('1. PASTE DATA'!$C$4:$C$1503,10,'1. PASTE DATA'!$S$4:$S$1503,"&gt;=10")/COUNTIFS('1. PASTE DATA'!$C$4:$C$1503,10,'1. PASTE DATA'!$B$4:$B$1503,"&lt;&gt;")*100,0),0)</f>
        <v>0</v>
      </c>
      <c r="G21" s="14" t="n">
        <f aca="false">IFERROR(ROUND(COUNTIFS('1. PASTE DATA'!$C$4:$C$1503,11,'1. PASTE DATA'!$S$4:$S$1503,"&gt;=10")/COUNTIFS('1. PASTE DATA'!$C$4:$C$1503,11,'1. PASTE DATA'!$B$4:$B$1503,"&lt;&gt;")*100,0),0)</f>
        <v>0</v>
      </c>
      <c r="H21" s="14" t="n">
        <f aca="false">IFERROR(ROUND(COUNTIFS('1. PASTE DATA'!$C$4:$C$1503,12,'1. PASTE DATA'!$S$4:$S$1503,"&gt;=10")/COUNTIFS('1. PASTE DATA'!$C$4:$C$1503,12,'1. PASTE DATA'!$B$4:$B$1503,"&lt;&gt;")*100,0),0)</f>
        <v>0</v>
      </c>
    </row>
    <row r="22" customFormat="false" ht="15" hidden="false" customHeight="false" outlineLevel="0" collapsed="false">
      <c r="A22" s="10" t="s">
        <v>211</v>
      </c>
      <c r="B22" s="14" t="n">
        <f aca="false">IFERROR(ROUND(COUNTIFS('1. PASTE DATA'!$C$4:$C$1503,6,'1. PASTE DATA'!$T$4:$T$1503,"&gt;=10")/COUNTIFS('1. PASTE DATA'!$C$4:$C$1503,6,'1. PASTE DATA'!$B$4:$B$1503,"&lt;&gt;")*100,0),0)</f>
        <v>0</v>
      </c>
      <c r="C22" s="14" t="n">
        <f aca="false">IFERROR(ROUND(COUNTIFS('1. PASTE DATA'!$C$4:$C$1503,7,'1. PASTE DATA'!$T$4:$T$1503,"&gt;=10")/COUNTIFS('1. PASTE DATA'!$C$4:$C$1503,7,'1. PASTE DATA'!$B$4:$B$1503,"&lt;&gt;")*100,0),0)</f>
        <v>0</v>
      </c>
      <c r="D22" s="14" t="n">
        <f aca="false">IFERROR(ROUND(COUNTIFS('1. PASTE DATA'!$C$4:$C$1503,8,'1. PASTE DATA'!$T$4:$T$1503,"&gt;=10")/COUNTIFS('1. PASTE DATA'!$C$4:$C$1503,8,'1. PASTE DATA'!$B$4:$B$1503,"&lt;&gt;")*100,0),0)</f>
        <v>0</v>
      </c>
      <c r="E22" s="14" t="n">
        <f aca="false">IFERROR(ROUND(COUNTIFS('1. PASTE DATA'!$C$4:$C$1503,9,'1. PASTE DATA'!$T$4:$T$1503,"&gt;=10")/COUNTIFS('1. PASTE DATA'!$C$4:$C$1503,9,'1. PASTE DATA'!$B$4:$B$1503,"&lt;&gt;")*100,0),0)</f>
        <v>0</v>
      </c>
      <c r="F22" s="14" t="n">
        <f aca="false">IFERROR(ROUND(COUNTIFS('1. PASTE DATA'!$C$4:$C$1503,10,'1. PASTE DATA'!$T$4:$T$1503,"&gt;=10")/COUNTIFS('1. PASTE DATA'!$C$4:$C$1503,10,'1. PASTE DATA'!$B$4:$B$1503,"&lt;&gt;")*100,0),0)</f>
        <v>0</v>
      </c>
      <c r="G22" s="14" t="n">
        <f aca="false">IFERROR(ROUND(COUNTIFS('1. PASTE DATA'!$C$4:$C$1503,11,'1. PASTE DATA'!$T$4:$T$1503,"&gt;=10")/COUNTIFS('1. PASTE DATA'!$C$4:$C$1503,11,'1. PASTE DATA'!$B$4:$B$1503,"&lt;&gt;")*100,0),0)</f>
        <v>0</v>
      </c>
      <c r="H22" s="14" t="n">
        <f aca="false">IFERROR(ROUND(COUNTIFS('1. PASTE DATA'!$C$4:$C$1503,12,'1. PASTE DATA'!$T$4:$T$1503,"&gt;=10")/COUNTIFS('1. PASTE DATA'!$C$4:$C$1503,12,'1. PASTE DATA'!$B$4:$B$1503,"&lt;&gt;")*100,0),0)</f>
        <v>0</v>
      </c>
    </row>
    <row r="23" customFormat="false" ht="15" hidden="false" customHeight="false" outlineLevel="0" collapsed="false">
      <c r="A23" s="10" t="s">
        <v>212</v>
      </c>
      <c r="B23" s="14" t="n">
        <f aca="false">IFERROR(ROUND(COUNTIFS('1. PASTE DATA'!$C$4:$C$1503,6,'1. PASTE DATA'!$U$4:$U$1503,"&gt;=10")/COUNTIFS('1. PASTE DATA'!$C$4:$C$1503,6,'1. PASTE DATA'!$B$4:$B$1503,"&lt;&gt;")*100,0),0)</f>
        <v>0</v>
      </c>
      <c r="C23" s="14" t="n">
        <f aca="false">IFERROR(ROUND(COUNTIFS('1. PASTE DATA'!$C$4:$C$1503,7,'1. PASTE DATA'!$U$4:$U$1503,"&gt;=10")/COUNTIFS('1. PASTE DATA'!$C$4:$C$1503,7,'1. PASTE DATA'!$B$4:$B$1503,"&lt;&gt;")*100,0),0)</f>
        <v>0</v>
      </c>
      <c r="D23" s="14" t="n">
        <f aca="false">IFERROR(ROUND(COUNTIFS('1. PASTE DATA'!$C$4:$C$1503,8,'1. PASTE DATA'!$U$4:$U$1503,"&gt;=10")/COUNTIFS('1. PASTE DATA'!$C$4:$C$1503,8,'1. PASTE DATA'!$B$4:$B$1503,"&lt;&gt;")*100,0),0)</f>
        <v>0</v>
      </c>
      <c r="E23" s="14" t="n">
        <f aca="false">IFERROR(ROUND(COUNTIFS('1. PASTE DATA'!$C$4:$C$1503,9,'1. PASTE DATA'!$U$4:$U$1503,"&gt;=10")/COUNTIFS('1. PASTE DATA'!$C$4:$C$1503,9,'1. PASTE DATA'!$B$4:$B$1503,"&lt;&gt;")*100,0),0)</f>
        <v>0</v>
      </c>
      <c r="F23" s="14" t="n">
        <f aca="false">IFERROR(ROUND(COUNTIFS('1. PASTE DATA'!$C$4:$C$1503,10,'1. PASTE DATA'!$U$4:$U$1503,"&gt;=10")/COUNTIFS('1. PASTE DATA'!$C$4:$C$1503,10,'1. PASTE DATA'!$B$4:$B$1503,"&lt;&gt;")*100,0),0)</f>
        <v>0</v>
      </c>
      <c r="G23" s="14" t="n">
        <f aca="false">IFERROR(ROUND(COUNTIFS('1. PASTE DATA'!$C$4:$C$1503,11,'1. PASTE DATA'!$U$4:$U$1503,"&gt;=10")/COUNTIFS('1. PASTE DATA'!$C$4:$C$1503,11,'1. PASTE DATA'!$B$4:$B$1503,"&lt;&gt;")*100,0),0)</f>
        <v>0</v>
      </c>
      <c r="H23" s="14" t="n">
        <f aca="false">IFERROR(ROUND(COUNTIFS('1. PASTE DATA'!$C$4:$C$1503,12,'1. PASTE DATA'!$U$4:$U$1503,"&gt;=10")/COUNTIFS('1. PASTE DATA'!$C$4:$C$1503,12,'1. PASTE DATA'!$B$4:$B$1503,"&lt;&gt;")*100,0),0)</f>
        <v>0</v>
      </c>
    </row>
    <row r="24" customFormat="false" ht="15" hidden="false" customHeight="false" outlineLevel="0" collapsed="false">
      <c r="A24" s="10" t="s">
        <v>213</v>
      </c>
      <c r="B24" s="14" t="n">
        <f aca="false">IFERROR(ROUND(COUNTIFS('1. PASTE DATA'!$C$4:$C$1503,6,'1. PASTE DATA'!$V$4:$V$1503,"&gt;=10")/COUNTIFS('1. PASTE DATA'!$C$4:$C$1503,6,'1. PASTE DATA'!$B$4:$B$1503,"&lt;&gt;")*100,0),0)</f>
        <v>0</v>
      </c>
      <c r="C24" s="14" t="n">
        <f aca="false">IFERROR(ROUND(COUNTIFS('1. PASTE DATA'!$C$4:$C$1503,7,'1. PASTE DATA'!$V$4:$V$1503,"&gt;=10")/COUNTIFS('1. PASTE DATA'!$C$4:$C$1503,7,'1. PASTE DATA'!$B$4:$B$1503,"&lt;&gt;")*100,0),0)</f>
        <v>0</v>
      </c>
      <c r="D24" s="14" t="n">
        <f aca="false">IFERROR(ROUND(COUNTIFS('1. PASTE DATA'!$C$4:$C$1503,8,'1. PASTE DATA'!$V$4:$V$1503,"&gt;=10")/COUNTIFS('1. PASTE DATA'!$C$4:$C$1503,8,'1. PASTE DATA'!$B$4:$B$1503,"&lt;&gt;")*100,0),0)</f>
        <v>0</v>
      </c>
      <c r="E24" s="14" t="n">
        <f aca="false">IFERROR(ROUND(COUNTIFS('1. PASTE DATA'!$C$4:$C$1503,9,'1. PASTE DATA'!$V$4:$V$1503,"&gt;=10")/COUNTIFS('1. PASTE DATA'!$C$4:$C$1503,9,'1. PASTE DATA'!$B$4:$B$1503,"&lt;&gt;")*100,0),0)</f>
        <v>0</v>
      </c>
      <c r="F24" s="14" t="n">
        <f aca="false">IFERROR(ROUND(COUNTIFS('1. PASTE DATA'!$C$4:$C$1503,10,'1. PASTE DATA'!$V$4:$V$1503,"&gt;=10")/COUNTIFS('1. PASTE DATA'!$C$4:$C$1503,10,'1. PASTE DATA'!$B$4:$B$1503,"&lt;&gt;")*100,0),0)</f>
        <v>0</v>
      </c>
      <c r="G24" s="14" t="n">
        <f aca="false">IFERROR(ROUND(COUNTIFS('1. PASTE DATA'!$C$4:$C$1503,11,'1. PASTE DATA'!$V$4:$V$1503,"&gt;=10")/COUNTIFS('1. PASTE DATA'!$C$4:$C$1503,11,'1. PASTE DATA'!$B$4:$B$1503,"&lt;&gt;")*100,0),0)</f>
        <v>0</v>
      </c>
      <c r="H24" s="14" t="n">
        <f aca="false">IFERROR(ROUND(COUNTIFS('1. PASTE DATA'!$C$4:$C$1503,12,'1. PASTE DATA'!$V$4:$V$1503,"&gt;=10")/COUNTIFS('1. PASTE DATA'!$C$4:$C$1503,12,'1. PASTE DATA'!$B$4:$B$1503,"&lt;&gt;")*100,0),0)</f>
        <v>0</v>
      </c>
    </row>
    <row r="25" customFormat="false" ht="15" hidden="false" customHeight="false" outlineLevel="0" collapsed="false">
      <c r="A25" s="10" t="s">
        <v>214</v>
      </c>
      <c r="B25" s="14" t="n">
        <f aca="false">IFERROR(ROUND(COUNTIFS('1. PASTE DATA'!$C$4:$C$1503,6,'1. PASTE DATA'!$W$4:$W$1503,"&gt;=10")/COUNTIFS('1. PASTE DATA'!$C$4:$C$1503,6,'1. PASTE DATA'!$B$4:$B$1503,"&lt;&gt;")*100,0),0)</f>
        <v>0</v>
      </c>
      <c r="C25" s="14" t="n">
        <f aca="false">IFERROR(ROUND(COUNTIFS('1. PASTE DATA'!$C$4:$C$1503,7,'1. PASTE DATA'!$W$4:$W$1503,"&gt;=10")/COUNTIFS('1. PASTE DATA'!$C$4:$C$1503,7,'1. PASTE DATA'!$B$4:$B$1503,"&lt;&gt;")*100,0),0)</f>
        <v>0</v>
      </c>
      <c r="D25" s="14" t="n">
        <f aca="false">IFERROR(ROUND(COUNTIFS('1. PASTE DATA'!$C$4:$C$1503,8,'1. PASTE DATA'!$W$4:$W$1503,"&gt;=10")/COUNTIFS('1. PASTE DATA'!$C$4:$C$1503,8,'1. PASTE DATA'!$B$4:$B$1503,"&lt;&gt;")*100,0),0)</f>
        <v>0</v>
      </c>
      <c r="E25" s="14" t="n">
        <f aca="false">IFERROR(ROUND(COUNTIFS('1. PASTE DATA'!$C$4:$C$1503,9,'1. PASTE DATA'!$W$4:$W$1503,"&gt;=10")/COUNTIFS('1. PASTE DATA'!$C$4:$C$1503,9,'1. PASTE DATA'!$B$4:$B$1503,"&lt;&gt;")*100,0),0)</f>
        <v>0</v>
      </c>
      <c r="F25" s="14" t="n">
        <f aca="false">IFERROR(ROUND(COUNTIFS('1. PASTE DATA'!$C$4:$C$1503,10,'1. PASTE DATA'!$W$4:$W$1503,"&gt;=10")/COUNTIFS('1. PASTE DATA'!$C$4:$C$1503,10,'1. PASTE DATA'!$B$4:$B$1503,"&lt;&gt;")*100,0),0)</f>
        <v>0</v>
      </c>
      <c r="G25" s="14" t="n">
        <f aca="false">IFERROR(ROUND(COUNTIFS('1. PASTE DATA'!$C$4:$C$1503,11,'1. PASTE DATA'!$W$4:$W$1503,"&gt;=10")/COUNTIFS('1. PASTE DATA'!$C$4:$C$1503,11,'1. PASTE DATA'!$B$4:$B$1503,"&lt;&gt;")*100,0),0)</f>
        <v>0</v>
      </c>
      <c r="H25" s="14" t="n">
        <f aca="false">IFERROR(ROUND(COUNTIFS('1. PASTE DATA'!$C$4:$C$1503,12,'1. PASTE DATA'!$W$4:$W$1503,"&gt;=10")/COUNTIFS('1. PASTE DATA'!$C$4:$C$1503,12,'1. PASTE DATA'!$B$4:$B$1503,"&lt;&gt;")*100,0),0)</f>
        <v>0</v>
      </c>
    </row>
    <row r="27" customFormat="false" ht="15" hidden="false" customHeight="false" outlineLevel="0" collapsed="false">
      <c r="A27" s="9" t="s">
        <v>215</v>
      </c>
    </row>
    <row r="28" customFormat="false" ht="15" hidden="false" customHeight="false" outlineLevel="0" collapsed="false">
      <c r="A28" s="10" t="s">
        <v>216</v>
      </c>
      <c r="B28" s="14" t="n">
        <f aca="false">IFERROR(ROUND(COUNTIFS('1. PASTE DATA'!$C$4:$C$1503,6,'1. PASTE DATA'!$F$4:$F$1503,"&lt;=8")/COUNTIFS('1. PASTE DATA'!$C$4:$C$1503,6,'1. PASTE DATA'!$B$4:$B$1503,"&lt;&gt;")*100,0),0)</f>
        <v>0</v>
      </c>
      <c r="C28" s="14" t="n">
        <f aca="false">IFERROR(ROUND(COUNTIFS('1. PASTE DATA'!$C$4:$C$1503,7,'1. PASTE DATA'!$F$4:$F$1503,"&lt;=8")/COUNTIFS('1. PASTE DATA'!$C$4:$C$1503,7,'1. PASTE DATA'!$B$4:$B$1503,"&lt;&gt;")*100,0),0)</f>
        <v>0</v>
      </c>
      <c r="D28" s="14" t="n">
        <f aca="false">IFERROR(ROUND(COUNTIFS('1. PASTE DATA'!$C$4:$C$1503,8,'1. PASTE DATA'!$F$4:$F$1503,"&lt;=8")/COUNTIFS('1. PASTE DATA'!$C$4:$C$1503,8,'1. PASTE DATA'!$B$4:$B$1503,"&lt;&gt;")*100,0),0)</f>
        <v>0</v>
      </c>
      <c r="E28" s="14" t="n">
        <f aca="false">IFERROR(ROUND(COUNTIFS('1. PASTE DATA'!$C$4:$C$1503,9,'1. PASTE DATA'!$F$4:$F$1503,"&lt;=8")/COUNTIFS('1. PASTE DATA'!$C$4:$C$1503,9,'1. PASTE DATA'!$B$4:$B$1503,"&lt;&gt;")*100,0),0)</f>
        <v>0</v>
      </c>
      <c r="F28" s="14" t="n">
        <f aca="false">IFERROR(ROUND(COUNTIFS('1. PASTE DATA'!$C$4:$C$1503,10,'1. PASTE DATA'!$F$4:$F$1503,"&lt;=8")/COUNTIFS('1. PASTE DATA'!$C$4:$C$1503,10,'1. PASTE DATA'!$B$4:$B$1503,"&lt;&gt;")*100,0),0)</f>
        <v>0</v>
      </c>
      <c r="G28" s="14" t="n">
        <f aca="false">IFERROR(ROUND(COUNTIFS('1. PASTE DATA'!$C$4:$C$1503,11,'1. PASTE DATA'!$F$4:$F$1503,"&lt;=8")/COUNTIFS('1. PASTE DATA'!$C$4:$C$1503,11,'1. PASTE DATA'!$B$4:$B$1503,"&lt;&gt;")*100,0),0)</f>
        <v>0</v>
      </c>
      <c r="H28" s="14" t="n">
        <f aca="false">IFERROR(ROUND(COUNTIFS('1. PASTE DATA'!$C$4:$C$1503,12,'1. PASTE DATA'!$F$4:$F$1503,"&lt;=8")/COUNTIFS('1. PASTE DATA'!$C$4:$C$1503,12,'1. PASTE DATA'!$B$4:$B$1503,"&lt;&gt;")*100,0),0)</f>
        <v>0</v>
      </c>
    </row>
    <row r="29" customFormat="false" ht="15" hidden="false" customHeight="false" outlineLevel="0" collapsed="false">
      <c r="A29" s="10" t="s">
        <v>217</v>
      </c>
      <c r="B29" s="14" t="n">
        <f aca="false">IFERROR(ROUND(COUNTIFS('1. PASTE DATA'!$C$4:$C$1503,6,'1. PASTE DATA'!$G$4:$G$1503,"&lt;=8")/COUNTIFS('1. PASTE DATA'!$C$4:$C$1503,6,'1. PASTE DATA'!$B$4:$B$1503,"&lt;&gt;")*100,0),0)</f>
        <v>0</v>
      </c>
      <c r="C29" s="14" t="n">
        <f aca="false">IFERROR(ROUND(COUNTIFS('1. PASTE DATA'!$C$4:$C$1503,7,'1. PASTE DATA'!$G$4:$G$1503,"&lt;=8")/COUNTIFS('1. PASTE DATA'!$C$4:$C$1503,7,'1. PASTE DATA'!$B$4:$B$1503,"&lt;&gt;")*100,0),0)</f>
        <v>0</v>
      </c>
      <c r="D29" s="14" t="n">
        <f aca="false">IFERROR(ROUND(COUNTIFS('1. PASTE DATA'!$C$4:$C$1503,8,'1. PASTE DATA'!$G$4:$G$1503,"&lt;=8")/COUNTIFS('1. PASTE DATA'!$C$4:$C$1503,8,'1. PASTE DATA'!$B$4:$B$1503,"&lt;&gt;")*100,0),0)</f>
        <v>0</v>
      </c>
      <c r="E29" s="14" t="n">
        <f aca="false">IFERROR(ROUND(COUNTIFS('1. PASTE DATA'!$C$4:$C$1503,9,'1. PASTE DATA'!$G$4:$G$1503,"&lt;=8")/COUNTIFS('1. PASTE DATA'!$C$4:$C$1503,9,'1. PASTE DATA'!$B$4:$B$1503,"&lt;&gt;")*100,0),0)</f>
        <v>0</v>
      </c>
      <c r="F29" s="14" t="n">
        <f aca="false">IFERROR(ROUND(COUNTIFS('1. PASTE DATA'!$C$4:$C$1503,10,'1. PASTE DATA'!$G$4:$G$1503,"&lt;=8")/COUNTIFS('1. PASTE DATA'!$C$4:$C$1503,10,'1. PASTE DATA'!$B$4:$B$1503,"&lt;&gt;")*100,0),0)</f>
        <v>0</v>
      </c>
      <c r="G29" s="14" t="n">
        <f aca="false">IFERROR(ROUND(COUNTIFS('1. PASTE DATA'!$C$4:$C$1503,11,'1. PASTE DATA'!$G$4:$G$1503,"&lt;=8")/COUNTIFS('1. PASTE DATA'!$C$4:$C$1503,11,'1. PASTE DATA'!$B$4:$B$1503,"&lt;&gt;")*100,0),0)</f>
        <v>0</v>
      </c>
      <c r="H29" s="14" t="n">
        <f aca="false">IFERROR(ROUND(COUNTIFS('1. PASTE DATA'!$C$4:$C$1503,12,'1. PASTE DATA'!$G$4:$G$1503,"&lt;=8")/COUNTIFS('1. PASTE DATA'!$C$4:$C$1503,12,'1. PASTE DATA'!$B$4:$B$1503,"&lt;&gt;")*100,0),0)</f>
        <v>0</v>
      </c>
    </row>
    <row r="30" customFormat="false" ht="15" hidden="false" customHeight="false" outlineLevel="0" collapsed="false">
      <c r="A30" s="10" t="s">
        <v>218</v>
      </c>
      <c r="B30" s="14" t="n">
        <f aca="false">IFERROR(ROUND(COUNTIFS('1. PASTE DATA'!$C$4:$C$1503,6,'1. PASTE DATA'!$H$4:$H$1503,"&lt;=8")/COUNTIFS('1. PASTE DATA'!$C$4:$C$1503,6,'1. PASTE DATA'!$B$4:$B$1503,"&lt;&gt;")*100,0),0)</f>
        <v>0</v>
      </c>
      <c r="C30" s="14" t="n">
        <f aca="false">IFERROR(ROUND(COUNTIFS('1. PASTE DATA'!$C$4:$C$1503,7,'1. PASTE DATA'!$H$4:$H$1503,"&lt;=8")/COUNTIFS('1. PASTE DATA'!$C$4:$C$1503,7,'1. PASTE DATA'!$B$4:$B$1503,"&lt;&gt;")*100,0),0)</f>
        <v>0</v>
      </c>
      <c r="D30" s="14" t="n">
        <f aca="false">IFERROR(ROUND(COUNTIFS('1. PASTE DATA'!$C$4:$C$1503,8,'1. PASTE DATA'!$H$4:$H$1503,"&lt;=8")/COUNTIFS('1. PASTE DATA'!$C$4:$C$1503,8,'1. PASTE DATA'!$B$4:$B$1503,"&lt;&gt;")*100,0),0)</f>
        <v>0</v>
      </c>
      <c r="E30" s="14" t="n">
        <f aca="false">IFERROR(ROUND(COUNTIFS('1. PASTE DATA'!$C$4:$C$1503,9,'1. PASTE DATA'!$H$4:$H$1503,"&lt;=8")/COUNTIFS('1. PASTE DATA'!$C$4:$C$1503,9,'1. PASTE DATA'!$B$4:$B$1503,"&lt;&gt;")*100,0),0)</f>
        <v>0</v>
      </c>
      <c r="F30" s="14" t="n">
        <f aca="false">IFERROR(ROUND(COUNTIFS('1. PASTE DATA'!$C$4:$C$1503,10,'1. PASTE DATA'!$H$4:$H$1503,"&lt;=8")/COUNTIFS('1. PASTE DATA'!$C$4:$C$1503,10,'1. PASTE DATA'!$B$4:$B$1503,"&lt;&gt;")*100,0),0)</f>
        <v>0</v>
      </c>
      <c r="G30" s="14" t="n">
        <f aca="false">IFERROR(ROUND(COUNTIFS('1. PASTE DATA'!$C$4:$C$1503,11,'1. PASTE DATA'!$H$4:$H$1503,"&lt;=8")/COUNTIFS('1. PASTE DATA'!$C$4:$C$1503,11,'1. PASTE DATA'!$B$4:$B$1503,"&lt;&gt;")*100,0),0)</f>
        <v>0</v>
      </c>
      <c r="H30" s="14" t="n">
        <f aca="false">IFERROR(ROUND(COUNTIFS('1. PASTE DATA'!$C$4:$C$1503,12,'1. PASTE DATA'!$H$4:$H$1503,"&lt;=8")/COUNTIFS('1. PASTE DATA'!$C$4:$C$1503,12,'1. PASTE DATA'!$B$4:$B$1503,"&lt;&gt;")*100,0),0)</f>
        <v>0</v>
      </c>
    </row>
    <row r="31" customFormat="false" ht="15" hidden="false" customHeight="false" outlineLevel="0" collapsed="false">
      <c r="A31" s="10" t="s">
        <v>219</v>
      </c>
      <c r="B31" s="14" t="n">
        <f aca="false">IFERROR(ROUND(COUNTIFS('1. PASTE DATA'!$C$4:$C$1503,6,'1. PASTE DATA'!$I$4:$I$1503,"&lt;=8")/COUNTIFS('1. PASTE DATA'!$C$4:$C$1503,6,'1. PASTE DATA'!$B$4:$B$1503,"&lt;&gt;")*100,0),0)</f>
        <v>0</v>
      </c>
      <c r="C31" s="14" t="n">
        <f aca="false">IFERROR(ROUND(COUNTIFS('1. PASTE DATA'!$C$4:$C$1503,7,'1. PASTE DATA'!$I$4:$I$1503,"&lt;=8")/COUNTIFS('1. PASTE DATA'!$C$4:$C$1503,7,'1. PASTE DATA'!$B$4:$B$1503,"&lt;&gt;")*100,0),0)</f>
        <v>0</v>
      </c>
      <c r="D31" s="14" t="n">
        <f aca="false">IFERROR(ROUND(COUNTIFS('1. PASTE DATA'!$C$4:$C$1503,8,'1. PASTE DATA'!$I$4:$I$1503,"&lt;=8")/COUNTIFS('1. PASTE DATA'!$C$4:$C$1503,8,'1. PASTE DATA'!$B$4:$B$1503,"&lt;&gt;")*100,0),0)</f>
        <v>0</v>
      </c>
      <c r="E31" s="14" t="n">
        <f aca="false">IFERROR(ROUND(COUNTIFS('1. PASTE DATA'!$C$4:$C$1503,9,'1. PASTE DATA'!$I$4:$I$1503,"&lt;=8")/COUNTIFS('1. PASTE DATA'!$C$4:$C$1503,9,'1. PASTE DATA'!$B$4:$B$1503,"&lt;&gt;")*100,0),0)</f>
        <v>0</v>
      </c>
      <c r="F31" s="14" t="n">
        <f aca="false">IFERROR(ROUND(COUNTIFS('1. PASTE DATA'!$C$4:$C$1503,10,'1. PASTE DATA'!$I$4:$I$1503,"&lt;=8")/COUNTIFS('1. PASTE DATA'!$C$4:$C$1503,10,'1. PASTE DATA'!$B$4:$B$1503,"&lt;&gt;")*100,0),0)</f>
        <v>0</v>
      </c>
      <c r="G31" s="14" t="n">
        <f aca="false">IFERROR(ROUND(COUNTIFS('1. PASTE DATA'!$C$4:$C$1503,11,'1. PASTE DATA'!$I$4:$I$1503,"&lt;=8")/COUNTIFS('1. PASTE DATA'!$C$4:$C$1503,11,'1. PASTE DATA'!$B$4:$B$1503,"&lt;&gt;")*100,0),0)</f>
        <v>0</v>
      </c>
      <c r="H31" s="14" t="n">
        <f aca="false">IFERROR(ROUND(COUNTIFS('1. PASTE DATA'!$C$4:$C$1503,12,'1. PASTE DATA'!$I$4:$I$1503,"&lt;=8")/COUNTIFS('1. PASTE DATA'!$C$4:$C$1503,12,'1. PASTE DATA'!$B$4:$B$1503,"&lt;&gt;")*100,0),0)</f>
        <v>0</v>
      </c>
    </row>
    <row r="32" customFormat="false" ht="15" hidden="false" customHeight="false" outlineLevel="0" collapsed="false">
      <c r="A32" s="10" t="s">
        <v>220</v>
      </c>
      <c r="B32" s="14" t="n">
        <f aca="false">IFERROR(ROUND(COUNTIFS('1. PASTE DATA'!$C$4:$C$1503,6,'1. PASTE DATA'!$J$4:$J$1503,"&lt;=8")/COUNTIFS('1. PASTE DATA'!$C$4:$C$1503,6,'1. PASTE DATA'!$B$4:$B$1503,"&lt;&gt;")*100,0),0)</f>
        <v>0</v>
      </c>
      <c r="C32" s="14" t="n">
        <f aca="false">IFERROR(ROUND(COUNTIFS('1. PASTE DATA'!$C$4:$C$1503,7,'1. PASTE DATA'!$J$4:$J$1503,"&lt;=8")/COUNTIFS('1. PASTE DATA'!$C$4:$C$1503,7,'1. PASTE DATA'!$B$4:$B$1503,"&lt;&gt;")*100,0),0)</f>
        <v>0</v>
      </c>
      <c r="D32" s="14" t="n">
        <f aca="false">IFERROR(ROUND(COUNTIFS('1. PASTE DATA'!$C$4:$C$1503,8,'1. PASTE DATA'!$J$4:$J$1503,"&lt;=8")/COUNTIFS('1. PASTE DATA'!$C$4:$C$1503,8,'1. PASTE DATA'!$B$4:$B$1503,"&lt;&gt;")*100,0),0)</f>
        <v>0</v>
      </c>
      <c r="E32" s="14" t="n">
        <f aca="false">IFERROR(ROUND(COUNTIFS('1. PASTE DATA'!$C$4:$C$1503,9,'1. PASTE DATA'!$J$4:$J$1503,"&lt;=8")/COUNTIFS('1. PASTE DATA'!$C$4:$C$1503,9,'1. PASTE DATA'!$B$4:$B$1503,"&lt;&gt;")*100,0),0)</f>
        <v>0</v>
      </c>
      <c r="F32" s="14" t="n">
        <f aca="false">IFERROR(ROUND(COUNTIFS('1. PASTE DATA'!$C$4:$C$1503,10,'1. PASTE DATA'!$J$4:$J$1503,"&lt;=8")/COUNTIFS('1. PASTE DATA'!$C$4:$C$1503,10,'1. PASTE DATA'!$B$4:$B$1503,"&lt;&gt;")*100,0),0)</f>
        <v>0</v>
      </c>
      <c r="G32" s="14" t="n">
        <f aca="false">IFERROR(ROUND(COUNTIFS('1. PASTE DATA'!$C$4:$C$1503,11,'1. PASTE DATA'!$J$4:$J$1503,"&lt;=8")/COUNTIFS('1. PASTE DATA'!$C$4:$C$1503,11,'1. PASTE DATA'!$B$4:$B$1503,"&lt;&gt;")*100,0),0)</f>
        <v>0</v>
      </c>
      <c r="H32" s="14" t="n">
        <f aca="false">IFERROR(ROUND(COUNTIFS('1. PASTE DATA'!$C$4:$C$1503,12,'1. PASTE DATA'!$J$4:$J$1503,"&lt;=8")/COUNTIFS('1. PASTE DATA'!$C$4:$C$1503,12,'1. PASTE DATA'!$B$4:$B$1503,"&lt;&gt;")*100,0),0)</f>
        <v>0</v>
      </c>
    </row>
    <row r="33" customFormat="false" ht="15" hidden="false" customHeight="false" outlineLevel="0" collapsed="false">
      <c r="A33" s="10" t="s">
        <v>221</v>
      </c>
      <c r="B33" s="14" t="n">
        <f aca="false">IFERROR(ROUND(COUNTIFS('1. PASTE DATA'!$C$4:$C$1503,6,'1. PASTE DATA'!$K$4:$K$1503,"&lt;=8")/COUNTIFS('1. PASTE DATA'!$C$4:$C$1503,6,'1. PASTE DATA'!$B$4:$B$1503,"&lt;&gt;")*100,0),0)</f>
        <v>0</v>
      </c>
      <c r="C33" s="14" t="n">
        <f aca="false">IFERROR(ROUND(COUNTIFS('1. PASTE DATA'!$C$4:$C$1503,7,'1. PASTE DATA'!$K$4:$K$1503,"&lt;=8")/COUNTIFS('1. PASTE DATA'!$C$4:$C$1503,7,'1. PASTE DATA'!$B$4:$B$1503,"&lt;&gt;")*100,0),0)</f>
        <v>0</v>
      </c>
      <c r="D33" s="14" t="n">
        <f aca="false">IFERROR(ROUND(COUNTIFS('1. PASTE DATA'!$C$4:$C$1503,8,'1. PASTE DATA'!$K$4:$K$1503,"&lt;=8")/COUNTIFS('1. PASTE DATA'!$C$4:$C$1503,8,'1. PASTE DATA'!$B$4:$B$1503,"&lt;&gt;")*100,0),0)</f>
        <v>0</v>
      </c>
      <c r="E33" s="14" t="n">
        <f aca="false">IFERROR(ROUND(COUNTIFS('1. PASTE DATA'!$C$4:$C$1503,9,'1. PASTE DATA'!$K$4:$K$1503,"&lt;=8")/COUNTIFS('1. PASTE DATA'!$C$4:$C$1503,9,'1. PASTE DATA'!$B$4:$B$1503,"&lt;&gt;")*100,0),0)</f>
        <v>0</v>
      </c>
      <c r="F33" s="14" t="n">
        <f aca="false">IFERROR(ROUND(COUNTIFS('1. PASTE DATA'!$C$4:$C$1503,10,'1. PASTE DATA'!$K$4:$K$1503,"&lt;=8")/COUNTIFS('1. PASTE DATA'!$C$4:$C$1503,10,'1. PASTE DATA'!$B$4:$B$1503,"&lt;&gt;")*100,0),0)</f>
        <v>0</v>
      </c>
      <c r="G33" s="14" t="n">
        <f aca="false">IFERROR(ROUND(COUNTIFS('1. PASTE DATA'!$C$4:$C$1503,11,'1. PASTE DATA'!$K$4:$K$1503,"&lt;=8")/COUNTIFS('1. PASTE DATA'!$C$4:$C$1503,11,'1. PASTE DATA'!$B$4:$B$1503,"&lt;&gt;")*100,0),0)</f>
        <v>0</v>
      </c>
      <c r="H33" s="14" t="n">
        <f aca="false">IFERROR(ROUND(COUNTIFS('1. PASTE DATA'!$C$4:$C$1503,12,'1. PASTE DATA'!$K$4:$K$1503,"&lt;=8")/COUNTIFS('1. PASTE DATA'!$C$4:$C$1503,12,'1. PASTE DATA'!$B$4:$B$1503,"&lt;&gt;")*100,0),0)</f>
        <v>0</v>
      </c>
    </row>
    <row r="34" customFormat="false" ht="15" hidden="false" customHeight="false" outlineLevel="0" collapsed="false">
      <c r="A34" s="10" t="s">
        <v>222</v>
      </c>
      <c r="B34" s="14" t="n">
        <f aca="false">IFERROR(ROUND(COUNTIFS('1. PASTE DATA'!$C$4:$C$1503,6,'1. PASTE DATA'!$L$4:$L$1503,"&lt;=8")/COUNTIFS('1. PASTE DATA'!$C$4:$C$1503,6,'1. PASTE DATA'!$B$4:$B$1503,"&lt;&gt;")*100,0),0)</f>
        <v>0</v>
      </c>
      <c r="C34" s="14" t="n">
        <f aca="false">IFERROR(ROUND(COUNTIFS('1. PASTE DATA'!$C$4:$C$1503,7,'1. PASTE DATA'!$L$4:$L$1503,"&lt;=8")/COUNTIFS('1. PASTE DATA'!$C$4:$C$1503,7,'1. PASTE DATA'!$B$4:$B$1503,"&lt;&gt;")*100,0),0)</f>
        <v>0</v>
      </c>
      <c r="D34" s="14" t="n">
        <f aca="false">IFERROR(ROUND(COUNTIFS('1. PASTE DATA'!$C$4:$C$1503,8,'1. PASTE DATA'!$L$4:$L$1503,"&lt;=8")/COUNTIFS('1. PASTE DATA'!$C$4:$C$1503,8,'1. PASTE DATA'!$B$4:$B$1503,"&lt;&gt;")*100,0),0)</f>
        <v>0</v>
      </c>
      <c r="E34" s="14" t="n">
        <f aca="false">IFERROR(ROUND(COUNTIFS('1. PASTE DATA'!$C$4:$C$1503,9,'1. PASTE DATA'!$L$4:$L$1503,"&lt;=8")/COUNTIFS('1. PASTE DATA'!$C$4:$C$1503,9,'1. PASTE DATA'!$B$4:$B$1503,"&lt;&gt;")*100,0),0)</f>
        <v>0</v>
      </c>
      <c r="F34" s="14" t="n">
        <f aca="false">IFERROR(ROUND(COUNTIFS('1. PASTE DATA'!$C$4:$C$1503,10,'1. PASTE DATA'!$L$4:$L$1503,"&lt;=8")/COUNTIFS('1. PASTE DATA'!$C$4:$C$1503,10,'1. PASTE DATA'!$B$4:$B$1503,"&lt;&gt;")*100,0),0)</f>
        <v>0</v>
      </c>
      <c r="G34" s="14" t="n">
        <f aca="false">IFERROR(ROUND(COUNTIFS('1. PASTE DATA'!$C$4:$C$1503,11,'1. PASTE DATA'!$L$4:$L$1503,"&lt;=8")/COUNTIFS('1. PASTE DATA'!$C$4:$C$1503,11,'1. PASTE DATA'!$B$4:$B$1503,"&lt;&gt;")*100,0),0)</f>
        <v>0</v>
      </c>
      <c r="H34" s="14" t="n">
        <f aca="false">IFERROR(ROUND(COUNTIFS('1. PASTE DATA'!$C$4:$C$1503,12,'1. PASTE DATA'!$L$4:$L$1503,"&lt;=8")/COUNTIFS('1. PASTE DATA'!$C$4:$C$1503,12,'1. PASTE DATA'!$B$4:$B$1503,"&lt;&gt;")*100,0),0)</f>
        <v>0</v>
      </c>
    </row>
    <row r="35" customFormat="false" ht="15" hidden="false" customHeight="false" outlineLevel="0" collapsed="false">
      <c r="A35" s="10" t="s">
        <v>223</v>
      </c>
      <c r="B35" s="14" t="n">
        <f aca="false">IFERROR(ROUND(COUNTIFS('1. PASTE DATA'!$C$4:$C$1503,6,'1. PASTE DATA'!$M$4:$M$1503,"&lt;=8")/COUNTIFS('1. PASTE DATA'!$C$4:$C$1503,6,'1. PASTE DATA'!$B$4:$B$1503,"&lt;&gt;")*100,0),0)</f>
        <v>0</v>
      </c>
      <c r="C35" s="14" t="n">
        <f aca="false">IFERROR(ROUND(COUNTIFS('1. PASTE DATA'!$C$4:$C$1503,7,'1. PASTE DATA'!$M$4:$M$1503,"&lt;=8")/COUNTIFS('1. PASTE DATA'!$C$4:$C$1503,7,'1. PASTE DATA'!$B$4:$B$1503,"&lt;&gt;")*100,0),0)</f>
        <v>0</v>
      </c>
      <c r="D35" s="14" t="n">
        <f aca="false">IFERROR(ROUND(COUNTIFS('1. PASTE DATA'!$C$4:$C$1503,8,'1. PASTE DATA'!$M$4:$M$1503,"&lt;=8")/COUNTIFS('1. PASTE DATA'!$C$4:$C$1503,8,'1. PASTE DATA'!$B$4:$B$1503,"&lt;&gt;")*100,0),0)</f>
        <v>0</v>
      </c>
      <c r="E35" s="14" t="n">
        <f aca="false">IFERROR(ROUND(COUNTIFS('1. PASTE DATA'!$C$4:$C$1503,9,'1. PASTE DATA'!$M$4:$M$1503,"&lt;=8")/COUNTIFS('1. PASTE DATA'!$C$4:$C$1503,9,'1. PASTE DATA'!$B$4:$B$1503,"&lt;&gt;")*100,0),0)</f>
        <v>0</v>
      </c>
      <c r="F35" s="14" t="n">
        <f aca="false">IFERROR(ROUND(COUNTIFS('1. PASTE DATA'!$C$4:$C$1503,10,'1. PASTE DATA'!$M$4:$M$1503,"&lt;=8")/COUNTIFS('1. PASTE DATA'!$C$4:$C$1503,10,'1. PASTE DATA'!$B$4:$B$1503,"&lt;&gt;")*100,0),0)</f>
        <v>0</v>
      </c>
      <c r="G35" s="14" t="n">
        <f aca="false">IFERROR(ROUND(COUNTIFS('1. PASTE DATA'!$C$4:$C$1503,11,'1. PASTE DATA'!$M$4:$M$1503,"&lt;=8")/COUNTIFS('1. PASTE DATA'!$C$4:$C$1503,11,'1. PASTE DATA'!$B$4:$B$1503,"&lt;&gt;")*100,0),0)</f>
        <v>0</v>
      </c>
      <c r="H35" s="14" t="n">
        <f aca="false">IFERROR(ROUND(COUNTIFS('1. PASTE DATA'!$C$4:$C$1503,12,'1. PASTE DATA'!$M$4:$M$1503,"&lt;=8")/COUNTIFS('1. PASTE DATA'!$C$4:$C$1503,12,'1. PASTE DATA'!$B$4:$B$1503,"&lt;&gt;")*100,0),0)</f>
        <v>0</v>
      </c>
    </row>
    <row r="36" customFormat="false" ht="15" hidden="false" customHeight="false" outlineLevel="0" collapsed="false">
      <c r="A36" s="10" t="s">
        <v>224</v>
      </c>
      <c r="B36" s="14" t="n">
        <f aca="false">IFERROR(ROUND(COUNTIFS('1. PASTE DATA'!$C$4:$C$1503,6,'1. PASTE DATA'!$N$4:$N$1503,"&lt;=8")/COUNTIFS('1. PASTE DATA'!$C$4:$C$1503,6,'1. PASTE DATA'!$B$4:$B$1503,"&lt;&gt;")*100,0),0)</f>
        <v>0</v>
      </c>
      <c r="C36" s="14" t="n">
        <f aca="false">IFERROR(ROUND(COUNTIFS('1. PASTE DATA'!$C$4:$C$1503,7,'1. PASTE DATA'!$N$4:$N$1503,"&lt;=8")/COUNTIFS('1. PASTE DATA'!$C$4:$C$1503,7,'1. PASTE DATA'!$B$4:$B$1503,"&lt;&gt;")*100,0),0)</f>
        <v>0</v>
      </c>
      <c r="D36" s="14" t="n">
        <f aca="false">IFERROR(ROUND(COUNTIFS('1. PASTE DATA'!$C$4:$C$1503,8,'1. PASTE DATA'!$N$4:$N$1503,"&lt;=8")/COUNTIFS('1. PASTE DATA'!$C$4:$C$1503,8,'1. PASTE DATA'!$B$4:$B$1503,"&lt;&gt;")*100,0),0)</f>
        <v>0</v>
      </c>
      <c r="E36" s="14" t="n">
        <f aca="false">IFERROR(ROUND(COUNTIFS('1. PASTE DATA'!$C$4:$C$1503,9,'1. PASTE DATA'!$N$4:$N$1503,"&lt;=8")/COUNTIFS('1. PASTE DATA'!$C$4:$C$1503,9,'1. PASTE DATA'!$B$4:$B$1503,"&lt;&gt;")*100,0),0)</f>
        <v>0</v>
      </c>
      <c r="F36" s="14" t="n">
        <f aca="false">IFERROR(ROUND(COUNTIFS('1. PASTE DATA'!$C$4:$C$1503,10,'1. PASTE DATA'!$N$4:$N$1503,"&lt;=8")/COUNTIFS('1. PASTE DATA'!$C$4:$C$1503,10,'1. PASTE DATA'!$B$4:$B$1503,"&lt;&gt;")*100,0),0)</f>
        <v>0</v>
      </c>
      <c r="G36" s="14" t="n">
        <f aca="false">IFERROR(ROUND(COUNTIFS('1. PASTE DATA'!$C$4:$C$1503,11,'1. PASTE DATA'!$N$4:$N$1503,"&lt;=8")/COUNTIFS('1. PASTE DATA'!$C$4:$C$1503,11,'1. PASTE DATA'!$B$4:$B$1503,"&lt;&gt;")*100,0),0)</f>
        <v>0</v>
      </c>
      <c r="H36" s="14" t="n">
        <f aca="false">IFERROR(ROUND(COUNTIFS('1. PASTE DATA'!$C$4:$C$1503,12,'1. PASTE DATA'!$N$4:$N$1503,"&lt;=8")/COUNTIFS('1. PASTE DATA'!$C$4:$C$1503,12,'1. PASTE DATA'!$B$4:$B$1503,"&lt;&gt;")*100,0),0)</f>
        <v>0</v>
      </c>
    </row>
    <row r="37" customFormat="false" ht="15" hidden="false" customHeight="false" outlineLevel="0" collapsed="false">
      <c r="A37" s="10" t="s">
        <v>225</v>
      </c>
      <c r="B37" s="14" t="n">
        <f aca="false">IFERROR(ROUND(COUNTIFS('1. PASTE DATA'!$C$4:$C$1503,6,'1. PASTE DATA'!$O$4:$O$1503,"&lt;=8")/COUNTIFS('1. PASTE DATA'!$C$4:$C$1503,6,'1. PASTE DATA'!$B$4:$B$1503,"&lt;&gt;")*100,0),0)</f>
        <v>0</v>
      </c>
      <c r="C37" s="14" t="n">
        <f aca="false">IFERROR(ROUND(COUNTIFS('1. PASTE DATA'!$C$4:$C$1503,7,'1. PASTE DATA'!$O$4:$O$1503,"&lt;=8")/COUNTIFS('1. PASTE DATA'!$C$4:$C$1503,7,'1. PASTE DATA'!$B$4:$B$1503,"&lt;&gt;")*100,0),0)</f>
        <v>0</v>
      </c>
      <c r="D37" s="14" t="n">
        <f aca="false">IFERROR(ROUND(COUNTIFS('1. PASTE DATA'!$C$4:$C$1503,8,'1. PASTE DATA'!$O$4:$O$1503,"&lt;=8")/COUNTIFS('1. PASTE DATA'!$C$4:$C$1503,8,'1. PASTE DATA'!$B$4:$B$1503,"&lt;&gt;")*100,0),0)</f>
        <v>0</v>
      </c>
      <c r="E37" s="14" t="n">
        <f aca="false">IFERROR(ROUND(COUNTIFS('1. PASTE DATA'!$C$4:$C$1503,9,'1. PASTE DATA'!$O$4:$O$1503,"&lt;=8")/COUNTIFS('1. PASTE DATA'!$C$4:$C$1503,9,'1. PASTE DATA'!$B$4:$B$1503,"&lt;&gt;")*100,0),0)</f>
        <v>0</v>
      </c>
      <c r="F37" s="14" t="n">
        <f aca="false">IFERROR(ROUND(COUNTIFS('1. PASTE DATA'!$C$4:$C$1503,10,'1. PASTE DATA'!$O$4:$O$1503,"&lt;=8")/COUNTIFS('1. PASTE DATA'!$C$4:$C$1503,10,'1. PASTE DATA'!$B$4:$B$1503,"&lt;&gt;")*100,0),0)</f>
        <v>0</v>
      </c>
      <c r="G37" s="14" t="n">
        <f aca="false">IFERROR(ROUND(COUNTIFS('1. PASTE DATA'!$C$4:$C$1503,11,'1. PASTE DATA'!$O$4:$O$1503,"&lt;=8")/COUNTIFS('1. PASTE DATA'!$C$4:$C$1503,11,'1. PASTE DATA'!$B$4:$B$1503,"&lt;&gt;")*100,0),0)</f>
        <v>0</v>
      </c>
      <c r="H37" s="14" t="n">
        <f aca="false">IFERROR(ROUND(COUNTIFS('1. PASTE DATA'!$C$4:$C$1503,12,'1. PASTE DATA'!$O$4:$O$1503,"&lt;=8")/COUNTIFS('1. PASTE DATA'!$C$4:$C$1503,12,'1. PASTE DATA'!$B$4:$B$1503,"&lt;&gt;")*100,0),0)</f>
        <v>0</v>
      </c>
    </row>
    <row r="39" customFormat="false" ht="15" hidden="false" customHeight="false" outlineLevel="0" collapsed="false">
      <c r="A39" s="9" t="s">
        <v>226</v>
      </c>
    </row>
    <row r="40" customFormat="false" ht="15" hidden="false" customHeight="false" outlineLevel="0" collapsed="false">
      <c r="A40" s="10" t="s">
        <v>227</v>
      </c>
      <c r="B40" s="14" t="n">
        <f aca="false">IFERROR(ROUND(COUNTIFS('1. PASTE DATA'!$C$4:$C$1503,6,'1. PASTE DATA'!$BB$4:$BB$1503,"Science")/COUNTIFS('1. PASTE DATA'!$C$4:$C$1503,6,'1. PASTE DATA'!$B$4:$B$1503,"&lt;&gt;")*100,0),0)</f>
        <v>0</v>
      </c>
      <c r="C40" s="14" t="n">
        <f aca="false">IFERROR(ROUND(COUNTIFS('1. PASTE DATA'!$C$4:$C$1503,7,'1. PASTE DATA'!$BB$4:$BB$1503,"Science")/COUNTIFS('1. PASTE DATA'!$C$4:$C$1503,7,'1. PASTE DATA'!$B$4:$B$1503,"&lt;&gt;")*100,0),0)</f>
        <v>0</v>
      </c>
      <c r="D40" s="14" t="n">
        <f aca="false">IFERROR(ROUND(COUNTIFS('1. PASTE DATA'!$C$4:$C$1503,8,'1. PASTE DATA'!$BB$4:$BB$1503,"Science")/COUNTIFS('1. PASTE DATA'!$C$4:$C$1503,8,'1. PASTE DATA'!$B$4:$B$1503,"&lt;&gt;")*100,0),0)</f>
        <v>0</v>
      </c>
      <c r="E40" s="14" t="n">
        <f aca="false">IFERROR(ROUND(COUNTIFS('1. PASTE DATA'!$C$4:$C$1503,9,'1. PASTE DATA'!$BB$4:$BB$1503,"Science")/COUNTIFS('1. PASTE DATA'!$C$4:$C$1503,9,'1. PASTE DATA'!$B$4:$B$1503,"&lt;&gt;")*100,0),0)</f>
        <v>0</v>
      </c>
      <c r="F40" s="14" t="n">
        <f aca="false">IFERROR(ROUND(COUNTIFS('1. PASTE DATA'!$C$4:$C$1503,10,'1. PASTE DATA'!$BB$4:$BB$1503,"Science")/COUNTIFS('1. PASTE DATA'!$C$4:$C$1503,10,'1. PASTE DATA'!$B$4:$B$1503,"&lt;&gt;")*100,0),0)</f>
        <v>0</v>
      </c>
      <c r="G40" s="14" t="n">
        <f aca="false">IFERROR(ROUND(COUNTIFS('1. PASTE DATA'!$C$4:$C$1503,11,'1. PASTE DATA'!$BB$4:$BB$1503,"Science")/COUNTIFS('1. PASTE DATA'!$C$4:$C$1503,11,'1. PASTE DATA'!$B$4:$B$1503,"&lt;&gt;")*100,0),0)</f>
        <v>0</v>
      </c>
      <c r="H40" s="14" t="n">
        <f aca="false">IFERROR(ROUND(COUNTIFS('1. PASTE DATA'!$C$4:$C$1503,12,'1. PASTE DATA'!$BB$4:$BB$1503,"Science")/COUNTIFS('1. PASTE DATA'!$C$4:$C$1503,12,'1. PASTE DATA'!$B$4:$B$1503,"&lt;&gt;")*100,0),0)</f>
        <v>0</v>
      </c>
    </row>
    <row r="41" customFormat="false" ht="15" hidden="false" customHeight="false" outlineLevel="0" collapsed="false">
      <c r="A41" s="10" t="s">
        <v>228</v>
      </c>
      <c r="B41" s="14" t="n">
        <f aca="false">IFERROR(ROUND(COUNTIFS('1. PASTE DATA'!$C$4:$C$1503,6,'1. PASTE DATA'!$BC$4:$BC$1503,"Science")/COUNTIFS('1. PASTE DATA'!$C$4:$C$1503,6,'1. PASTE DATA'!$B$4:$B$1503,"&lt;&gt;")*100,0),0)</f>
        <v>0</v>
      </c>
      <c r="C41" s="14" t="n">
        <f aca="false">IFERROR(ROUND(COUNTIFS('1. PASTE DATA'!$C$4:$C$1503,7,'1. PASTE DATA'!$BC$4:$BC$1503,"Science")/COUNTIFS('1. PASTE DATA'!$C$4:$C$1503,7,'1. PASTE DATA'!$B$4:$B$1503,"&lt;&gt;")*100,0),0)</f>
        <v>0</v>
      </c>
      <c r="D41" s="14" t="n">
        <f aca="false">IFERROR(ROUND(COUNTIFS('1. PASTE DATA'!$C$4:$C$1503,8,'1. PASTE DATA'!$BC$4:$BC$1503,"Science")/COUNTIFS('1. PASTE DATA'!$C$4:$C$1503,8,'1. PASTE DATA'!$B$4:$B$1503,"&lt;&gt;")*100,0),0)</f>
        <v>0</v>
      </c>
      <c r="E41" s="14" t="n">
        <f aca="false">IFERROR(ROUND(COUNTIFS('1. PASTE DATA'!$C$4:$C$1503,9,'1. PASTE DATA'!$BC$4:$BC$1503,"Science")/COUNTIFS('1. PASTE DATA'!$C$4:$C$1503,9,'1. PASTE DATA'!$B$4:$B$1503,"&lt;&gt;")*100,0),0)</f>
        <v>0</v>
      </c>
      <c r="F41" s="14" t="n">
        <f aca="false">IFERROR(ROUND(COUNTIFS('1. PASTE DATA'!$C$4:$C$1503,10,'1. PASTE DATA'!$BC$4:$BC$1503,"Science")/COUNTIFS('1. PASTE DATA'!$C$4:$C$1503,10,'1. PASTE DATA'!$B$4:$B$1503,"&lt;&gt;")*100,0),0)</f>
        <v>0</v>
      </c>
      <c r="G41" s="14" t="n">
        <f aca="false">IFERROR(ROUND(COUNTIFS('1. PASTE DATA'!$C$4:$C$1503,11,'1. PASTE DATA'!$BC$4:$BC$1503,"Science")/COUNTIFS('1. PASTE DATA'!$C$4:$C$1503,11,'1. PASTE DATA'!$B$4:$B$1503,"&lt;&gt;")*100,0),0)</f>
        <v>0</v>
      </c>
      <c r="H41" s="14" t="n">
        <f aca="false">IFERROR(ROUND(COUNTIFS('1. PASTE DATA'!$C$4:$C$1503,12,'1. PASTE DATA'!$BC$4:$BC$1503,"Science")/COUNTIFS('1. PASTE DATA'!$C$4:$C$1503,12,'1. PASTE DATA'!$B$4:$B$1503,"&lt;&gt;")*100,0),0)</f>
        <v>0</v>
      </c>
    </row>
    <row r="42" customFormat="false" ht="15" hidden="false" customHeight="false" outlineLevel="0" collapsed="false">
      <c r="A42" s="10" t="s">
        <v>229</v>
      </c>
      <c r="B42" s="14" t="n">
        <f aca="false">IFERROR(ROUND(COUNTIFS('1. PASTE DATA'!$C$4:$C$1503,6,'1. PASTE DATA'!$BB$4:$BB$1503,"Commerce")/COUNTIFS('1. PASTE DATA'!$C$4:$C$1503,6,'1. PASTE DATA'!$B$4:$B$1503,"&lt;&gt;")*100,0),0)</f>
        <v>0</v>
      </c>
      <c r="C42" s="14" t="n">
        <f aca="false">IFERROR(ROUND(COUNTIFS('1. PASTE DATA'!$C$4:$C$1503,7,'1. PASTE DATA'!$BB$4:$BB$1503,"Commerce")/COUNTIFS('1. PASTE DATA'!$C$4:$C$1503,7,'1. PASTE DATA'!$B$4:$B$1503,"&lt;&gt;")*100,0),0)</f>
        <v>0</v>
      </c>
      <c r="D42" s="14" t="n">
        <f aca="false">IFERROR(ROUND(COUNTIFS('1. PASTE DATA'!$C$4:$C$1503,8,'1. PASTE DATA'!$BB$4:$BB$1503,"Commerce")/COUNTIFS('1. PASTE DATA'!$C$4:$C$1503,8,'1. PASTE DATA'!$B$4:$B$1503,"&lt;&gt;")*100,0),0)</f>
        <v>0</v>
      </c>
      <c r="E42" s="14" t="n">
        <f aca="false">IFERROR(ROUND(COUNTIFS('1. PASTE DATA'!$C$4:$C$1503,9,'1. PASTE DATA'!$BB$4:$BB$1503,"Commerce")/COUNTIFS('1. PASTE DATA'!$C$4:$C$1503,9,'1. PASTE DATA'!$B$4:$B$1503,"&lt;&gt;")*100,0),0)</f>
        <v>0</v>
      </c>
      <c r="F42" s="14" t="n">
        <f aca="false">IFERROR(ROUND(COUNTIFS('1. PASTE DATA'!$C$4:$C$1503,10,'1. PASTE DATA'!$BB$4:$BB$1503,"Commerce")/COUNTIFS('1. PASTE DATA'!$C$4:$C$1503,10,'1. PASTE DATA'!$B$4:$B$1503,"&lt;&gt;")*100,0),0)</f>
        <v>0</v>
      </c>
      <c r="G42" s="14" t="n">
        <f aca="false">IFERROR(ROUND(COUNTIFS('1. PASTE DATA'!$C$4:$C$1503,11,'1. PASTE DATA'!$BB$4:$BB$1503,"Commerce")/COUNTIFS('1. PASTE DATA'!$C$4:$C$1503,11,'1. PASTE DATA'!$B$4:$B$1503,"&lt;&gt;")*100,0),0)</f>
        <v>0</v>
      </c>
      <c r="H42" s="14" t="n">
        <f aca="false">IFERROR(ROUND(COUNTIFS('1. PASTE DATA'!$C$4:$C$1503,12,'1. PASTE DATA'!$BB$4:$BB$1503,"Commerce")/COUNTIFS('1. PASTE DATA'!$C$4:$C$1503,12,'1. PASTE DATA'!$B$4:$B$1503,"&lt;&gt;")*100,0),0)</f>
        <v>0</v>
      </c>
    </row>
    <row r="43" customFormat="false" ht="15" hidden="false" customHeight="false" outlineLevel="0" collapsed="false">
      <c r="A43" s="10" t="s">
        <v>230</v>
      </c>
      <c r="B43" s="14" t="n">
        <f aca="false">IFERROR(ROUND(COUNTIFS('1. PASTE DATA'!$C$4:$C$1503,6,'1. PASTE DATA'!$BC$4:$BC$1503,"Commerce")/COUNTIFS('1. PASTE DATA'!$C$4:$C$1503,6,'1. PASTE DATA'!$B$4:$B$1503,"&lt;&gt;")*100,0),0)</f>
        <v>0</v>
      </c>
      <c r="C43" s="14" t="n">
        <f aca="false">IFERROR(ROUND(COUNTIFS('1. PASTE DATA'!$C$4:$C$1503,7,'1. PASTE DATA'!$BC$4:$BC$1503,"Commerce")/COUNTIFS('1. PASTE DATA'!$C$4:$C$1503,7,'1. PASTE DATA'!$B$4:$B$1503,"&lt;&gt;")*100,0),0)</f>
        <v>0</v>
      </c>
      <c r="D43" s="14" t="n">
        <f aca="false">IFERROR(ROUND(COUNTIFS('1. PASTE DATA'!$C$4:$C$1503,8,'1. PASTE DATA'!$BC$4:$BC$1503,"Commerce")/COUNTIFS('1. PASTE DATA'!$C$4:$C$1503,8,'1. PASTE DATA'!$B$4:$B$1503,"&lt;&gt;")*100,0),0)</f>
        <v>0</v>
      </c>
      <c r="E43" s="14" t="n">
        <f aca="false">IFERROR(ROUND(COUNTIFS('1. PASTE DATA'!$C$4:$C$1503,9,'1. PASTE DATA'!$BC$4:$BC$1503,"Commerce")/COUNTIFS('1. PASTE DATA'!$C$4:$C$1503,9,'1. PASTE DATA'!$B$4:$B$1503,"&lt;&gt;")*100,0),0)</f>
        <v>0</v>
      </c>
      <c r="F43" s="14" t="n">
        <f aca="false">IFERROR(ROUND(COUNTIFS('1. PASTE DATA'!$C$4:$C$1503,10,'1. PASTE DATA'!$BC$4:$BC$1503,"Commerce")/COUNTIFS('1. PASTE DATA'!$C$4:$C$1503,10,'1. PASTE DATA'!$B$4:$B$1503,"&lt;&gt;")*100,0),0)</f>
        <v>0</v>
      </c>
      <c r="G43" s="14" t="n">
        <f aca="false">IFERROR(ROUND(COUNTIFS('1. PASTE DATA'!$C$4:$C$1503,11,'1. PASTE DATA'!$BC$4:$BC$1503,"Commerce")/COUNTIFS('1. PASTE DATA'!$C$4:$C$1503,11,'1. PASTE DATA'!$B$4:$B$1503,"&lt;&gt;")*100,0),0)</f>
        <v>0</v>
      </c>
      <c r="H43" s="14" t="n">
        <f aca="false">IFERROR(ROUND(COUNTIFS('1. PASTE DATA'!$C$4:$C$1503,12,'1. PASTE DATA'!$BC$4:$BC$1503,"Commerce")/COUNTIFS('1. PASTE DATA'!$C$4:$C$1503,12,'1. PASTE DATA'!$B$4:$B$1503,"&lt;&gt;")*100,0),0)</f>
        <v>0</v>
      </c>
    </row>
    <row r="44" customFormat="false" ht="15" hidden="false" customHeight="false" outlineLevel="0" collapsed="false">
      <c r="A44" s="10" t="s">
        <v>231</v>
      </c>
      <c r="B44" s="14" t="n">
        <f aca="false">IFERROR(ROUND(COUNTIFS('1. PASTE DATA'!$C$4:$C$1503,6,'1. PASTE DATA'!$BB$4:$BB$1503,"Arts / Humanities")/COUNTIFS('1. PASTE DATA'!$C$4:$C$1503,6,'1. PASTE DATA'!$B$4:$B$1503,"&lt;&gt;")*100,0),0)</f>
        <v>0</v>
      </c>
      <c r="C44" s="14" t="n">
        <f aca="false">IFERROR(ROUND(COUNTIFS('1. PASTE DATA'!$C$4:$C$1503,7,'1. PASTE DATA'!$BB$4:$BB$1503,"Arts / Humanities")/COUNTIFS('1. PASTE DATA'!$C$4:$C$1503,7,'1. PASTE DATA'!$B$4:$B$1503,"&lt;&gt;")*100,0),0)</f>
        <v>0</v>
      </c>
      <c r="D44" s="14" t="n">
        <f aca="false">IFERROR(ROUND(COUNTIFS('1. PASTE DATA'!$C$4:$C$1503,8,'1. PASTE DATA'!$BB$4:$BB$1503,"Arts / Humanities")/COUNTIFS('1. PASTE DATA'!$C$4:$C$1503,8,'1. PASTE DATA'!$B$4:$B$1503,"&lt;&gt;")*100,0),0)</f>
        <v>0</v>
      </c>
      <c r="E44" s="14" t="n">
        <f aca="false">IFERROR(ROUND(COUNTIFS('1. PASTE DATA'!$C$4:$C$1503,9,'1. PASTE DATA'!$BB$4:$BB$1503,"Arts / Humanities")/COUNTIFS('1. PASTE DATA'!$C$4:$C$1503,9,'1. PASTE DATA'!$B$4:$B$1503,"&lt;&gt;")*100,0),0)</f>
        <v>0</v>
      </c>
      <c r="F44" s="14" t="n">
        <f aca="false">IFERROR(ROUND(COUNTIFS('1. PASTE DATA'!$C$4:$C$1503,10,'1. PASTE DATA'!$BB$4:$BB$1503,"Arts / Humanities")/COUNTIFS('1. PASTE DATA'!$C$4:$C$1503,10,'1. PASTE DATA'!$B$4:$B$1503,"&lt;&gt;")*100,0),0)</f>
        <v>0</v>
      </c>
      <c r="G44" s="14" t="n">
        <f aca="false">IFERROR(ROUND(COUNTIFS('1. PASTE DATA'!$C$4:$C$1503,11,'1. PASTE DATA'!$BB$4:$BB$1503,"Arts / Humanities")/COUNTIFS('1. PASTE DATA'!$C$4:$C$1503,11,'1. PASTE DATA'!$B$4:$B$1503,"&lt;&gt;")*100,0),0)</f>
        <v>0</v>
      </c>
      <c r="H44" s="14" t="n">
        <f aca="false">IFERROR(ROUND(COUNTIFS('1. PASTE DATA'!$C$4:$C$1503,12,'1. PASTE DATA'!$BB$4:$BB$1503,"Arts / Humanities")/COUNTIFS('1. PASTE DATA'!$C$4:$C$1503,12,'1. PASTE DATA'!$B$4:$B$1503,"&lt;&gt;")*100,0),0)</f>
        <v>0</v>
      </c>
    </row>
    <row r="45" customFormat="false" ht="15" hidden="false" customHeight="false" outlineLevel="0" collapsed="false">
      <c r="A45" s="10" t="s">
        <v>232</v>
      </c>
      <c r="B45" s="14" t="n">
        <f aca="false">IFERROR(ROUND(COUNTIFS('1. PASTE DATA'!$C$4:$C$1503,6,'1. PASTE DATA'!$BC$4:$BC$1503,"Arts / Humanities")/COUNTIFS('1. PASTE DATA'!$C$4:$C$1503,6,'1. PASTE DATA'!$B$4:$B$1503,"&lt;&gt;")*100,0),0)</f>
        <v>0</v>
      </c>
      <c r="C45" s="14" t="n">
        <f aca="false">IFERROR(ROUND(COUNTIFS('1. PASTE DATA'!$C$4:$C$1503,7,'1. PASTE DATA'!$BC$4:$BC$1503,"Arts / Humanities")/COUNTIFS('1. PASTE DATA'!$C$4:$C$1503,7,'1. PASTE DATA'!$B$4:$B$1503,"&lt;&gt;")*100,0),0)</f>
        <v>0</v>
      </c>
      <c r="D45" s="14" t="n">
        <f aca="false">IFERROR(ROUND(COUNTIFS('1. PASTE DATA'!$C$4:$C$1503,8,'1. PASTE DATA'!$BC$4:$BC$1503,"Arts / Humanities")/COUNTIFS('1. PASTE DATA'!$C$4:$C$1503,8,'1. PASTE DATA'!$B$4:$B$1503,"&lt;&gt;")*100,0),0)</f>
        <v>0</v>
      </c>
      <c r="E45" s="14" t="n">
        <f aca="false">IFERROR(ROUND(COUNTIFS('1. PASTE DATA'!$C$4:$C$1503,9,'1. PASTE DATA'!$BC$4:$BC$1503,"Arts / Humanities")/COUNTIFS('1. PASTE DATA'!$C$4:$C$1503,9,'1. PASTE DATA'!$B$4:$B$1503,"&lt;&gt;")*100,0),0)</f>
        <v>0</v>
      </c>
      <c r="F45" s="14" t="n">
        <f aca="false">IFERROR(ROUND(COUNTIFS('1. PASTE DATA'!$C$4:$C$1503,10,'1. PASTE DATA'!$BC$4:$BC$1503,"Arts / Humanities")/COUNTIFS('1. PASTE DATA'!$C$4:$C$1503,10,'1. PASTE DATA'!$B$4:$B$1503,"&lt;&gt;")*100,0),0)</f>
        <v>0</v>
      </c>
      <c r="G45" s="14" t="n">
        <f aca="false">IFERROR(ROUND(COUNTIFS('1. PASTE DATA'!$C$4:$C$1503,11,'1. PASTE DATA'!$BC$4:$BC$1503,"Arts / Humanities")/COUNTIFS('1. PASTE DATA'!$C$4:$C$1503,11,'1. PASTE DATA'!$B$4:$B$1503,"&lt;&gt;")*100,0),0)</f>
        <v>0</v>
      </c>
      <c r="H45" s="14" t="n">
        <f aca="false">IFERROR(ROUND(COUNTIFS('1. PASTE DATA'!$C$4:$C$1503,12,'1. PASTE DATA'!$BC$4:$BC$1503,"Arts / Humanities")/COUNTIFS('1. PASTE DATA'!$C$4:$C$1503,12,'1. PASTE DATA'!$B$4:$B$1503,"&lt;&gt;")*100,0),0)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B37"/>
    <pageSetUpPr fitToPage="fals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4"/>
  </cols>
  <sheetData>
    <row r="1" customFormat="false" ht="18.55" hidden="false" customHeight="false" outlineLevel="0" collapsed="false">
      <c r="A1" s="1" t="s">
        <v>233</v>
      </c>
    </row>
    <row r="2" customFormat="false" ht="15" hidden="false" customHeight="false" outlineLevel="0" collapsed="false">
      <c r="A2" s="2" t="s">
        <v>234</v>
      </c>
    </row>
    <row r="5" customFormat="false" ht="15" hidden="false" customHeight="false" outlineLevel="0" collapsed="false">
      <c r="B5" s="7" t="s">
        <v>235</v>
      </c>
    </row>
    <row r="6" customFormat="false" ht="15" hidden="false" customHeight="false" outlineLevel="0" collapsed="false">
      <c r="B6" s="23" t="s">
        <v>236</v>
      </c>
      <c r="C6" s="24" t="n">
        <f aca="false">'3. PERSONALITY'!D6</f>
        <v>0</v>
      </c>
    </row>
    <row r="7" customFormat="false" ht="15" hidden="false" customHeight="false" outlineLevel="0" collapsed="false">
      <c r="B7" s="23" t="s">
        <v>237</v>
      </c>
      <c r="C7" s="24" t="n">
        <f aca="false">'3. PERSONALITY'!D7</f>
        <v>0</v>
      </c>
    </row>
    <row r="8" customFormat="false" ht="15" hidden="false" customHeight="false" outlineLevel="0" collapsed="false">
      <c r="B8" s="23" t="s">
        <v>238</v>
      </c>
      <c r="C8" s="24" t="n">
        <f aca="false">'3. PERSONALITY'!D8</f>
        <v>0</v>
      </c>
    </row>
    <row r="9" customFormat="false" ht="15" hidden="false" customHeight="false" outlineLevel="0" collapsed="false">
      <c r="B9" s="23" t="s">
        <v>239</v>
      </c>
      <c r="C9" s="24" t="n">
        <f aca="false">'3. PERSONALITY'!D9</f>
        <v>0</v>
      </c>
    </row>
    <row r="10" customFormat="false" ht="15" hidden="false" customHeight="false" outlineLevel="0" collapsed="false">
      <c r="B10" s="23" t="s">
        <v>240</v>
      </c>
      <c r="C10" s="24" t="n">
        <f aca="false">'3. PERSONALITY'!D10</f>
        <v>0</v>
      </c>
    </row>
    <row r="11" customFormat="false" ht="15" hidden="false" customHeight="false" outlineLevel="0" collapsed="false">
      <c r="B11" s="23" t="s">
        <v>30</v>
      </c>
      <c r="C11" s="24" t="n">
        <f aca="false">'3. PERSONALITY'!D11</f>
        <v>0</v>
      </c>
    </row>
    <row r="13" customFormat="false" ht="15" hidden="false" customHeight="false" outlineLevel="0" collapsed="false">
      <c r="B13" s="7" t="s">
        <v>241</v>
      </c>
    </row>
    <row r="14" customFormat="false" ht="15" hidden="false" customHeight="false" outlineLevel="0" collapsed="false">
      <c r="B14" s="23" t="s">
        <v>242</v>
      </c>
      <c r="C14" s="24" t="n">
        <f aca="false">'4. LEARNING STYLE'!C6</f>
        <v>0</v>
      </c>
    </row>
    <row r="15" customFormat="false" ht="15" hidden="false" customHeight="false" outlineLevel="0" collapsed="false">
      <c r="B15" s="23" t="s">
        <v>243</v>
      </c>
      <c r="C15" s="24" t="n">
        <f aca="false">'4. LEARNING STYLE'!C7</f>
        <v>0</v>
      </c>
    </row>
    <row r="16" customFormat="false" ht="15" hidden="false" customHeight="false" outlineLevel="0" collapsed="false">
      <c r="B16" s="23" t="s">
        <v>244</v>
      </c>
      <c r="C16" s="24" t="n">
        <f aca="false">'4. LEARNING STYLE'!C8</f>
        <v>0</v>
      </c>
    </row>
    <row r="17" customFormat="false" ht="15" hidden="false" customHeight="false" outlineLevel="0" collapsed="false">
      <c r="B17" s="23" t="s">
        <v>245</v>
      </c>
      <c r="C17" s="24" t="n">
        <f aca="false">'4. LEARNING STYLE'!C9</f>
        <v>0</v>
      </c>
    </row>
    <row r="18" customFormat="false" ht="15" hidden="false" customHeight="false" outlineLevel="0" collapsed="false">
      <c r="B18" s="23" t="s">
        <v>246</v>
      </c>
      <c r="C18" s="24" t="n">
        <f aca="false">'4. LEARNING STYLE'!C10</f>
        <v>0</v>
      </c>
    </row>
    <row r="19" customFormat="false" ht="15" hidden="false" customHeight="false" outlineLevel="0" collapsed="false">
      <c r="B19" s="23" t="s">
        <v>247</v>
      </c>
      <c r="C19" s="24" t="n">
        <f aca="false">'4. LEARNING STYLE'!C11</f>
        <v>0</v>
      </c>
    </row>
    <row r="20" customFormat="false" ht="15" hidden="false" customHeight="false" outlineLevel="0" collapsed="false">
      <c r="B20" s="23" t="s">
        <v>248</v>
      </c>
      <c r="C20" s="24" t="n">
        <f aca="false">'4. LEARNING STYLE'!C12</f>
        <v>0</v>
      </c>
    </row>
    <row r="21" customFormat="false" ht="15" hidden="false" customHeight="false" outlineLevel="0" collapsed="false">
      <c r="B21" s="23" t="s">
        <v>249</v>
      </c>
      <c r="C21" s="24" t="n">
        <f aca="false">'4. LEARNING STYLE'!C13</f>
        <v>0</v>
      </c>
    </row>
    <row r="23" customFormat="false" ht="15" hidden="false" customHeight="false" outlineLevel="0" collapsed="false">
      <c r="B23" s="7" t="s">
        <v>250</v>
      </c>
    </row>
    <row r="24" customFormat="false" ht="15" hidden="false" customHeight="false" outlineLevel="0" collapsed="false">
      <c r="C24" s="18" t="s">
        <v>251</v>
      </c>
      <c r="D24" s="18" t="s">
        <v>252</v>
      </c>
    </row>
    <row r="25" customFormat="false" ht="15" hidden="false" customHeight="false" outlineLevel="0" collapsed="false">
      <c r="B25" s="23" t="s">
        <v>7</v>
      </c>
      <c r="C25" s="24" t="n">
        <f aca="false">'5. ABILITIES'!C6</f>
        <v>0</v>
      </c>
      <c r="D25" s="24" t="n">
        <f aca="false">'5. ABILITIES'!D6</f>
        <v>0</v>
      </c>
    </row>
    <row r="26" customFormat="false" ht="15" hidden="false" customHeight="false" outlineLevel="0" collapsed="false">
      <c r="B26" s="23" t="s">
        <v>8</v>
      </c>
      <c r="C26" s="24" t="n">
        <f aca="false">'5. ABILITIES'!C7</f>
        <v>0</v>
      </c>
      <c r="D26" s="24" t="n">
        <f aca="false">'5. ABILITIES'!D7</f>
        <v>0</v>
      </c>
    </row>
    <row r="27" customFormat="false" ht="15" hidden="false" customHeight="false" outlineLevel="0" collapsed="false">
      <c r="B27" s="23" t="s">
        <v>9</v>
      </c>
      <c r="C27" s="24" t="n">
        <f aca="false">'5. ABILITIES'!C8</f>
        <v>0</v>
      </c>
      <c r="D27" s="24" t="n">
        <f aca="false">'5. ABILITIES'!D8</f>
        <v>0</v>
      </c>
    </row>
    <row r="28" customFormat="false" ht="15" hidden="false" customHeight="false" outlineLevel="0" collapsed="false">
      <c r="B28" s="23" t="s">
        <v>10</v>
      </c>
      <c r="C28" s="24" t="n">
        <f aca="false">'5. ABILITIES'!C9</f>
        <v>0</v>
      </c>
      <c r="D28" s="24" t="n">
        <f aca="false">'5. ABILITIES'!D9</f>
        <v>0</v>
      </c>
    </row>
    <row r="29" customFormat="false" ht="15" hidden="false" customHeight="false" outlineLevel="0" collapsed="false">
      <c r="B29" s="23" t="s">
        <v>11</v>
      </c>
      <c r="C29" s="24" t="n">
        <f aca="false">'5. ABILITIES'!C10</f>
        <v>0</v>
      </c>
      <c r="D29" s="24" t="n">
        <f aca="false">'5. ABILITIES'!D10</f>
        <v>0</v>
      </c>
    </row>
    <row r="30" customFormat="false" ht="15" hidden="false" customHeight="false" outlineLevel="0" collapsed="false">
      <c r="B30" s="23" t="s">
        <v>12</v>
      </c>
      <c r="C30" s="24" t="n">
        <f aca="false">'5. ABILITIES'!C11</f>
        <v>0</v>
      </c>
      <c r="D30" s="24" t="n">
        <f aca="false">'5. ABILITIES'!D11</f>
        <v>0</v>
      </c>
    </row>
    <row r="31" customFormat="false" ht="15" hidden="false" customHeight="false" outlineLevel="0" collapsed="false">
      <c r="B31" s="23" t="s">
        <v>13</v>
      </c>
      <c r="C31" s="24" t="n">
        <f aca="false">'5. ABILITIES'!C12</f>
        <v>0</v>
      </c>
      <c r="D31" s="24" t="n">
        <f aca="false">'5. ABILITIES'!D12</f>
        <v>0</v>
      </c>
    </row>
    <row r="32" customFormat="false" ht="15" hidden="false" customHeight="false" outlineLevel="0" collapsed="false">
      <c r="B32" s="23" t="s">
        <v>14</v>
      </c>
      <c r="C32" s="24" t="n">
        <f aca="false">'5. ABILITIES'!C13</f>
        <v>0</v>
      </c>
      <c r="D32" s="24" t="n">
        <f aca="false">'5. ABILITIES'!D13</f>
        <v>0</v>
      </c>
    </row>
    <row r="33" customFormat="false" ht="15" hidden="false" customHeight="false" outlineLevel="0" collapsed="false">
      <c r="B33" s="23" t="s">
        <v>15</v>
      </c>
      <c r="C33" s="24" t="n">
        <f aca="false">'5. ABILITIES'!C14</f>
        <v>0</v>
      </c>
      <c r="D33" s="24" t="n">
        <f aca="false">'5. ABILITIES'!D14</f>
        <v>0</v>
      </c>
    </row>
    <row r="34" customFormat="false" ht="15" hidden="false" customHeight="false" outlineLevel="0" collapsed="false">
      <c r="B34" s="23" t="s">
        <v>16</v>
      </c>
      <c r="C34" s="24" t="n">
        <f aca="false">'5. ABILITIES'!C15</f>
        <v>0</v>
      </c>
      <c r="D34" s="24" t="n">
        <f aca="false">'5. ABILITIES'!D15</f>
        <v>0</v>
      </c>
    </row>
    <row r="36" customFormat="false" ht="15" hidden="false" customHeight="false" outlineLevel="0" collapsed="false">
      <c r="B36" s="7" t="s">
        <v>253</v>
      </c>
    </row>
    <row r="37" customFormat="false" ht="15" hidden="false" customHeight="false" outlineLevel="0" collapsed="false">
      <c r="B37" s="23" t="s">
        <v>141</v>
      </c>
      <c r="C37" s="24" t="n">
        <f aca="false">'6. VALUES'!C6</f>
        <v>0</v>
      </c>
    </row>
    <row r="38" customFormat="false" ht="15" hidden="false" customHeight="false" outlineLevel="0" collapsed="false">
      <c r="B38" s="23" t="s">
        <v>142</v>
      </c>
      <c r="C38" s="24" t="n">
        <f aca="false">'6. VALUES'!C7</f>
        <v>0</v>
      </c>
    </row>
    <row r="39" customFormat="false" ht="15" hidden="false" customHeight="false" outlineLevel="0" collapsed="false">
      <c r="B39" s="23" t="s">
        <v>143</v>
      </c>
      <c r="C39" s="24" t="n">
        <f aca="false">'6. VALUES'!C8</f>
        <v>0</v>
      </c>
    </row>
    <row r="40" customFormat="false" ht="15" hidden="false" customHeight="false" outlineLevel="0" collapsed="false">
      <c r="B40" s="23" t="s">
        <v>144</v>
      </c>
      <c r="C40" s="24" t="n">
        <f aca="false">'6. VALUES'!C9</f>
        <v>0</v>
      </c>
    </row>
    <row r="41" customFormat="false" ht="15" hidden="false" customHeight="false" outlineLevel="0" collapsed="false">
      <c r="B41" s="23" t="s">
        <v>145</v>
      </c>
      <c r="C41" s="24" t="n">
        <f aca="false">'6. VALUES'!C10</f>
        <v>0</v>
      </c>
    </row>
    <row r="42" customFormat="false" ht="15" hidden="false" customHeight="false" outlineLevel="0" collapsed="false">
      <c r="B42" s="23" t="s">
        <v>9</v>
      </c>
      <c r="C42" s="24" t="n">
        <f aca="false">'6. VALUES'!C11</f>
        <v>0</v>
      </c>
    </row>
    <row r="43" customFormat="false" ht="15" hidden="false" customHeight="false" outlineLevel="0" collapsed="false">
      <c r="B43" s="23" t="s">
        <v>146</v>
      </c>
      <c r="C43" s="24" t="n">
        <f aca="false">'6. VALUES'!C12</f>
        <v>0</v>
      </c>
    </row>
    <row r="44" customFormat="false" ht="15" hidden="false" customHeight="false" outlineLevel="0" collapsed="false">
      <c r="B44" s="23" t="s">
        <v>147</v>
      </c>
      <c r="C44" s="24" t="n">
        <f aca="false">'6. VALUES'!C13</f>
        <v>0</v>
      </c>
    </row>
    <row r="45" customFormat="false" ht="15" hidden="false" customHeight="false" outlineLevel="0" collapsed="false">
      <c r="B45" s="23" t="s">
        <v>148</v>
      </c>
      <c r="C45" s="24" t="n">
        <f aca="false">'6. VALUES'!C14</f>
        <v>0</v>
      </c>
    </row>
    <row r="46" customFormat="false" ht="15" hidden="false" customHeight="false" outlineLevel="0" collapsed="false">
      <c r="B46" s="23" t="s">
        <v>149</v>
      </c>
      <c r="C46" s="24" t="n">
        <f aca="false">'6. VALUES'!C15</f>
        <v>0</v>
      </c>
    </row>
    <row r="47" customFormat="false" ht="15" hidden="false" customHeight="false" outlineLevel="0" collapsed="false">
      <c r="B47" s="23" t="s">
        <v>150</v>
      </c>
      <c r="C47" s="24" t="n">
        <f aca="false">'6. VALUES'!C16</f>
        <v>0</v>
      </c>
    </row>
    <row r="48" customFormat="false" ht="15" hidden="false" customHeight="false" outlineLevel="0" collapsed="false">
      <c r="B48" s="23" t="s">
        <v>151</v>
      </c>
      <c r="C48" s="24" t="n">
        <f aca="false">'6. VALUES'!C17</f>
        <v>0</v>
      </c>
    </row>
    <row r="49" customFormat="false" ht="15" hidden="false" customHeight="false" outlineLevel="0" collapsed="false">
      <c r="B49" s="23" t="s">
        <v>152</v>
      </c>
      <c r="C49" s="24" t="n">
        <f aca="false">'6. VALUES'!C18</f>
        <v>0</v>
      </c>
    </row>
    <row r="50" customFormat="false" ht="15" hidden="false" customHeight="false" outlineLevel="0" collapsed="false">
      <c r="B50" s="23" t="s">
        <v>153</v>
      </c>
      <c r="C50" s="24" t="n">
        <f aca="false">'6. VALUES'!C19</f>
        <v>0</v>
      </c>
    </row>
    <row r="51" customFormat="false" ht="15" hidden="false" customHeight="false" outlineLevel="0" collapsed="false">
      <c r="B51" s="23" t="s">
        <v>154</v>
      </c>
      <c r="C51" s="24" t="n">
        <f aca="false">'6. VALUES'!C20</f>
        <v>0</v>
      </c>
    </row>
    <row r="53" customFormat="false" ht="15" hidden="false" customHeight="false" outlineLevel="0" collapsed="false">
      <c r="B53" s="7" t="s">
        <v>254</v>
      </c>
    </row>
    <row r="54" customFormat="false" ht="15" hidden="false" customHeight="false" outlineLevel="0" collapsed="false">
      <c r="C54" s="18" t="s">
        <v>255</v>
      </c>
      <c r="D54" s="18" t="s">
        <v>169</v>
      </c>
    </row>
    <row r="55" customFormat="false" ht="15" hidden="false" customHeight="false" outlineLevel="0" collapsed="false">
      <c r="B55" s="23" t="s">
        <v>163</v>
      </c>
      <c r="C55" s="24" t="n">
        <f aca="false">'7. CAREER GAP'!C6</f>
        <v>0</v>
      </c>
      <c r="D55" s="24" t="n">
        <f aca="false">'7. CAREER GAP'!D6</f>
        <v>0</v>
      </c>
    </row>
    <row r="56" customFormat="false" ht="15" hidden="false" customHeight="false" outlineLevel="0" collapsed="false">
      <c r="B56" s="23" t="s">
        <v>164</v>
      </c>
      <c r="C56" s="24" t="n">
        <f aca="false">'7. CAREER GAP'!C7</f>
        <v>0</v>
      </c>
      <c r="D56" s="24" t="n">
        <f aca="false">'7. CAREER GAP'!D7</f>
        <v>0</v>
      </c>
    </row>
    <row r="57" customFormat="false" ht="15" hidden="false" customHeight="false" outlineLevel="0" collapsed="false">
      <c r="B57" s="23" t="s">
        <v>165</v>
      </c>
      <c r="C57" s="24" t="n">
        <f aca="false">'7. CAREER GAP'!C8</f>
        <v>0</v>
      </c>
      <c r="D57" s="24" t="n">
        <f aca="false">'7. CAREER GAP'!D8</f>
        <v>0</v>
      </c>
    </row>
    <row r="59" customFormat="false" ht="15" hidden="false" customHeight="false" outlineLevel="0" collapsed="false">
      <c r="B59" s="7" t="s">
        <v>256</v>
      </c>
    </row>
    <row r="60" customFormat="false" ht="15" hidden="false" customHeight="false" outlineLevel="0" collapsed="false">
      <c r="B60" s="23" t="s">
        <v>75</v>
      </c>
      <c r="C60" s="24" t="n">
        <f aca="false">'2. SUMMARY'!C18</f>
        <v>0</v>
      </c>
    </row>
    <row r="61" customFormat="false" ht="15" hidden="false" customHeight="false" outlineLevel="0" collapsed="false">
      <c r="B61" s="23" t="s">
        <v>76</v>
      </c>
      <c r="C61" s="24" t="n">
        <f aca="false">'2. SUMMARY'!C19</f>
        <v>0</v>
      </c>
    </row>
    <row r="62" customFormat="false" ht="15" hidden="false" customHeight="false" outlineLevel="0" collapsed="false">
      <c r="B62" s="23" t="s">
        <v>77</v>
      </c>
      <c r="C62" s="24" t="n">
        <f aca="false">'2. SUMMARY'!C20</f>
        <v>0</v>
      </c>
    </row>
    <row r="63" customFormat="false" ht="15" hidden="false" customHeight="false" outlineLevel="0" collapsed="false">
      <c r="B63" s="23" t="s">
        <v>78</v>
      </c>
      <c r="C63" s="24" t="n">
        <f aca="false">'2. SUMMARY'!C21</f>
        <v>0</v>
      </c>
    </row>
    <row r="64" customFormat="false" ht="15" hidden="false" customHeight="false" outlineLevel="0" collapsed="false">
      <c r="B64" s="23" t="s">
        <v>79</v>
      </c>
      <c r="C64" s="24" t="n">
        <f aca="false">'2. SUMMARY'!C22</f>
        <v>0</v>
      </c>
    </row>
    <row r="65" customFormat="false" ht="15" hidden="false" customHeight="false" outlineLevel="0" collapsed="false">
      <c r="B65" s="23" t="s">
        <v>80</v>
      </c>
      <c r="C65" s="24" t="n">
        <f aca="false">'2. SUMMARY'!C23</f>
        <v>0</v>
      </c>
    </row>
    <row r="66" customFormat="false" ht="15" hidden="false" customHeight="false" outlineLevel="0" collapsed="false">
      <c r="B66" s="23" t="s">
        <v>81</v>
      </c>
      <c r="C66" s="24" t="n">
        <f aca="false">'2. SUMMARY'!C24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2026-07-27T03:56:41Z</dcterms:created>
  <dc:creator>openpyxl</dc:creator>
  <dc:description/>
  <dc:language>en-US</dc:language>
  <cp:lastModifiedBy/>
  <dcterms:modified xsi:type="dcterms:W3CDTF">2026-07-27T03:58:39Z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